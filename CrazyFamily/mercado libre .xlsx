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uda" sheetId="1" r:id="rId5"/>
    <sheet state="visible" name="Publicaciones" sheetId="2" r:id="rId6"/>
    <sheet state="hidden" name="hidden" sheetId="3" r:id="rId7"/>
  </sheets>
  <definedNames/>
  <calcPr/>
</workbook>
</file>

<file path=xl/sharedStrings.xml><?xml version="1.0" encoding="utf-8"?>
<sst xmlns="http://schemas.openxmlformats.org/spreadsheetml/2006/main" count="14425" uniqueCount="5894">
  <si>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</si>
  <si>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</si>
  <si>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</si>
  <si>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</si>
  <si>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</si>
  <si>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Subir la planilla excel</t>
  </si>
  <si>
    <t>Hazlo antes del 29 de Abril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</si>
  <si>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</si>
  <si>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</si>
  <si>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</si>
  <si>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</si>
  <si>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</si>
  <si>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</si>
  <si>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>Título del producto</t>
  </si>
  <si>
    <t xml:space="preserve">No puedes modificarla.                </t>
  </si>
  <si>
    <t>Variante</t>
  </si>
  <si>
    <t>¿Cómo utilizar estas columnas?</t>
  </si>
  <si>
    <t>Estas son las columnas que están agrupadas. Puedes desplegarlas presionando el más [+] o colapsarlas presionando en el menos [-] en la parte superior.</t>
  </si>
  <si>
    <t>FAMILY_ID</t>
  </si>
  <si>
    <t>ITEM_ID</t>
  </si>
  <si>
    <t>PRODUCT_NUMBER</t>
  </si>
  <si>
    <t>VARIATION_ID</t>
  </si>
  <si>
    <t>SKU</t>
  </si>
  <si>
    <t>TITLE</t>
  </si>
  <si>
    <t>VARIATIONS</t>
  </si>
  <si>
    <t>STOCK_FLEX</t>
  </si>
  <si>
    <t>STOCK_FULL</t>
  </si>
  <si>
    <t>PRICE</t>
  </si>
  <si>
    <t>CURRENCY_ID</t>
  </si>
  <si>
    <t>TIERED_PRICING_PRICE_1</t>
  </si>
  <si>
    <t>TIERED_PRICING_QUANTITY_1</t>
  </si>
  <si>
    <t>TIERED_PRICING_PRICE_2</t>
  </si>
  <si>
    <t>TIERED_PRICING_QUANTITY_2</t>
  </si>
  <si>
    <t>TIERED_PRICING_PRICE_3</t>
  </si>
  <si>
    <t>TIERED_PRICING_QUANTITY_3</t>
  </si>
  <si>
    <t>TIERED_PRICING_PRICE_4</t>
  </si>
  <si>
    <t>TIERED_PRICING_QUANTITY_4</t>
  </si>
  <si>
    <t>TIERED_PRICING_PRICE_5</t>
  </si>
  <si>
    <t>TIERED_PRICING_QUANTITY_5</t>
  </si>
  <si>
    <t>CONDITION</t>
  </si>
  <si>
    <t>STATUS</t>
  </si>
  <si>
    <t>Información de stock</t>
  </si>
  <si>
    <t>Información del producto</t>
  </si>
  <si>
    <t>Condiciones de publicación</t>
  </si>
  <si>
    <t>Agrupador de variantes</t>
  </si>
  <si>
    <t>Número de publicación</t>
  </si>
  <si>
    <t>Número de producto</t>
  </si>
  <si>
    <t>Número de variante</t>
  </si>
  <si>
    <t>Título</t>
  </si>
  <si>
    <t>Variantes</t>
  </si>
  <si>
    <t>En mi depósito</t>
  </si>
  <si>
    <t>En full
(Bodega de ML)</t>
  </si>
  <si>
    <t>Precio</t>
  </si>
  <si>
    <t>Moneda</t>
  </si>
  <si>
    <t>Precio mayorista 1 [ML]</t>
  </si>
  <si>
    <t>Precio mayorista 2 [ML]</t>
  </si>
  <si>
    <t>Precio mayorista 3 [ML]</t>
  </si>
  <si>
    <t>Precio mayorista 4 [ML]</t>
  </si>
  <si>
    <t>Precio mayorista 5 [ML]</t>
  </si>
  <si>
    <t>Condición</t>
  </si>
  <si>
    <t>Estado</t>
  </si>
  <si>
    <t>Precio de cada unidad</t>
  </si>
  <si>
    <t>Cantidad mínima de compra</t>
  </si>
  <si>
    <t/>
  </si>
  <si>
    <t>Obligatorio</t>
  </si>
  <si>
    <t>481247218515521</t>
  </si>
  <si>
    <t>MLC2880447406</t>
  </si>
  <si>
    <t>U2626487739</t>
  </si>
  <si>
    <t>6.00.04</t>
  </si>
  <si>
    <t>Palo De Hockey School Cesped 28 A La 37 Pulgadas - Simbra Color Azul - Talla 32</t>
  </si>
  <si>
    <t>-</t>
  </si>
  <si>
    <t>$</t>
  </si>
  <si>
    <t>Nuevo</t>
  </si>
  <si>
    <t>Activa</t>
  </si>
  <si>
    <t>1177347137040317</t>
  </si>
  <si>
    <t>MLC3156566570</t>
  </si>
  <si>
    <t>U3430614320</t>
  </si>
  <si>
    <t>2.90.78</t>
  </si>
  <si>
    <t>Silbato Fox40 Sharx 2.90.78 - Amarillo/azul</t>
  </si>
  <si>
    <t>Amarillo</t>
  </si>
  <si>
    <t>5537057626406252</t>
  </si>
  <si>
    <t>MLC3159454548</t>
  </si>
  <si>
    <t>U3423988223</t>
  </si>
  <si>
    <t>Silbato Fox40 Sharx 2.90.78 - Verde/negro</t>
  </si>
  <si>
    <t>Verde</t>
  </si>
  <si>
    <t>6266582304427551</t>
  </si>
  <si>
    <t>MLC1548806581</t>
  </si>
  <si>
    <t>U2779468870</t>
  </si>
  <si>
    <t>2.90.73</t>
  </si>
  <si>
    <t>Silbato Profesional Drb 50 2.90.73</t>
  </si>
  <si>
    <t>Negro</t>
  </si>
  <si>
    <t>4495639309923646</t>
  </si>
  <si>
    <t>MLC2880460284</t>
  </si>
  <si>
    <t>U2625746385</t>
  </si>
  <si>
    <t>6.00.10</t>
  </si>
  <si>
    <t>Palo De Hockey School Cesped 28 A La 37 Pulgadas - Simbra Color Azul - Talla 37</t>
  </si>
  <si>
    <t>MLC1522334493</t>
  </si>
  <si>
    <t>Sostén Mujer Jockey Sport S-249 Deportivo Cotton Spandex</t>
  </si>
  <si>
    <t>238</t>
  </si>
  <si>
    <t>184707183753</t>
  </si>
  <si>
    <t>S-249-ROS-S</t>
  </si>
  <si>
    <t>Rosado / Lisa / S</t>
  </si>
  <si>
    <t>184707183755</t>
  </si>
  <si>
    <t>S-249-ROS-M</t>
  </si>
  <si>
    <t>Rosado / M / Lisa</t>
  </si>
  <si>
    <t>184707183757</t>
  </si>
  <si>
    <t>S-249-ROS-L</t>
  </si>
  <si>
    <t>Rosado / L / Lisa</t>
  </si>
  <si>
    <t>184707183759</t>
  </si>
  <si>
    <t>S-249-ROS-XL</t>
  </si>
  <si>
    <t>Rosado / Lisa / XL</t>
  </si>
  <si>
    <t>186848079977</t>
  </si>
  <si>
    <t>S-249-AZU-L</t>
  </si>
  <si>
    <t>L / Lisa / Azul</t>
  </si>
  <si>
    <t>186848079979</t>
  </si>
  <si>
    <t>S-249-AZU-M</t>
  </si>
  <si>
    <t>M / Lisa / Azul</t>
  </si>
  <si>
    <t>186848079981</t>
  </si>
  <si>
    <t>S-249-AZU-S</t>
  </si>
  <si>
    <t>Lisa / S / Azul</t>
  </si>
  <si>
    <t>186848079983</t>
  </si>
  <si>
    <t>S-249-AZU-XL</t>
  </si>
  <si>
    <t>Lisa / XL / Azul</t>
  </si>
  <si>
    <t>755682479721944</t>
  </si>
  <si>
    <t>MLC1706110005</t>
  </si>
  <si>
    <t>U3442113889</t>
  </si>
  <si>
    <t>M.10.09</t>
  </si>
  <si>
    <t>Cono Training 3  Drb M.10.09</t>
  </si>
  <si>
    <t>3701366687643208</t>
  </si>
  <si>
    <t>MLC2880590060</t>
  </si>
  <si>
    <t>U2630737060</t>
  </si>
  <si>
    <t>6.00.08</t>
  </si>
  <si>
    <t>Palo De Hockey School Cesped 28 A La 37 Pulgadas - Simbra Color Azul - Talla 36</t>
  </si>
  <si>
    <t>1046517732983695</t>
  </si>
  <si>
    <t>MLC1545003211</t>
  </si>
  <si>
    <t>U2706898797</t>
  </si>
  <si>
    <t>9.70.04</t>
  </si>
  <si>
    <t>Protector Bucal Junior Drb 9.70.04 - Color</t>
  </si>
  <si>
    <t>Azul</t>
  </si>
  <si>
    <t>7321861259510893</t>
  </si>
  <si>
    <t>MLC1545063537</t>
  </si>
  <si>
    <t>U2711954024</t>
  </si>
  <si>
    <t>9.70.14</t>
  </si>
  <si>
    <t>Protector Bucal Drb 9.70.14 - Saborizado Junior</t>
  </si>
  <si>
    <t>Rojo</t>
  </si>
  <si>
    <t>6285456111901949</t>
  </si>
  <si>
    <t>MLC2773150580</t>
  </si>
  <si>
    <t>U2736865518</t>
  </si>
  <si>
    <t>2.80.37</t>
  </si>
  <si>
    <t>Canillera Drb 2.80.37 - C/tobill Eurostar</t>
  </si>
  <si>
    <t>M Azul</t>
  </si>
  <si>
    <t>MLC2780449236</t>
  </si>
  <si>
    <t>Short Futbol Niño Drb 2.40.36 - Azulino</t>
  </si>
  <si>
    <t>18</t>
  </si>
  <si>
    <t>186089549141</t>
  </si>
  <si>
    <t>2.40.36AZLXXS</t>
  </si>
  <si>
    <t>XXS / Azul</t>
  </si>
  <si>
    <t>186089549139</t>
  </si>
  <si>
    <t>2.40.36AZLXS</t>
  </si>
  <si>
    <t>XS / Azul</t>
  </si>
  <si>
    <t>7138741123949836</t>
  </si>
  <si>
    <t>MLC2780804552</t>
  </si>
  <si>
    <t>U2808189608</t>
  </si>
  <si>
    <t>8.10.23</t>
  </si>
  <si>
    <t>Pelota Pp 3* Yashima X 6 Unid</t>
  </si>
  <si>
    <t>Blanco</t>
  </si>
  <si>
    <t>5658318219473397</t>
  </si>
  <si>
    <t>MLC3176510300</t>
  </si>
  <si>
    <t>U3445657828</t>
  </si>
  <si>
    <t>6.20.00-M</t>
  </si>
  <si>
    <t>Canillera Hockey Simbra 6.20.00-m Plot</t>
  </si>
  <si>
    <t>6635638827190544</t>
  </si>
  <si>
    <t>MLC1542683027</t>
  </si>
  <si>
    <t>U2637020300</t>
  </si>
  <si>
    <t>V.08.08-BL</t>
  </si>
  <si>
    <t>Cinturón Karate Drb Nivel Blanco - V.08.08-bl</t>
  </si>
  <si>
    <t>Blanco Estándar</t>
  </si>
  <si>
    <t>8956812630612541</t>
  </si>
  <si>
    <t>MLC2756980800</t>
  </si>
  <si>
    <t>U2612659003</t>
  </si>
  <si>
    <t>A.00.00</t>
  </si>
  <si>
    <t>Balon Hand Ball Drb A.00.00 Goma 1  Force</t>
  </si>
  <si>
    <t>Blanco 1</t>
  </si>
  <si>
    <t>3892253938744025</t>
  </si>
  <si>
    <t>MLC2757865436</t>
  </si>
  <si>
    <t>U2630570530</t>
  </si>
  <si>
    <t>6.00.41</t>
  </si>
  <si>
    <t>Palo Hockey Evo 2000 Drb 6.00.41 - Talla 37,5 Si</t>
  </si>
  <si>
    <t>MLC2780493742</t>
  </si>
  <si>
    <t>Short Futbol Drb 2.40.32 Liso Azulino</t>
  </si>
  <si>
    <t>19</t>
  </si>
  <si>
    <t>186089324447</t>
  </si>
  <si>
    <t>2.40.32-AZL-S</t>
  </si>
  <si>
    <t>S / Azul</t>
  </si>
  <si>
    <t>186089324443</t>
  </si>
  <si>
    <t>2.40.32-AZL-L</t>
  </si>
  <si>
    <t>L / Azul</t>
  </si>
  <si>
    <t>186089324449</t>
  </si>
  <si>
    <t>2.40.32-AZL-XL</t>
  </si>
  <si>
    <t>XL / Azul</t>
  </si>
  <si>
    <t>186089324445</t>
  </si>
  <si>
    <t>2.40.32-AZL-M</t>
  </si>
  <si>
    <t>M / Azul</t>
  </si>
  <si>
    <t>8959757644397626</t>
  </si>
  <si>
    <t>MLC2884970636</t>
  </si>
  <si>
    <t>U2717392312</t>
  </si>
  <si>
    <t>2.00.10</t>
  </si>
  <si>
    <t>Balon Futbol Drb Star #3 Color Naranja</t>
  </si>
  <si>
    <t>2317701458640374</t>
  </si>
  <si>
    <t>MLC2999814914</t>
  </si>
  <si>
    <t>U3330496191</t>
  </si>
  <si>
    <t>2.80.84-M</t>
  </si>
  <si>
    <t>Canillera Drb 2.80.84 - Fiber</t>
  </si>
  <si>
    <t>M</t>
  </si>
  <si>
    <t>MLC3067392486</t>
  </si>
  <si>
    <t>Pack Sosten Mujer Lady Genny S-125b Cotton Spandex Deportivo</t>
  </si>
  <si>
    <t>149</t>
  </si>
  <si>
    <t>184833356554</t>
  </si>
  <si>
    <t>PACK-S-125B-BL-BL-32B</t>
  </si>
  <si>
    <t>BLANCO - BLANCO / 32B</t>
  </si>
  <si>
    <t>184833356556</t>
  </si>
  <si>
    <t>PACK-S-125B-BL-NE-32B</t>
  </si>
  <si>
    <t>BLANCO - NEGRO / 32B</t>
  </si>
  <si>
    <t>184833356558</t>
  </si>
  <si>
    <t>PACK-S-125B-NE-NE-32B</t>
  </si>
  <si>
    <t>NEGRO - NEGRO / 32B</t>
  </si>
  <si>
    <t>184833356560</t>
  </si>
  <si>
    <t>PACK-S-125B-BL-BL-34B</t>
  </si>
  <si>
    <t>BLANCO - BLANCO / 34B</t>
  </si>
  <si>
    <t>184833356562</t>
  </si>
  <si>
    <t>PACK-S-125B-BL-NE-34B</t>
  </si>
  <si>
    <t>34B / BLANCO - NEGRO</t>
  </si>
  <si>
    <t>184833356564</t>
  </si>
  <si>
    <t>PACK-S-125B-NE-NE-34B</t>
  </si>
  <si>
    <t>NEGRO - NEGRO / 34B</t>
  </si>
  <si>
    <t>184833356566</t>
  </si>
  <si>
    <t>PACK-S-125B-BL-BL-36B</t>
  </si>
  <si>
    <t>BLANCO - BLANCO / 36B</t>
  </si>
  <si>
    <t>184833356568</t>
  </si>
  <si>
    <t>PACK-S-125B-BL-NE-36B</t>
  </si>
  <si>
    <t>36B / BLANCO - NEGRO</t>
  </si>
  <si>
    <t>184833356570</t>
  </si>
  <si>
    <t>PACK-S-125B-NE-NE-36B</t>
  </si>
  <si>
    <t>NEGRO - NEGRO / 36B</t>
  </si>
  <si>
    <t>184833356572</t>
  </si>
  <si>
    <t>PACK-S-125B-BL-BL-38B</t>
  </si>
  <si>
    <t>BLANCO - BLANCO / 38B</t>
  </si>
  <si>
    <t>184833356574</t>
  </si>
  <si>
    <t>PACK-S-125B-BL-NE-38B</t>
  </si>
  <si>
    <t>38B / BLANCO - NEGRO</t>
  </si>
  <si>
    <t>184833356576</t>
  </si>
  <si>
    <t>PACK-S-125B-NE-NE-38B</t>
  </si>
  <si>
    <t>NEGRO - NEGRO / 38B</t>
  </si>
  <si>
    <t>184833356578</t>
  </si>
  <si>
    <t>PACK-S-125B-BL-BL-40B</t>
  </si>
  <si>
    <t>BLANCO - BLANCO / 40B</t>
  </si>
  <si>
    <t>184833356580</t>
  </si>
  <si>
    <t>PACK-S-125B-BL-NE-40B</t>
  </si>
  <si>
    <t>40B / BLANCO - NEGRO</t>
  </si>
  <si>
    <t>184833356582</t>
  </si>
  <si>
    <t>PACK-S-125B-NE-NE-40B</t>
  </si>
  <si>
    <t>NEGRO - NEGRO / 40B</t>
  </si>
  <si>
    <t>323978607313076</t>
  </si>
  <si>
    <t>MLC3156475370</t>
  </si>
  <si>
    <t>U3423989995</t>
  </si>
  <si>
    <t>Silbato Fox40 Sharx 2.90.78 - Rojo/azul</t>
  </si>
  <si>
    <t>130570215962834</t>
  </si>
  <si>
    <t>MLC3169862772</t>
  </si>
  <si>
    <t>U3440364314</t>
  </si>
  <si>
    <t>3.00.50</t>
  </si>
  <si>
    <t>Balon Basquet Drb 3.00.50 Space Jam #5</t>
  </si>
  <si>
    <t>Naranja</t>
  </si>
  <si>
    <t>4745701962164597</t>
  </si>
  <si>
    <t>MLC3176510298</t>
  </si>
  <si>
    <t>U3445662028</t>
  </si>
  <si>
    <t>6.20.00-S</t>
  </si>
  <si>
    <t>Canillera Hockey Simbra 6.20.00-s Plot</t>
  </si>
  <si>
    <t>7692774199403984</t>
  </si>
  <si>
    <t>MLC3176536292</t>
  </si>
  <si>
    <t>U3445659820</t>
  </si>
  <si>
    <t>6.20.02-S</t>
  </si>
  <si>
    <t>Canillera Hockey Drb 6.20.02-s Flick S</t>
  </si>
  <si>
    <t>1762136483865357</t>
  </si>
  <si>
    <t>MLC1536411285</t>
  </si>
  <si>
    <t>U2289146410</t>
  </si>
  <si>
    <t>9.55.02-XL-NEG</t>
  </si>
  <si>
    <t>Rodillera Rotula  Xl  Neop Drb</t>
  </si>
  <si>
    <t>1028789961772047</t>
  </si>
  <si>
    <t>MLC1536519767</t>
  </si>
  <si>
    <t>U2292307949</t>
  </si>
  <si>
    <t>R.50.07</t>
  </si>
  <si>
    <t>Bal Basquet Reebok R.50.07 Zig Generation #6</t>
  </si>
  <si>
    <t>8596786820834973</t>
  </si>
  <si>
    <t>MLC1536521119</t>
  </si>
  <si>
    <t>U2296954320</t>
  </si>
  <si>
    <t>R.50.06</t>
  </si>
  <si>
    <t>Bal Basquet Reebok R.50.06 Zig Generation #5</t>
  </si>
  <si>
    <t>6831962941071854</t>
  </si>
  <si>
    <t>MLC1536868731</t>
  </si>
  <si>
    <t>U2312062045</t>
  </si>
  <si>
    <t>5.30.17-XXL</t>
  </si>
  <si>
    <t>Traje De Baño Dama Drb 5.30.17 1 Pza Dolphin Xxl</t>
  </si>
  <si>
    <t>Negro Xxl</t>
  </si>
  <si>
    <t>3127852019190333</t>
  </si>
  <si>
    <t>MLC1536881959</t>
  </si>
  <si>
    <t>U2312131039</t>
  </si>
  <si>
    <t>5.10.08</t>
  </si>
  <si>
    <t>Lente Natación Drb 5.10.08 - Unibody Junior</t>
  </si>
  <si>
    <t>Celeste</t>
  </si>
  <si>
    <t>7279033195763776</t>
  </si>
  <si>
    <t>MLC1536881993</t>
  </si>
  <si>
    <t>U2316824076</t>
  </si>
  <si>
    <t>5.10.41-BZ</t>
  </si>
  <si>
    <t>Lente Mirror 6.0 Drb 5.10.41 - Blanco Azul</t>
  </si>
  <si>
    <t>1029539979973594</t>
  </si>
  <si>
    <t>MLC1539063999</t>
  </si>
  <si>
    <t>U2462534812</t>
  </si>
  <si>
    <t>B.00.10</t>
  </si>
  <si>
    <t>Cinta Gimnasia Ritmica Drb B.00.10 - 3 Mts.</t>
  </si>
  <si>
    <t>MLC1541799367</t>
  </si>
  <si>
    <t>Cushion Grip Drb 1.80.12 - Hole</t>
  </si>
  <si>
    <t>30</t>
  </si>
  <si>
    <t>185765730713</t>
  </si>
  <si>
    <t>1.80.12</t>
  </si>
  <si>
    <t>Azul marino</t>
  </si>
  <si>
    <t>185765730715</t>
  </si>
  <si>
    <t>185765730717</t>
  </si>
  <si>
    <t>8974031342915982</t>
  </si>
  <si>
    <t>MLC1541838417</t>
  </si>
  <si>
    <t>U2585867607</t>
  </si>
  <si>
    <t>K.90.26</t>
  </si>
  <si>
    <t>Testimonio Aluminio Drb K.90.26 30x3,8 Cm</t>
  </si>
  <si>
    <t>7651384851221153</t>
  </si>
  <si>
    <t>MLC1541838419</t>
  </si>
  <si>
    <t>U2585867609</t>
  </si>
  <si>
    <t>K.90.25</t>
  </si>
  <si>
    <t>Testimonio Aluminio Drb K.90.25 30x2,8 Cm</t>
  </si>
  <si>
    <t>8623066550248447</t>
  </si>
  <si>
    <t>MLC1542186849</t>
  </si>
  <si>
    <t>U2612183291</t>
  </si>
  <si>
    <t>M.30.02</t>
  </si>
  <si>
    <t>Balon Futbol Americano Drb M.30.02 Juvenil</t>
  </si>
  <si>
    <t>Azul Juvenil</t>
  </si>
  <si>
    <t>3113704274315951</t>
  </si>
  <si>
    <t>MLC1542469813</t>
  </si>
  <si>
    <t>U2630527074</t>
  </si>
  <si>
    <t>6.20.02-M</t>
  </si>
  <si>
    <t>Canillera Drb 6.20.02 - Hockey Flick</t>
  </si>
  <si>
    <t>Xs Rojo</t>
  </si>
  <si>
    <t>8693138613539442</t>
  </si>
  <si>
    <t>MLC1542495493</t>
  </si>
  <si>
    <t>U2625680003</t>
  </si>
  <si>
    <t>6.00.42</t>
  </si>
  <si>
    <t>Palo Hockey Evo 4000 Drb 6.00.42 - Talla 36,5 Si</t>
  </si>
  <si>
    <t>Negro 37.5</t>
  </si>
  <si>
    <t>MLC1542509533</t>
  </si>
  <si>
    <t>Palo Hockey School Drb 6.00.08 - Talla 36</t>
  </si>
  <si>
    <t>Azul - Talla 36</t>
  </si>
  <si>
    <t>6686748497589148</t>
  </si>
  <si>
    <t>MLC1542516717</t>
  </si>
  <si>
    <t>U2625680015</t>
  </si>
  <si>
    <t>6.00.51</t>
  </si>
  <si>
    <t>Palo Hockey Evo 8000 Drb 6.00.51 - Talla 36,5</t>
  </si>
  <si>
    <t>8567837457841950</t>
  </si>
  <si>
    <t>MLC1542559277</t>
  </si>
  <si>
    <t>U2632193220</t>
  </si>
  <si>
    <t>4.00.09</t>
  </si>
  <si>
    <t>Balon Volley Drb 4.00.09 S Touch 3.0 Italy</t>
  </si>
  <si>
    <t>Violeta Oscuro</t>
  </si>
  <si>
    <t>MLC1542566041</t>
  </si>
  <si>
    <t>Palo Hockey School 32</t>
  </si>
  <si>
    <t>Rosado</t>
  </si>
  <si>
    <t>1528411583454295</t>
  </si>
  <si>
    <t>MLC1542584209</t>
  </si>
  <si>
    <t>U2629060171</t>
  </si>
  <si>
    <t>B.00.06</t>
  </si>
  <si>
    <t>Balon Ritmica Drb B.00.06 7  Lisa 400 Grs</t>
  </si>
  <si>
    <t>6374117244460137</t>
  </si>
  <si>
    <t>MLC1542584211</t>
  </si>
  <si>
    <t>U2629058465</t>
  </si>
  <si>
    <t>3.00.20</t>
  </si>
  <si>
    <t>Balon Basquet Drb 3.00.20 #5 Goma Naranja</t>
  </si>
  <si>
    <t>960370913627086</t>
  </si>
  <si>
    <t>MLC1542597061</t>
  </si>
  <si>
    <t>U2629060093</t>
  </si>
  <si>
    <t>3.00.28</t>
  </si>
  <si>
    <t>Balon Basquet Drb 3.00.28 - Pu #7</t>
  </si>
  <si>
    <t>275432867329463</t>
  </si>
  <si>
    <t>MLC1542622621</t>
  </si>
  <si>
    <t>U2633953688</t>
  </si>
  <si>
    <t>B.00.04</t>
  </si>
  <si>
    <t>Balon Ritmica Drb B.00.04 6  Lisa 300 Grs</t>
  </si>
  <si>
    <t>5684969437713280</t>
  </si>
  <si>
    <t>MLC1542622623</t>
  </si>
  <si>
    <t>U2633953686</t>
  </si>
  <si>
    <t>3.00.30</t>
  </si>
  <si>
    <t>Balon Basquet Drb 3.00.30 - #7 Goma Naranja</t>
  </si>
  <si>
    <t>5863540846909872</t>
  </si>
  <si>
    <t>MLC1542622629</t>
  </si>
  <si>
    <t>U2633958770</t>
  </si>
  <si>
    <t>3.00.21</t>
  </si>
  <si>
    <t>Balon Basquet Drb 3.00.21 - #5 Funball Color</t>
  </si>
  <si>
    <t>305702513105468</t>
  </si>
  <si>
    <t>MLC1544060209</t>
  </si>
  <si>
    <t>U2704812140</t>
  </si>
  <si>
    <t>C.10.00</t>
  </si>
  <si>
    <t>Pelota Pádel Sixzero C.10.00 - Classic</t>
  </si>
  <si>
    <t>8670243760910934</t>
  </si>
  <si>
    <t>MLC1544940487</t>
  </si>
  <si>
    <t>U2710901394</t>
  </si>
  <si>
    <t>M.20.50</t>
  </si>
  <si>
    <t>Paletas De Playa Drb M.20.50 - + 2 Pelotas</t>
  </si>
  <si>
    <t>3577407478434819</t>
  </si>
  <si>
    <t>MLC1544956561</t>
  </si>
  <si>
    <t>U2712048132</t>
  </si>
  <si>
    <t>9.70.03</t>
  </si>
  <si>
    <t>Protector Bucal Drb 9.70.03 - Simple Color</t>
  </si>
  <si>
    <t>2318814587617776</t>
  </si>
  <si>
    <t>MLC1545003335</t>
  </si>
  <si>
    <t>U2711834500</t>
  </si>
  <si>
    <t>9.70.09</t>
  </si>
  <si>
    <t>Protector Bucal Junior Drb 9.70.09 - Color × 48 Un</t>
  </si>
  <si>
    <t>8203815273436654</t>
  </si>
  <si>
    <t>MLC1545018281</t>
  </si>
  <si>
    <t>U2711943786</t>
  </si>
  <si>
    <t>9.70.18</t>
  </si>
  <si>
    <t>Protector Bucal Drb 9.70.18 - Saborizado Junior × 48 Un</t>
  </si>
  <si>
    <t>Rosa</t>
  </si>
  <si>
    <t>3307982255481407</t>
  </si>
  <si>
    <t>MLC1545378217</t>
  </si>
  <si>
    <t>U2708558135</t>
  </si>
  <si>
    <t>D.00.21</t>
  </si>
  <si>
    <t>Tripack Cana Baja Dama Combinado</t>
  </si>
  <si>
    <t>8597833849686951</t>
  </si>
  <si>
    <t>MLC1545394463</t>
  </si>
  <si>
    <t>U2316826698</t>
  </si>
  <si>
    <t>5.10.01-CEL</t>
  </si>
  <si>
    <t>Gafas De Natación Champ Speedo, Azules, Para Adultos Azul</t>
  </si>
  <si>
    <t>5596306784131223</t>
  </si>
  <si>
    <t>MLC1545479517</t>
  </si>
  <si>
    <t>U2714262850</t>
  </si>
  <si>
    <t>5.10.55-AZ</t>
  </si>
  <si>
    <t>Lente N. S. Flex X 24 Antifog</t>
  </si>
  <si>
    <t>6190399821868736</t>
  </si>
  <si>
    <t>MLC1545510627</t>
  </si>
  <si>
    <t>U2714492964</t>
  </si>
  <si>
    <t>5.25.00</t>
  </si>
  <si>
    <t>Set Natacion Drb 5.25.00 - Junior</t>
  </si>
  <si>
    <t>6752470341208473</t>
  </si>
  <si>
    <t>MLC1545523269</t>
  </si>
  <si>
    <t>U2714484850</t>
  </si>
  <si>
    <t>5.25.10</t>
  </si>
  <si>
    <t>Set Natacion Drb 5.25.10 - Adulto</t>
  </si>
  <si>
    <t>6302084140078634</t>
  </si>
  <si>
    <t>MLC1546632765</t>
  </si>
  <si>
    <t>U2729395375</t>
  </si>
  <si>
    <t>2.00.53</t>
  </si>
  <si>
    <t>Balon Futbol Drb 2.00.53 - Lic Boca</t>
  </si>
  <si>
    <t>MLC1546652805</t>
  </si>
  <si>
    <t>Balon Futbol Drb 2.00.21 - Arsenal #5</t>
  </si>
  <si>
    <t>60</t>
  </si>
  <si>
    <t>182179640616</t>
  </si>
  <si>
    <t>2.00.21-DOR</t>
  </si>
  <si>
    <t>Marrón</t>
  </si>
  <si>
    <t>182179640618</t>
  </si>
  <si>
    <t>2.00.21-PLA</t>
  </si>
  <si>
    <t>Plateado</t>
  </si>
  <si>
    <t>MLC1546678499</t>
  </si>
  <si>
    <t>Balon Futbol Drb 2.00.25 - Galaxy #5</t>
  </si>
  <si>
    <t>186002397443</t>
  </si>
  <si>
    <t>2.00.25-BLA</t>
  </si>
  <si>
    <t>186002397445</t>
  </si>
  <si>
    <t>2.00.25-NAR</t>
  </si>
  <si>
    <t>186002397447</t>
  </si>
  <si>
    <t>2.00.25-AMA</t>
  </si>
  <si>
    <t>7306920971390102</t>
  </si>
  <si>
    <t>MLC1546773197</t>
  </si>
  <si>
    <t>U2732097491</t>
  </si>
  <si>
    <t>2.80.45</t>
  </si>
  <si>
    <t>Canillera Drb 2.80.45 - High Manchester</t>
  </si>
  <si>
    <t>Xs Blanco</t>
  </si>
  <si>
    <t>4837039441337362</t>
  </si>
  <si>
    <t>MLC1546796937</t>
  </si>
  <si>
    <t>U2736872882</t>
  </si>
  <si>
    <t>2.80.36</t>
  </si>
  <si>
    <t>Canillera Drb 2.80.36 - C/tobill Eurostar</t>
  </si>
  <si>
    <t>S Azul</t>
  </si>
  <si>
    <t>4361092241675522</t>
  </si>
  <si>
    <t>MLC1546797081</t>
  </si>
  <si>
    <t>U2731952519</t>
  </si>
  <si>
    <t>2.80.35</t>
  </si>
  <si>
    <t>Canillera Drb 2.80.35 - C/tobill Eurostar</t>
  </si>
  <si>
    <t>Xs Azul</t>
  </si>
  <si>
    <t>4953248735250055</t>
  </si>
  <si>
    <t>MLC1547129367</t>
  </si>
  <si>
    <t>U2737970299</t>
  </si>
  <si>
    <t>2.80.66</t>
  </si>
  <si>
    <t>Canillera Drb 2.80.66 - Licencia Psg</t>
  </si>
  <si>
    <t>3686481789350507</t>
  </si>
  <si>
    <t>MLC1547169017</t>
  </si>
  <si>
    <t>U2738104269</t>
  </si>
  <si>
    <t>2.80.55</t>
  </si>
  <si>
    <t>Canillera Drb 2.80.55 - Licencia River</t>
  </si>
  <si>
    <t>6716047821339610</t>
  </si>
  <si>
    <t>MLC1547194509</t>
  </si>
  <si>
    <t>U2742974436</t>
  </si>
  <si>
    <t>2.80.57</t>
  </si>
  <si>
    <t>Canillera Drb 2.80.57 - Licencia River</t>
  </si>
  <si>
    <t>M Blanco</t>
  </si>
  <si>
    <t>1684452344242937</t>
  </si>
  <si>
    <t>MLC1547207713</t>
  </si>
  <si>
    <t>U2743011310</t>
  </si>
  <si>
    <t>2.80.56</t>
  </si>
  <si>
    <t>Canillera Drb 2.80.56 - Licencia River</t>
  </si>
  <si>
    <t>S Blanco</t>
  </si>
  <si>
    <t>7675556032428814</t>
  </si>
  <si>
    <t>MLC1547508649</t>
  </si>
  <si>
    <t>U2752152264</t>
  </si>
  <si>
    <t>2.80.79</t>
  </si>
  <si>
    <t>Canillera Drb 2.80.79 - Qatar Copa</t>
  </si>
  <si>
    <t>4944822400374865</t>
  </si>
  <si>
    <t>MLC1547572527</t>
  </si>
  <si>
    <t>U2752106744</t>
  </si>
  <si>
    <t>2.80.81</t>
  </si>
  <si>
    <t>Canillera Drb 2.80.81 - Qatar Copa</t>
  </si>
  <si>
    <t>6077006506185002</t>
  </si>
  <si>
    <t>MLC1548178503</t>
  </si>
  <si>
    <t>U2759420465</t>
  </si>
  <si>
    <t>2.20.01-NAR-BCO</t>
  </si>
  <si>
    <t>Media Adulto Comb Drb 2.20.01 Naran Bco</t>
  </si>
  <si>
    <t>3625435002886199</t>
  </si>
  <si>
    <t>MLC1548186379</t>
  </si>
  <si>
    <t>U2764383400</t>
  </si>
  <si>
    <t>2.20.01-CEL-BCO</t>
  </si>
  <si>
    <t>Media Adulto Comb Drb 2.20.01 Cele Bco</t>
  </si>
  <si>
    <t>5729161332115104</t>
  </si>
  <si>
    <t>MLC1548198863</t>
  </si>
  <si>
    <t>U2759418889</t>
  </si>
  <si>
    <t>2.20.01-BCO-NE</t>
  </si>
  <si>
    <t>Media Adulto Comb Drb 2.20.01 Bco Negro</t>
  </si>
  <si>
    <t>7249511648250483</t>
  </si>
  <si>
    <t>MLC1548198885</t>
  </si>
  <si>
    <t>U2764381226</t>
  </si>
  <si>
    <t>2.20.01-AM-NE</t>
  </si>
  <si>
    <t>Media Adulto Comb Drb 2.20.01 Ama Negro</t>
  </si>
  <si>
    <t>4745817228417740</t>
  </si>
  <si>
    <t>MLC1548198893</t>
  </si>
  <si>
    <t>U2764384550</t>
  </si>
  <si>
    <t>2.20.01-NAR-NE</t>
  </si>
  <si>
    <t>Media Adulto Comb Drb 2.20.01 Naran Negro</t>
  </si>
  <si>
    <t>3786425405231259</t>
  </si>
  <si>
    <t>MLC1548211351</t>
  </si>
  <si>
    <t>U2759419829</t>
  </si>
  <si>
    <t>2.20.01-BCO-ROJ</t>
  </si>
  <si>
    <t>Media Adulto Comb Drb 2.20.01 Bco Rojo</t>
  </si>
  <si>
    <t>306247346341412</t>
  </si>
  <si>
    <t>MLC1548211371</t>
  </si>
  <si>
    <t>U2764381658</t>
  </si>
  <si>
    <t>2.20.01-AZL-AMA</t>
  </si>
  <si>
    <t>Media Adulto Comb Drb 2.20.01 Azno Amari</t>
  </si>
  <si>
    <t>7643970383508150</t>
  </si>
  <si>
    <t>MLC1548223561</t>
  </si>
  <si>
    <t>U2759420561</t>
  </si>
  <si>
    <t>2.20.01-BCO-VER</t>
  </si>
  <si>
    <t>Media Adulto Comb Drb 2.20.01 Bco Verd</t>
  </si>
  <si>
    <t>2766677668316197</t>
  </si>
  <si>
    <t>MLC1548236399</t>
  </si>
  <si>
    <t>U2764384454</t>
  </si>
  <si>
    <t>2.20.01-CEL-NE</t>
  </si>
  <si>
    <t>Media Adulto Comb Drb 2.20.01 Celes Negro</t>
  </si>
  <si>
    <t>7426930191457318</t>
  </si>
  <si>
    <t>MLC1548251877</t>
  </si>
  <si>
    <t>U2764912646</t>
  </si>
  <si>
    <t>2.20.00-AZM</t>
  </si>
  <si>
    <t>Media Adulto Drb 2.20.00 - Lisa Azl Marino</t>
  </si>
  <si>
    <t>7566504217826611</t>
  </si>
  <si>
    <t>MLC1548251879</t>
  </si>
  <si>
    <t>U2764910760</t>
  </si>
  <si>
    <t>2.20.00-CEL</t>
  </si>
  <si>
    <t>Media Adulto Drb 2.20.00 - Lisa Celeste</t>
  </si>
  <si>
    <t>6534065058760539</t>
  </si>
  <si>
    <t>MLC1548251881</t>
  </si>
  <si>
    <t>U2759948051</t>
  </si>
  <si>
    <t>2.20.00-ANE</t>
  </si>
  <si>
    <t>Media Adulto Drb 2.20.00 - Lisa Amarillo Neon</t>
  </si>
  <si>
    <t>6615928914213529</t>
  </si>
  <si>
    <t>MLC1548255045</t>
  </si>
  <si>
    <t>U2765264590</t>
  </si>
  <si>
    <t>2.20.08-LL-BCO</t>
  </si>
  <si>
    <t>Media Infantil Comb Drb 2.20.08 Lila Bco</t>
  </si>
  <si>
    <t>3097463418738764</t>
  </si>
  <si>
    <t>MLC1548258007</t>
  </si>
  <si>
    <t>U2765531848</t>
  </si>
  <si>
    <t>2.20.07-AZL</t>
  </si>
  <si>
    <t>Media Infantil Drb 2.20.07 - Lisa Azulino</t>
  </si>
  <si>
    <t>6909227734172</t>
  </si>
  <si>
    <t>MLC1548261035</t>
  </si>
  <si>
    <t>U2765261178</t>
  </si>
  <si>
    <t>2.20.08-CEL-NE</t>
  </si>
  <si>
    <t>Media Infantil Comb Drb 2.20.08 Cele Negr</t>
  </si>
  <si>
    <t>4146053796606235</t>
  </si>
  <si>
    <t>MLC1548261053</t>
  </si>
  <si>
    <t>U2760298927</t>
  </si>
  <si>
    <t>2.20.08-AZL-AMA</t>
  </si>
  <si>
    <t>Media Infantil Comb Drb 2.20.08 Azno Amar</t>
  </si>
  <si>
    <t>1058679687972996</t>
  </si>
  <si>
    <t>MLC1548263981</t>
  </si>
  <si>
    <t>U2760568417</t>
  </si>
  <si>
    <t>2.20.07-CEL</t>
  </si>
  <si>
    <t>Media Infantil Drb 2.20.07 - Lisa Celeste</t>
  </si>
  <si>
    <t>3434048008575812</t>
  </si>
  <si>
    <t>MLC1548263983</t>
  </si>
  <si>
    <t>U2760570165</t>
  </si>
  <si>
    <t>2.20.07-NE</t>
  </si>
  <si>
    <t>Media Infantil Drb 2.20.07 - Lisa Negro</t>
  </si>
  <si>
    <t>5595404450713989</t>
  </si>
  <si>
    <t>MLC1548273809</t>
  </si>
  <si>
    <t>U2765262530</t>
  </si>
  <si>
    <t>2.20.08-BCO-AZL</t>
  </si>
  <si>
    <t>Media Infantil Comb Drb 2.20.08 Bco Azuli</t>
  </si>
  <si>
    <t>5469648871919018</t>
  </si>
  <si>
    <t>MLC1548273853</t>
  </si>
  <si>
    <t>U2760305849</t>
  </si>
  <si>
    <t>2.20.08-NAR-BCO</t>
  </si>
  <si>
    <t>Media Infantil Comb Drb 2.20.08 Naran Bco</t>
  </si>
  <si>
    <t>422831782147517</t>
  </si>
  <si>
    <t>MLC1548390939</t>
  </si>
  <si>
    <t>U2764155509</t>
  </si>
  <si>
    <t>2.10.32</t>
  </si>
  <si>
    <t>Peto Calado Drb 2.10.32 - Cerrado Adulto × 50 Un</t>
  </si>
  <si>
    <t>449883068502337</t>
  </si>
  <si>
    <t>MLC1548390941</t>
  </si>
  <si>
    <t>U2764155519</t>
  </si>
  <si>
    <t>2.10.21</t>
  </si>
  <si>
    <t>Peto Deportivo Junior Drb 2.10.21 - C/elástico × 50 Un</t>
  </si>
  <si>
    <t>6542327323941448</t>
  </si>
  <si>
    <t>MLC1548403863</t>
  </si>
  <si>
    <t>U2764153607</t>
  </si>
  <si>
    <t>2.10.38</t>
  </si>
  <si>
    <t>Peto Calado Drb 2.10.38 - Cerrado Adulto × 500 Un</t>
  </si>
  <si>
    <t>5601297434223880</t>
  </si>
  <si>
    <t>MLC1548403865</t>
  </si>
  <si>
    <t>U2764158009</t>
  </si>
  <si>
    <t>2.10.30</t>
  </si>
  <si>
    <t>Peto Calado Drb 2.10.30 - Cerrado Adulto × 10 Un</t>
  </si>
  <si>
    <t>4303941777723754</t>
  </si>
  <si>
    <t>MLC1548770467</t>
  </si>
  <si>
    <t>U2773667047</t>
  </si>
  <si>
    <t>2.90.93</t>
  </si>
  <si>
    <t>Red Fútbol Drb 2.90.93 - Pe 2.5 Mm 037</t>
  </si>
  <si>
    <t>MLC1549531259</t>
  </si>
  <si>
    <t>Short Futbol Liso Negro</t>
  </si>
  <si>
    <t>186089299451</t>
  </si>
  <si>
    <t>2.40.32NE.M</t>
  </si>
  <si>
    <t>Negro / M</t>
  </si>
  <si>
    <t>186089299449</t>
  </si>
  <si>
    <t>2.40.32NE.L</t>
  </si>
  <si>
    <t>Negro / L</t>
  </si>
  <si>
    <t>186089299455</t>
  </si>
  <si>
    <t>2.40.32NE.XL</t>
  </si>
  <si>
    <t>Negro / XL</t>
  </si>
  <si>
    <t>186089299453</t>
  </si>
  <si>
    <t>2.40.32NE.S</t>
  </si>
  <si>
    <t>Negro / S</t>
  </si>
  <si>
    <t>MLC1549542859</t>
  </si>
  <si>
    <t>Short Futbol Drb 2.40.32 Liso Verde</t>
  </si>
  <si>
    <t>40</t>
  </si>
  <si>
    <t>186089226791</t>
  </si>
  <si>
    <t>2.40.32-VER-L</t>
  </si>
  <si>
    <t>L / Verde</t>
  </si>
  <si>
    <t>186089226795</t>
  </si>
  <si>
    <t>2.40.32-VER-S</t>
  </si>
  <si>
    <t>S / Verde</t>
  </si>
  <si>
    <t>186089226793</t>
  </si>
  <si>
    <t>2.40.32-VER-M</t>
  </si>
  <si>
    <t>M / Verde</t>
  </si>
  <si>
    <t>186089226797</t>
  </si>
  <si>
    <t>2.40.32-VER-XL</t>
  </si>
  <si>
    <t>XL / Verde</t>
  </si>
  <si>
    <t>MLC1549544451</t>
  </si>
  <si>
    <t>Short Futbol Niño Drb 2.40.36 - Rojo</t>
  </si>
  <si>
    <t>20</t>
  </si>
  <si>
    <t>186089593215</t>
  </si>
  <si>
    <t>2.40.36-ROJ-XXS</t>
  </si>
  <si>
    <t>XXS / Rojo</t>
  </si>
  <si>
    <t>186089593213</t>
  </si>
  <si>
    <t>2.40.36-ROJ-XS</t>
  </si>
  <si>
    <t>XS / Rojo</t>
  </si>
  <si>
    <t>1736086624538226</t>
  </si>
  <si>
    <t>MLC1549621701</t>
  </si>
  <si>
    <t>U2808190526</t>
  </si>
  <si>
    <t>8.10.26</t>
  </si>
  <si>
    <t>Pelota Pp Sensei 8.10.26 - X 6 Unid 3# Blanca</t>
  </si>
  <si>
    <t>4207628294274235</t>
  </si>
  <si>
    <t>MLC1549621703</t>
  </si>
  <si>
    <t>U2803222021</t>
  </si>
  <si>
    <t>8.00.00</t>
  </si>
  <si>
    <t>Paleta Ping Pong Sensei 8.00.00 - 1#</t>
  </si>
  <si>
    <t>Negro St (recto)</t>
  </si>
  <si>
    <t>2777959204604190</t>
  </si>
  <si>
    <t>MLC1549621705</t>
  </si>
  <si>
    <t>U2808189622</t>
  </si>
  <si>
    <t>8.10.25</t>
  </si>
  <si>
    <t>Pelota Pp Yashima Nara 8.10.25 - X 6 Unid 3#</t>
  </si>
  <si>
    <t>Naranjo</t>
  </si>
  <si>
    <t>8406667840111458</t>
  </si>
  <si>
    <t>MLC1549634077</t>
  </si>
  <si>
    <t>U2803222015</t>
  </si>
  <si>
    <t>8.00.05</t>
  </si>
  <si>
    <t>Paleta Ping Pong Sensei 8.00.05 - 6#</t>
  </si>
  <si>
    <t>Azul St (recto)</t>
  </si>
  <si>
    <t>6118419259565178</t>
  </si>
  <si>
    <t>MLC1549646059</t>
  </si>
  <si>
    <t>U2808189612</t>
  </si>
  <si>
    <t>8.20.00</t>
  </si>
  <si>
    <t>Soporte/red Sensei 8.20.00 - Clasico</t>
  </si>
  <si>
    <t>3341199090258087</t>
  </si>
  <si>
    <t>MLC1549655735</t>
  </si>
  <si>
    <t>U2808190522</t>
  </si>
  <si>
    <t>8.40.02</t>
  </si>
  <si>
    <t>Set Pp Sensei Drb 8.40.02 - Completo</t>
  </si>
  <si>
    <t>5468688589097984</t>
  </si>
  <si>
    <t>MLC1549655737</t>
  </si>
  <si>
    <t>U2803222023</t>
  </si>
  <si>
    <t>8.10.18</t>
  </si>
  <si>
    <t>Pelota Pp Sensei 8.10.18 - X 6 Unid 1# Blanca</t>
  </si>
  <si>
    <t>733019016245517</t>
  </si>
  <si>
    <t>MLC1549667111</t>
  </si>
  <si>
    <t>U2808190536</t>
  </si>
  <si>
    <t>8.40.01</t>
  </si>
  <si>
    <t>Set Goma Lisa Drb 8.40.01 - Sensei 2 Pal 3 Pel</t>
  </si>
  <si>
    <t>39717799477709</t>
  </si>
  <si>
    <t>MLC1550963017</t>
  </si>
  <si>
    <t>U2832485795</t>
  </si>
  <si>
    <t>2.90.67</t>
  </si>
  <si>
    <t>Pito Drb 2.90.67 - Plástico Box 12 Un C/cordón</t>
  </si>
  <si>
    <t>5119857254490264</t>
  </si>
  <si>
    <t>MLC1551454415</t>
  </si>
  <si>
    <t>U2846754924</t>
  </si>
  <si>
    <t>2.20.05-BL-AZL</t>
  </si>
  <si>
    <t>Media Juvenil Drb 2.20.04 Bco Azulin</t>
  </si>
  <si>
    <t>3197024217596672</t>
  </si>
  <si>
    <t>MLC1551557169</t>
  </si>
  <si>
    <t>U2841778707</t>
  </si>
  <si>
    <t>2.20.00</t>
  </si>
  <si>
    <t>Media Adulto Lisa</t>
  </si>
  <si>
    <t>MLC1571462799</t>
  </si>
  <si>
    <t>Canillera Reebok R.10.03 - Royal3</t>
  </si>
  <si>
    <t>182808172272</t>
  </si>
  <si>
    <t>R.10.03</t>
  </si>
  <si>
    <t>182808172274</t>
  </si>
  <si>
    <t>R.10.02</t>
  </si>
  <si>
    <t>S</t>
  </si>
  <si>
    <t>182808172276</t>
  </si>
  <si>
    <t>R.10.01</t>
  </si>
  <si>
    <t>XS</t>
  </si>
  <si>
    <t>2119224767375598</t>
  </si>
  <si>
    <t>MLC1571475209</t>
  </si>
  <si>
    <t>U2977497083</t>
  </si>
  <si>
    <t>V.06.20-XL</t>
  </si>
  <si>
    <t>Guantilla Cuero Drb V.06.20 - Vienesa Xl</t>
  </si>
  <si>
    <t>Xl</t>
  </si>
  <si>
    <t>MLC1571475215</t>
  </si>
  <si>
    <t>Guante Mma Drb V.06.00 - C. Sint. Dx</t>
  </si>
  <si>
    <t>182808159950</t>
  </si>
  <si>
    <t>V.06.00-L</t>
  </si>
  <si>
    <t>L</t>
  </si>
  <si>
    <t>182808159952</t>
  </si>
  <si>
    <t>V.06.00-M</t>
  </si>
  <si>
    <t>182808159954</t>
  </si>
  <si>
    <t>V.06.00-S</t>
  </si>
  <si>
    <t>182808159956</t>
  </si>
  <si>
    <t>V.06.00-XL</t>
  </si>
  <si>
    <t>XL</t>
  </si>
  <si>
    <t>4522854206219107</t>
  </si>
  <si>
    <t>MLC1571475217</t>
  </si>
  <si>
    <t>U2977497341</t>
  </si>
  <si>
    <t>2.90.18</t>
  </si>
  <si>
    <t>Pizarra Drb 2.90.18 - Blanca Fútbol</t>
  </si>
  <si>
    <t>7177134760273264</t>
  </si>
  <si>
    <t>MLC1571508847</t>
  </si>
  <si>
    <t>U2982666132</t>
  </si>
  <si>
    <t>V.06.20-M</t>
  </si>
  <si>
    <t>Guantilla Cuero Drb V.06.20 - Vienesa M</t>
  </si>
  <si>
    <t>4564784191104006</t>
  </si>
  <si>
    <t>MLC1571508853</t>
  </si>
  <si>
    <t>U2977497307</t>
  </si>
  <si>
    <t>V.04.00</t>
  </si>
  <si>
    <t>Guante Foco Drb V.04.00 - Standard</t>
  </si>
  <si>
    <t>MLC1571521751</t>
  </si>
  <si>
    <t>Guante De Box 10 Oz V.00.04 - Punto Blanco</t>
  </si>
  <si>
    <t>182808137048</t>
  </si>
  <si>
    <t>V.00.04</t>
  </si>
  <si>
    <t>10oz</t>
  </si>
  <si>
    <t>182808137050</t>
  </si>
  <si>
    <t>V.00.05</t>
  </si>
  <si>
    <t>12oz</t>
  </si>
  <si>
    <t>182808137052</t>
  </si>
  <si>
    <t>V.00.06</t>
  </si>
  <si>
    <t>14oz</t>
  </si>
  <si>
    <t>4239101049140178</t>
  </si>
  <si>
    <t>MLC1571521753</t>
  </si>
  <si>
    <t>U2977495279</t>
  </si>
  <si>
    <t>2.90.86</t>
  </si>
  <si>
    <t>Red Baby-handbol Drb 2.90.86 - Pe 2.0 Mm 058</t>
  </si>
  <si>
    <t>3753533645364116</t>
  </si>
  <si>
    <t>MLC1571521763</t>
  </si>
  <si>
    <t>U2977497373</t>
  </si>
  <si>
    <t>V.06.20-L</t>
  </si>
  <si>
    <t>Guantilla Cuero Drb V.06.20 - Vienesa L</t>
  </si>
  <si>
    <t>8930603508891972</t>
  </si>
  <si>
    <t>MLC1607458713</t>
  </si>
  <si>
    <t>U3162899012</t>
  </si>
  <si>
    <t>8.10.19</t>
  </si>
  <si>
    <t>Pack Pelotas 6 Unid Naranja Ping Pong 1 Estrella Sensei</t>
  </si>
  <si>
    <t>8605542031636059</t>
  </si>
  <si>
    <t>MLC1607642213</t>
  </si>
  <si>
    <t>U2632110472</t>
  </si>
  <si>
    <t>4.00.08</t>
  </si>
  <si>
    <t>Balón Vóley Drb Soft Touch 5 Tamaño 5 Blanco Indoor Playa Competición</t>
  </si>
  <si>
    <t>2074320716727437</t>
  </si>
  <si>
    <t>MLC1607934581</t>
  </si>
  <si>
    <t>U3160317069</t>
  </si>
  <si>
    <t>9.70.07</t>
  </si>
  <si>
    <t>Protector Bucal Drb 9.70.07 - Doble Transp. × 48 Un</t>
  </si>
  <si>
    <t>Transparente Sin Sabor</t>
  </si>
  <si>
    <t>MLC1638657235</t>
  </si>
  <si>
    <t>Pack Short Dama Drb 2.40.38 C/lycra</t>
  </si>
  <si>
    <t>184145026812</t>
  </si>
  <si>
    <t>PACK-2.40.38.38-AZ-BL-S</t>
  </si>
  <si>
    <t>Azul - blanco / Lisa / S</t>
  </si>
  <si>
    <t>184145026820</t>
  </si>
  <si>
    <t>PACK-2.40.38.38-NE-BL-XL</t>
  </si>
  <si>
    <t>Blanco - Negro / Lisa / XL</t>
  </si>
  <si>
    <t>184145026816</t>
  </si>
  <si>
    <t>PACK-2.40.38.38-AZ-BL-L</t>
  </si>
  <si>
    <t>Azul - blanco / L / Lisa</t>
  </si>
  <si>
    <t>184145026818</t>
  </si>
  <si>
    <t>PACK-2.40.38.38-AZ-BL-XL</t>
  </si>
  <si>
    <t>Azul - blanco / Lisa / XL</t>
  </si>
  <si>
    <t>184145026814</t>
  </si>
  <si>
    <t>PACK-2.40.38.38-AZ-BL-M</t>
  </si>
  <si>
    <t>Azul - blanco / M / Lisa</t>
  </si>
  <si>
    <t>MLC1638657237</t>
  </si>
  <si>
    <t>Pack Short Dama Drb 2.40.39.38 Liso C/lycra</t>
  </si>
  <si>
    <t>184145026826</t>
  </si>
  <si>
    <t>PACK-2.40.39.38-AZ-BL-L</t>
  </si>
  <si>
    <t>184145026822</t>
  </si>
  <si>
    <t>PACK-2.40.39.38-CA-BL-S</t>
  </si>
  <si>
    <t>Blanco - Calipso / Lisa / S</t>
  </si>
  <si>
    <t>184145026824</t>
  </si>
  <si>
    <t>PACK-2.40.39.38-AZ-BL-M</t>
  </si>
  <si>
    <t>MLC1638694249</t>
  </si>
  <si>
    <t>Pack Short Niño Drb 2.40.36 Futbol</t>
  </si>
  <si>
    <t>70</t>
  </si>
  <si>
    <t>184144996164</t>
  </si>
  <si>
    <t>PACK-2.40.36-AZ-BL-XXS</t>
  </si>
  <si>
    <t>XXS / Azul - Blanco / Lisa</t>
  </si>
  <si>
    <t>184144996166</t>
  </si>
  <si>
    <t>PACK-2.40.36-NE-BL-XXS</t>
  </si>
  <si>
    <t>XXS / Negro - Blanco / Lisa</t>
  </si>
  <si>
    <t>184144996160</t>
  </si>
  <si>
    <t>PACK-2.40.36-RO-VE-XS</t>
  </si>
  <si>
    <t>XS / Lisa / Rojo - Verde</t>
  </si>
  <si>
    <t>184144996162</t>
  </si>
  <si>
    <t>PACK-2.40.36-NE-VE-XS</t>
  </si>
  <si>
    <t>XS / Negro - Verde / Lisa</t>
  </si>
  <si>
    <t>184144996170</t>
  </si>
  <si>
    <t>PACK-2.40.36-NE-VE-XXS</t>
  </si>
  <si>
    <t>XXS / Negro - Verde / Lisa</t>
  </si>
  <si>
    <t>184144996158</t>
  </si>
  <si>
    <t>PACK-2.40.36-NE-BL-XS</t>
  </si>
  <si>
    <t>XS / Blanco - Negro / Lisa</t>
  </si>
  <si>
    <t>184144996168</t>
  </si>
  <si>
    <t>PACK-2.40.36-RO-VE-XXS</t>
  </si>
  <si>
    <t>XXS / Lisa / Rojo - Verde</t>
  </si>
  <si>
    <t>MLC1638705417</t>
  </si>
  <si>
    <t>Pack Media Juvenil 2.20.22 Sin Pie</t>
  </si>
  <si>
    <t>184145252724</t>
  </si>
  <si>
    <t>PACK-2.20.20-AM-AZM</t>
  </si>
  <si>
    <t>amarillo - azul marino</t>
  </si>
  <si>
    <t>184145252726</t>
  </si>
  <si>
    <t>PACK-2.20.22-RO-BL</t>
  </si>
  <si>
    <t>blanco - azulino</t>
  </si>
  <si>
    <t>184145252728</t>
  </si>
  <si>
    <t>PACK-2.20.22-CE-NE</t>
  </si>
  <si>
    <t>celeste - negro</t>
  </si>
  <si>
    <t>184145252730</t>
  </si>
  <si>
    <t>PACK-2.20.22-RO-VE</t>
  </si>
  <si>
    <t>rojo - verde</t>
  </si>
  <si>
    <t>6167757605070288</t>
  </si>
  <si>
    <t>MLC1639716557</t>
  </si>
  <si>
    <t>U3271261495</t>
  </si>
  <si>
    <t>CONJ-8.00.40-8.10.18</t>
  </si>
  <si>
    <t>Paleta Pp Entren 80190 + Pelota Pp Sensei #6 00.10 X6u</t>
  </si>
  <si>
    <t>Rojo Y Negro Mango Recto</t>
  </si>
  <si>
    <t>MLC1639731305</t>
  </si>
  <si>
    <t>Tripack Media Adulto 2.20.14 - Lisa Team</t>
  </si>
  <si>
    <t>188829491639</t>
  </si>
  <si>
    <t>2.20.14-TRIPACK-AZM-AZL-01NR</t>
  </si>
  <si>
    <t>azul marino - azulino - rojo</t>
  </si>
  <si>
    <t>188829491641</t>
  </si>
  <si>
    <t>2.20.14-TRIPACK-AZM-NE-01NR</t>
  </si>
  <si>
    <t>blanco - negro - rojo</t>
  </si>
  <si>
    <t>188829491643</t>
  </si>
  <si>
    <t>2.20.14-TRIPACK-RO-VE-BL</t>
  </si>
  <si>
    <t>rojo - verde - blanco</t>
  </si>
  <si>
    <t>6988687031370979</t>
  </si>
  <si>
    <t>MLC1642173777</t>
  </si>
  <si>
    <t>U3278024717</t>
  </si>
  <si>
    <t>CONJ-2.00.21-G.10.01</t>
  </si>
  <si>
    <t>Balón Futbol + Bombín Drb 00.90 Arsenal</t>
  </si>
  <si>
    <t>8796288941132477</t>
  </si>
  <si>
    <t>MLC1642173783</t>
  </si>
  <si>
    <t>U3278022851</t>
  </si>
  <si>
    <t>CONJ-3.00.32-2.90.12</t>
  </si>
  <si>
    <t>Balón Basquet Drb + Bombín Drb 00.90 #7 Funball</t>
  </si>
  <si>
    <t>MLC1649426235</t>
  </si>
  <si>
    <t>Balon Volley Drb 4.00.09 S Touch 3.0 Italy Color Violeta Oscuro</t>
  </si>
  <si>
    <t>6888591134901459</t>
  </si>
  <si>
    <t>MLC1698615603</t>
  </si>
  <si>
    <t>U3427363792</t>
  </si>
  <si>
    <t>2.10.46</t>
  </si>
  <si>
    <t>Peto Calado Cerrado Jr. 250 Un</t>
  </si>
  <si>
    <t>5196551781316196</t>
  </si>
  <si>
    <t>MLC1698615605</t>
  </si>
  <si>
    <t>U3420754387</t>
  </si>
  <si>
    <t>A.10.00</t>
  </si>
  <si>
    <t>Pizarra Blanca Handbol</t>
  </si>
  <si>
    <t>3560533815244606</t>
  </si>
  <si>
    <t>MLC1698628219</t>
  </si>
  <si>
    <t>U3427365322</t>
  </si>
  <si>
    <t>2.10.40</t>
  </si>
  <si>
    <t>Peto Calado Cerrado Jr. 10 Un</t>
  </si>
  <si>
    <t>2812965319214713</t>
  </si>
  <si>
    <t>MLC1698641241</t>
  </si>
  <si>
    <t>U3427363790</t>
  </si>
  <si>
    <t>2.10.12</t>
  </si>
  <si>
    <t>Peto Calado Con Elastico X 50 Unid</t>
  </si>
  <si>
    <t>Verde Claro</t>
  </si>
  <si>
    <t>3755350501705902</t>
  </si>
  <si>
    <t>MLC1698641243</t>
  </si>
  <si>
    <t>U3427365318</t>
  </si>
  <si>
    <t>2.10.16</t>
  </si>
  <si>
    <t>Peto Calado Con Elastico X 500 Unid</t>
  </si>
  <si>
    <t>1624205685259708</t>
  </si>
  <si>
    <t>MLC1698641245</t>
  </si>
  <si>
    <t>U3420754399</t>
  </si>
  <si>
    <t>2.10.14</t>
  </si>
  <si>
    <t>Peto Calado Con Elastico X 100 Unid</t>
  </si>
  <si>
    <t>2188834298263897</t>
  </si>
  <si>
    <t>MLC1698667293</t>
  </si>
  <si>
    <t>U3427365320</t>
  </si>
  <si>
    <t>2.10.42</t>
  </si>
  <si>
    <t>Peto Calado Cerrado Jr. 50 Un</t>
  </si>
  <si>
    <t>2970051353909949</t>
  </si>
  <si>
    <t>MLC1698667295</t>
  </si>
  <si>
    <t>U3420755955</t>
  </si>
  <si>
    <t>2.10.44</t>
  </si>
  <si>
    <t>Peto Calado Cerrado Jr. 100 Un</t>
  </si>
  <si>
    <t>3293922213694648</t>
  </si>
  <si>
    <t>MLC1698680327</t>
  </si>
  <si>
    <t>U3427365338</t>
  </si>
  <si>
    <t>2.10.48</t>
  </si>
  <si>
    <t>Peto Calado Cerrado Jr. 500 Un</t>
  </si>
  <si>
    <t>401254272574204</t>
  </si>
  <si>
    <t>MLC1698705945</t>
  </si>
  <si>
    <t>U3427365316</t>
  </si>
  <si>
    <t>2.10.15</t>
  </si>
  <si>
    <t>Peto Calado Con Elastico X 250 Unid</t>
  </si>
  <si>
    <t>5332118081808834</t>
  </si>
  <si>
    <t>MLC1702841019</t>
  </si>
  <si>
    <t>U3433873837</t>
  </si>
  <si>
    <t>2.00.39-NAR</t>
  </si>
  <si>
    <t>Balon Futbol Drb 2.00.39-nar Prime Neo #3 Nar</t>
  </si>
  <si>
    <t>6695101686807746</t>
  </si>
  <si>
    <t>MLC1702841021</t>
  </si>
  <si>
    <t>U3433877073</t>
  </si>
  <si>
    <t>2.00.90</t>
  </si>
  <si>
    <t>Balon Futbol Drb 2.00.90 Lic Palmeir Green</t>
  </si>
  <si>
    <t>5575460809695771</t>
  </si>
  <si>
    <t>MLC1702866473</t>
  </si>
  <si>
    <t>U3433875179</t>
  </si>
  <si>
    <t>2.00.24</t>
  </si>
  <si>
    <t>Balon Futbol Drb 2.00.24 Prime #5</t>
  </si>
  <si>
    <t>2615712825686739</t>
  </si>
  <si>
    <t>MLC1702866475</t>
  </si>
  <si>
    <t>U3440540582</t>
  </si>
  <si>
    <t>2.00.38</t>
  </si>
  <si>
    <t>Balon Futbol Drb 2.00.38-ver Prime Neo #4 Ver</t>
  </si>
  <si>
    <t>5663696562854318</t>
  </si>
  <si>
    <t>MLC1702866479</t>
  </si>
  <si>
    <t>U3433875197</t>
  </si>
  <si>
    <t>2.00.32</t>
  </si>
  <si>
    <t>Balon Futbol Drb 2.00.32 Prime #4</t>
  </si>
  <si>
    <t>Azul Claro</t>
  </si>
  <si>
    <t>5259123360181751</t>
  </si>
  <si>
    <t>MLC1702879209</t>
  </si>
  <si>
    <t>U3440540566</t>
  </si>
  <si>
    <t>R.00.60</t>
  </si>
  <si>
    <t>Bal Futsal Reebok R.00.60 Extreme</t>
  </si>
  <si>
    <t>8759462860264055</t>
  </si>
  <si>
    <t>MLC1702879211</t>
  </si>
  <si>
    <t>U3440540564</t>
  </si>
  <si>
    <t>2.00.96</t>
  </si>
  <si>
    <t>Balon Futbol Drb 2.00.96  Dc Liga Justic #5</t>
  </si>
  <si>
    <t>4303514931532605</t>
  </si>
  <si>
    <t>MLC1702879213</t>
  </si>
  <si>
    <t>U3433875183</t>
  </si>
  <si>
    <t>2.00.43</t>
  </si>
  <si>
    <t xml:space="preserve">Balon Futbol Drb 2.00.43 Fifa26 Copa  26 </t>
  </si>
  <si>
    <t>1613119702934531</t>
  </si>
  <si>
    <t>MLC1702905247</t>
  </si>
  <si>
    <t>U3440540562</t>
  </si>
  <si>
    <t>2.00.39</t>
  </si>
  <si>
    <t>Balon Futbol Drb 2.00.39-ver Prime Neo #3 Ver</t>
  </si>
  <si>
    <t>294154160205339</t>
  </si>
  <si>
    <t>MLC1702905249</t>
  </si>
  <si>
    <t>U3433875169</t>
  </si>
  <si>
    <t>2.00.95</t>
  </si>
  <si>
    <t>Balon Futbol Drb  Dc 2.00.95 Flash #5</t>
  </si>
  <si>
    <t>2965010321768344</t>
  </si>
  <si>
    <t>MLC1702905251</t>
  </si>
  <si>
    <t>U3433875171</t>
  </si>
  <si>
    <t>2.00.71</t>
  </si>
  <si>
    <t>Balon Baby Prime Drb 2.00.71 [butyl]</t>
  </si>
  <si>
    <t>193122857185470</t>
  </si>
  <si>
    <t>MLC1702905253</t>
  </si>
  <si>
    <t>U3433877077</t>
  </si>
  <si>
    <t>2.00.42</t>
  </si>
  <si>
    <t>Balon Futbol Drb 2.00.42 Fiber #5</t>
  </si>
  <si>
    <t>3127664883846431</t>
  </si>
  <si>
    <t>MLC1702905255</t>
  </si>
  <si>
    <t>U3433875193</t>
  </si>
  <si>
    <t>2.00.74</t>
  </si>
  <si>
    <t>Balon Futsal Drb 2.00.74 Fiber</t>
  </si>
  <si>
    <t>5394427170069288</t>
  </si>
  <si>
    <t>MLC1702918285</t>
  </si>
  <si>
    <t>U3433875187</t>
  </si>
  <si>
    <t>2.00.91</t>
  </si>
  <si>
    <t>Balon Futbol Drb 2.00.91 Lic Corinth Black</t>
  </si>
  <si>
    <t>8117798518808332</t>
  </si>
  <si>
    <t>MLC1702943785</t>
  </si>
  <si>
    <t>U3440540554</t>
  </si>
  <si>
    <t>R.00.40</t>
  </si>
  <si>
    <t>Bal Futbolito Reebok R.00.40 Extreme #5</t>
  </si>
  <si>
    <t>4095265041135521</t>
  </si>
  <si>
    <t>MLC1702943787</t>
  </si>
  <si>
    <t>U3433875181</t>
  </si>
  <si>
    <t>Balon Futbol Drb 2.00.38-nar Prime Neo #4 Nar</t>
  </si>
  <si>
    <t>1747366625919443</t>
  </si>
  <si>
    <t>MLC1702956421</t>
  </si>
  <si>
    <t>U3433873839</t>
  </si>
  <si>
    <t>2.00.84</t>
  </si>
  <si>
    <t>Balon Futbol Drb 2.00.84 Lic Sao Paulo Est</t>
  </si>
  <si>
    <t>7270053320571614</t>
  </si>
  <si>
    <t>MLC1702956423</t>
  </si>
  <si>
    <t>U3433873841</t>
  </si>
  <si>
    <t>2.00.77</t>
  </si>
  <si>
    <t>Balon Futbol Drb 2.00.77 Lic Juven Black</t>
  </si>
  <si>
    <t>4656768227844146</t>
  </si>
  <si>
    <t>MLC1702969097</t>
  </si>
  <si>
    <t>U3433877075</t>
  </si>
  <si>
    <t>2.00.37</t>
  </si>
  <si>
    <t>Balon Futbol Drb 2.00.37-ver Prime Neo #5 Ver</t>
  </si>
  <si>
    <t>8511015651578211</t>
  </si>
  <si>
    <t>MLC1702969099</t>
  </si>
  <si>
    <t>U3440540588</t>
  </si>
  <si>
    <t>2.00.85</t>
  </si>
  <si>
    <t>Balon Futbol Drb 2.00.85 Lic Santos Estadi</t>
  </si>
  <si>
    <t>4905033760689066</t>
  </si>
  <si>
    <t>MLC1703133293</t>
  </si>
  <si>
    <t>U3440540556</t>
  </si>
  <si>
    <t>2.00.14</t>
  </si>
  <si>
    <t>Balon Futbol Drb 2.00.14 Vibra #5</t>
  </si>
  <si>
    <t>4731131925798069</t>
  </si>
  <si>
    <t>MLC1703133295</t>
  </si>
  <si>
    <t>U3433875191</t>
  </si>
  <si>
    <t>2.00.44</t>
  </si>
  <si>
    <t>Balon Futbol Drb 2.00.44 Fifa26 Copa Exp</t>
  </si>
  <si>
    <t>7568074495951907</t>
  </si>
  <si>
    <t>MLC1703171383</t>
  </si>
  <si>
    <t>U3433873831</t>
  </si>
  <si>
    <t>2.00.94</t>
  </si>
  <si>
    <t>Balon Futbol Drb 2.00.94 Dc Batman #5</t>
  </si>
  <si>
    <t>1999684830076574</t>
  </si>
  <si>
    <t>MLC1703791291</t>
  </si>
  <si>
    <t>U3443236708</t>
  </si>
  <si>
    <t>2.90.16</t>
  </si>
  <si>
    <t>Bandera Guard Drb 2.90.16 - Rombo/estuche</t>
  </si>
  <si>
    <t>5511396767319084</t>
  </si>
  <si>
    <t>MLC1703804021</t>
  </si>
  <si>
    <t>U3443236710</t>
  </si>
  <si>
    <t>R.40.01</t>
  </si>
  <si>
    <t>Balon Voley Reebok R.40.01 Royal 3</t>
  </si>
  <si>
    <t>698755774013785</t>
  </si>
  <si>
    <t>MLC1703804023</t>
  </si>
  <si>
    <t>U3436561997</t>
  </si>
  <si>
    <t>R.40.03</t>
  </si>
  <si>
    <t>Balon Voley Reebok R.40.03 Beach</t>
  </si>
  <si>
    <t>2614847607320735</t>
  </si>
  <si>
    <t>MLC1703856223</t>
  </si>
  <si>
    <t>U3443234686</t>
  </si>
  <si>
    <t>F.30.03</t>
  </si>
  <si>
    <t xml:space="preserve">Banda De Goma Drb F.30.03 Elast. Tipo  X </t>
  </si>
  <si>
    <t>7001528020775762</t>
  </si>
  <si>
    <t>MLC1703881839</t>
  </si>
  <si>
    <t>U3436561993</t>
  </si>
  <si>
    <t>4.00.10</t>
  </si>
  <si>
    <t>Balon Volley Drb 4.00.10 S.touch 5.0 Blanc</t>
  </si>
  <si>
    <t>3162732709869322</t>
  </si>
  <si>
    <t>MLC1704844745</t>
  </si>
  <si>
    <t>U3445660972</t>
  </si>
  <si>
    <t>2.80.21</t>
  </si>
  <si>
    <t xml:space="preserve">Canillera Drb 2.80.21 Milan   M </t>
  </si>
  <si>
    <t>6270385676802800</t>
  </si>
  <si>
    <t>MLC1704857685</t>
  </si>
  <si>
    <t>U3445657826</t>
  </si>
  <si>
    <t>2.80.83-NAR-M</t>
  </si>
  <si>
    <t>Canillera Drb 2.80.83-nar-m Prime Naranjo M</t>
  </si>
  <si>
    <t>8086028237684373</t>
  </si>
  <si>
    <t>MLC1706110003</t>
  </si>
  <si>
    <t>U3442113887</t>
  </si>
  <si>
    <t>M.10.08</t>
  </si>
  <si>
    <t>Cono Training 15  Perforado Drb M.10.08</t>
  </si>
  <si>
    <t>8119940673616857</t>
  </si>
  <si>
    <t>MLC1706148837</t>
  </si>
  <si>
    <t>U3448806666</t>
  </si>
  <si>
    <t>M.10.00</t>
  </si>
  <si>
    <t>Cono 2  Set 40 Un. Color Surt Drb M.10.00.</t>
  </si>
  <si>
    <t>8087412947939380</t>
  </si>
  <si>
    <t>MLC1706200563</t>
  </si>
  <si>
    <t>U3448801924</t>
  </si>
  <si>
    <t>M.10.02</t>
  </si>
  <si>
    <t>Cono Training 7  Naranjo Drb M.10.02</t>
  </si>
  <si>
    <t>5339822411317861</t>
  </si>
  <si>
    <t>MLC1706200565</t>
  </si>
  <si>
    <t>U3442113881</t>
  </si>
  <si>
    <t>M.10.04</t>
  </si>
  <si>
    <t>Cono Training 9  Naranjo Drb M.10.04</t>
  </si>
  <si>
    <t>6937401895653771</t>
  </si>
  <si>
    <t>MLC1706239481</t>
  </si>
  <si>
    <t>U3448806670</t>
  </si>
  <si>
    <t>M.10.06</t>
  </si>
  <si>
    <t>Cono Training 12  Naranjo Drb M.10.06</t>
  </si>
  <si>
    <t>3965945150673211</t>
  </si>
  <si>
    <t>MLC1706239483</t>
  </si>
  <si>
    <t>U3448803486</t>
  </si>
  <si>
    <t>Cinturon Drb V.08.08-bl Karate Nivel Blanco</t>
  </si>
  <si>
    <t>Blanco Unica</t>
  </si>
  <si>
    <t>6573573581338163</t>
  </si>
  <si>
    <t>MLC1710636197</t>
  </si>
  <si>
    <t>U3460253262</t>
  </si>
  <si>
    <t>5.10.60</t>
  </si>
  <si>
    <t>Lente Batman Junior Hydro 5.10.60</t>
  </si>
  <si>
    <t>6160551781591689</t>
  </si>
  <si>
    <t>MLC1710636799</t>
  </si>
  <si>
    <t>U3453548543</t>
  </si>
  <si>
    <t>6.00.36</t>
  </si>
  <si>
    <t>Palo  Hockey Froze 36.5 Simbra 6.00.36</t>
  </si>
  <si>
    <t>36.5 "</t>
  </si>
  <si>
    <t>6543201940687600</t>
  </si>
  <si>
    <t>MLC1710636801</t>
  </si>
  <si>
    <t>U3453548545</t>
  </si>
  <si>
    <t>6.00.40</t>
  </si>
  <si>
    <t>Palo  Hockey Evo 2000 36.5  Simbra 6.00.40</t>
  </si>
  <si>
    <t>7538790971007962</t>
  </si>
  <si>
    <t>MLC1710648891</t>
  </si>
  <si>
    <t>U3460254510</t>
  </si>
  <si>
    <t>V.03.02-XL</t>
  </si>
  <si>
    <t>Guantilla Abierta Saco Pu  Xl  Drb V.03.02-xl</t>
  </si>
  <si>
    <t>Xl Azul</t>
  </si>
  <si>
    <t>6022845503947774</t>
  </si>
  <si>
    <t>MLC1710648895</t>
  </si>
  <si>
    <t>U3460254538</t>
  </si>
  <si>
    <t>V.00.22</t>
  </si>
  <si>
    <t>Guante Box Nylex 14 Oz Drb V.00.22</t>
  </si>
  <si>
    <t>14 Oz Plateado</t>
  </si>
  <si>
    <t>2390139579512954</t>
  </si>
  <si>
    <t>MLC1710661587</t>
  </si>
  <si>
    <t>U3460253270</t>
  </si>
  <si>
    <t>V.03.02-S</t>
  </si>
  <si>
    <t>Guantilla Abierta Saco Pu  S  Drb V.03.02-s</t>
  </si>
  <si>
    <t>2493583258521938</t>
  </si>
  <si>
    <t>MLC1710674875</t>
  </si>
  <si>
    <t>U3460253282</t>
  </si>
  <si>
    <t>5.10.42-AM</t>
  </si>
  <si>
    <t>Lente Unibody 21 Adulto Amarillo Hydro 5.10.42</t>
  </si>
  <si>
    <t>4173456068199203</t>
  </si>
  <si>
    <t>MLC1710674881</t>
  </si>
  <si>
    <t>U3460251844</t>
  </si>
  <si>
    <t>5.10.45-BLA-AZ</t>
  </si>
  <si>
    <t>Lente Odissey 21 Blanco Azul Hydro 5.10.45</t>
  </si>
  <si>
    <t>4209417179512634</t>
  </si>
  <si>
    <t>MLC1710675567</t>
  </si>
  <si>
    <t>U3453545421</t>
  </si>
  <si>
    <t>6.00.63</t>
  </si>
  <si>
    <t>Palo Hockey Spirit 32  Simbra 6.00.63</t>
  </si>
  <si>
    <t>32 "</t>
  </si>
  <si>
    <t>2597902247700406</t>
  </si>
  <si>
    <t>MLC1710687807</t>
  </si>
  <si>
    <t>U3460251818</t>
  </si>
  <si>
    <t>5.10.43-ROS-NE</t>
  </si>
  <si>
    <t>Lente Mask 21 Adulto Rosa Negr Hydro 5.10.43</t>
  </si>
  <si>
    <t>5011372136833506</t>
  </si>
  <si>
    <t>MLC1710688449</t>
  </si>
  <si>
    <t>U3460289614</t>
  </si>
  <si>
    <t>6.00.39</t>
  </si>
  <si>
    <t>Palo  Hockey Froze 34  Simbra 6.00.39</t>
  </si>
  <si>
    <t>34 "</t>
  </si>
  <si>
    <t>5913473417357210</t>
  </si>
  <si>
    <t>MLC1710726633</t>
  </si>
  <si>
    <t>U3460251878</t>
  </si>
  <si>
    <t>V.03.02-L</t>
  </si>
  <si>
    <t>Guantilla Abierta Saco Pu  L  Drb V.03.02-l</t>
  </si>
  <si>
    <t>L Azul</t>
  </si>
  <si>
    <t>3316032761404964</t>
  </si>
  <si>
    <t>MLC1710739585</t>
  </si>
  <si>
    <t>U3460254500</t>
  </si>
  <si>
    <t>5.10.41-NE-NA</t>
  </si>
  <si>
    <t>Lente Mirror 6.0 Negro Naranjo Hydro 5.10.41</t>
  </si>
  <si>
    <t>5351147346849638</t>
  </si>
  <si>
    <t>MLC1710739587</t>
  </si>
  <si>
    <t>U3460253298</t>
  </si>
  <si>
    <t>V.00.21</t>
  </si>
  <si>
    <t>Guante Box Nylex 12 Oz Drb V.00.21</t>
  </si>
  <si>
    <t>12 Oz Plateado</t>
  </si>
  <si>
    <t>188833646706729</t>
  </si>
  <si>
    <t>MLC1710739591</t>
  </si>
  <si>
    <t>U3460253308</t>
  </si>
  <si>
    <t>5.10.01</t>
  </si>
  <si>
    <t>Lente Natacion Junior Champ Hydro 5.10.01</t>
  </si>
  <si>
    <t>2352296001566826</t>
  </si>
  <si>
    <t>MLC1710739597</t>
  </si>
  <si>
    <t>U3460253310</t>
  </si>
  <si>
    <t>V.00.20</t>
  </si>
  <si>
    <t>Guante Box Nylex 10 Oz Drb V.00.20</t>
  </si>
  <si>
    <t>10 Oz Plateado</t>
  </si>
  <si>
    <t>2776113535525873</t>
  </si>
  <si>
    <t>MLC1710739603</t>
  </si>
  <si>
    <t>U3460254528</t>
  </si>
  <si>
    <t>5.10.40-NE-FU</t>
  </si>
  <si>
    <t>Lente Vaikan Negro Fucsia Hydro 5.10.40</t>
  </si>
  <si>
    <t>1973615407764915</t>
  </si>
  <si>
    <t>MLC1710739609</t>
  </si>
  <si>
    <t>U3453511777</t>
  </si>
  <si>
    <t>5.10.42-NE</t>
  </si>
  <si>
    <t>Lente Unibody 21 Adulto Negro Hydro 5.10.42</t>
  </si>
  <si>
    <t>4899217715808757</t>
  </si>
  <si>
    <t>MLC1710765595</t>
  </si>
  <si>
    <t>U3460254490</t>
  </si>
  <si>
    <t>5.10.45-VE-NE</t>
  </si>
  <si>
    <t>Lente Odissey 21 Verde Negro Hydro 5.10.45</t>
  </si>
  <si>
    <t>7001029398763183</t>
  </si>
  <si>
    <t>MLC1710765599</t>
  </si>
  <si>
    <t>U3460251846</t>
  </si>
  <si>
    <t>5.10.16-24</t>
  </si>
  <si>
    <t>Lente Superflex Junior X 24 Un Hydro 5.10.16</t>
  </si>
  <si>
    <t>8644101756821137</t>
  </si>
  <si>
    <t>MLC1710778705</t>
  </si>
  <si>
    <t>U3460253278</t>
  </si>
  <si>
    <t>5.10.45-BL-ROS</t>
  </si>
  <si>
    <t>Lente Odissey 21 Blanco Rosado Hydro 5.10.45</t>
  </si>
  <si>
    <t>2770281464562633</t>
  </si>
  <si>
    <t>MLC1710791567</t>
  </si>
  <si>
    <t>U3453511725</t>
  </si>
  <si>
    <t>5.10.61</t>
  </si>
  <si>
    <t>Lente Mujer Maravilla Junior Hydro 5.10.61</t>
  </si>
  <si>
    <t>3124374197079160</t>
  </si>
  <si>
    <t>MLC1710792237</t>
  </si>
  <si>
    <t>U3453545409</t>
  </si>
  <si>
    <t>6.00.30</t>
  </si>
  <si>
    <t>Palo  Hockey Evo 1000 34  Simbra 6.00.30</t>
  </si>
  <si>
    <t>MLC1813307043</t>
  </si>
  <si>
    <t>Paleta Ping Pong Sensei 8.00.00 - 1# Color Negro Tipo De Mango St (recto)</t>
  </si>
  <si>
    <t>1353628710919697</t>
  </si>
  <si>
    <t>MLC1897073415</t>
  </si>
  <si>
    <t>U3854259619</t>
  </si>
  <si>
    <t>S-321-GRI-L</t>
  </si>
  <si>
    <t>Top Mujer Deportivo Seamless S-321</t>
  </si>
  <si>
    <t>Gris Lisa L</t>
  </si>
  <si>
    <t>MLC1897090351</t>
  </si>
  <si>
    <t>U3854262649</t>
  </si>
  <si>
    <t>S-321-GRI-XL</t>
  </si>
  <si>
    <t>Gris Lisa Xl</t>
  </si>
  <si>
    <t>MLC1897115591</t>
  </si>
  <si>
    <t>U3864795312</t>
  </si>
  <si>
    <t>S-321-AZU-XL</t>
  </si>
  <si>
    <t>Azul Lisa Xl</t>
  </si>
  <si>
    <t>MLC2689671338</t>
  </si>
  <si>
    <t>Top Niña Lady Genny As-79 Deportivo Seamless</t>
  </si>
  <si>
    <t>189185724703</t>
  </si>
  <si>
    <t>AS-79-BL-10/12</t>
  </si>
  <si>
    <t>10/12 / Blanco</t>
  </si>
  <si>
    <t>189185724705</t>
  </si>
  <si>
    <t>AS-79-BL-14/16</t>
  </si>
  <si>
    <t>14/16 / Blanco</t>
  </si>
  <si>
    <t>MLC2689671448</t>
  </si>
  <si>
    <t>Top Niña Lady Genny As-87 Seamless Deportivo</t>
  </si>
  <si>
    <t>120</t>
  </si>
  <si>
    <t>189184996859</t>
  </si>
  <si>
    <t>AS-87-CO-10/12</t>
  </si>
  <si>
    <t>10/12 / Coral</t>
  </si>
  <si>
    <t>189184996861</t>
  </si>
  <si>
    <t>AS-87-CO-14/16</t>
  </si>
  <si>
    <t>14/16 / Coral</t>
  </si>
  <si>
    <t>189184996863</t>
  </si>
  <si>
    <t>AS-87-GR-10/12</t>
  </si>
  <si>
    <t>Gris / 10/12</t>
  </si>
  <si>
    <t>189184996865</t>
  </si>
  <si>
    <t>AS-87-GR-14/16</t>
  </si>
  <si>
    <t>Gris / 14/16</t>
  </si>
  <si>
    <t>1373898736069422</t>
  </si>
  <si>
    <t>MLC2733253952</t>
  </si>
  <si>
    <t>U2184194571</t>
  </si>
  <si>
    <t>1.80.01</t>
  </si>
  <si>
    <t>Pizarra Drb 1.80.01 - Blanca Tenis</t>
  </si>
  <si>
    <t>2614450394744144</t>
  </si>
  <si>
    <t>MLC2733355288</t>
  </si>
  <si>
    <t>U2183794773</t>
  </si>
  <si>
    <t>C.00.04</t>
  </si>
  <si>
    <t>Pala Pádel Nimbus Drb C.00.04 - Carbon Pro</t>
  </si>
  <si>
    <t>2205675725138115</t>
  </si>
  <si>
    <t>MLC2733355518</t>
  </si>
  <si>
    <t>U2188784168</t>
  </si>
  <si>
    <t>1.00.92</t>
  </si>
  <si>
    <t>Raquet Tenis Sufix 1.00.92 - Nano Tour</t>
  </si>
  <si>
    <t>8474095884789009</t>
  </si>
  <si>
    <t>MLC2737356268</t>
  </si>
  <si>
    <t>U2282852169</t>
  </si>
  <si>
    <t>M.10.03</t>
  </si>
  <si>
    <t>Cono Ecco Drb M.10.03 - 2 Set 40 Un.</t>
  </si>
  <si>
    <t>Multicolor</t>
  </si>
  <si>
    <t>2000201035746448</t>
  </si>
  <si>
    <t>MLC2737356270</t>
  </si>
  <si>
    <t>U2287489282</t>
  </si>
  <si>
    <t>M.10.01</t>
  </si>
  <si>
    <t>Cono Ecco Drb M.10.01 - 2 Set 10 Un.</t>
  </si>
  <si>
    <t>Rojo Y Azul</t>
  </si>
  <si>
    <t>8962414531972512</t>
  </si>
  <si>
    <t>MLC2737369440</t>
  </si>
  <si>
    <t>U2287494702</t>
  </si>
  <si>
    <t>M.10.45</t>
  </si>
  <si>
    <t>Clip Para Vara Drb M.10.45 - (10 Unid)</t>
  </si>
  <si>
    <t>1833757708652120</t>
  </si>
  <si>
    <t>MLC2737381420</t>
  </si>
  <si>
    <t>U2287494644</t>
  </si>
  <si>
    <t>M.10.30</t>
  </si>
  <si>
    <t>Aros Coordinacion Drb M.10.30 - 12 Un 50cm</t>
  </si>
  <si>
    <t>7736172511123919</t>
  </si>
  <si>
    <t>MLC2737393536</t>
  </si>
  <si>
    <t>U2289142584</t>
  </si>
  <si>
    <t>9.00.31</t>
  </si>
  <si>
    <t>Venda Ideal Drb 9.00.31 6 Cm</t>
  </si>
  <si>
    <t>804899896336210</t>
  </si>
  <si>
    <t>MLC2737393562</t>
  </si>
  <si>
    <t>U2289146854</t>
  </si>
  <si>
    <t>9.65.03</t>
  </si>
  <si>
    <t>Tobillera Neoprene Drb 9.65.03 Talla Única</t>
  </si>
  <si>
    <t>Negro Talla Única</t>
  </si>
  <si>
    <t>8173728882698641</t>
  </si>
  <si>
    <t>MLC2737458016</t>
  </si>
  <si>
    <t>U2289142844</t>
  </si>
  <si>
    <t>9.50.00-M</t>
  </si>
  <si>
    <t>Muslera Elástica Dribbling 9.50.00 - Talla M</t>
  </si>
  <si>
    <t>706524971052336</t>
  </si>
  <si>
    <t>MLC2737468630</t>
  </si>
  <si>
    <t>U2284125131</t>
  </si>
  <si>
    <t>F.50.05-AZU</t>
  </si>
  <si>
    <t>Cinto Running Impermeable Simple - Azul</t>
  </si>
  <si>
    <t>4667845230410579</t>
  </si>
  <si>
    <t>MLC2737470260</t>
  </si>
  <si>
    <t>U2284507389</t>
  </si>
  <si>
    <t>9.50.02-L</t>
  </si>
  <si>
    <t>Muslera Neoprene Dribbling 9.50.02 - Talla L</t>
  </si>
  <si>
    <t>1888078803094803</t>
  </si>
  <si>
    <t>MLC2737470270</t>
  </si>
  <si>
    <t>U2284511115</t>
  </si>
  <si>
    <t>9.50.02-S</t>
  </si>
  <si>
    <t>Muslera Neoprene Dribbling 9.50.02 - Talla S</t>
  </si>
  <si>
    <t>5053157625329406</t>
  </si>
  <si>
    <t>MLC2737470276</t>
  </si>
  <si>
    <t>U2289154888</t>
  </si>
  <si>
    <t>9.55.02-M</t>
  </si>
  <si>
    <t>Rodillera Drb 9.55.02 - Rotula Neop M</t>
  </si>
  <si>
    <t>3649312832516303</t>
  </si>
  <si>
    <t>MLC2737483058</t>
  </si>
  <si>
    <t>U2284498049</t>
  </si>
  <si>
    <t>9.50.02-M</t>
  </si>
  <si>
    <t>Muslera Neoprene Dribbling 9.50.02 - Talla M</t>
  </si>
  <si>
    <t>5570787342746025</t>
  </si>
  <si>
    <t>MLC2737488242</t>
  </si>
  <si>
    <t>U2287489288</t>
  </si>
  <si>
    <t>M.10.40</t>
  </si>
  <si>
    <t>Base Para Vara Drb M.10.40</t>
  </si>
  <si>
    <t>318160190434665</t>
  </si>
  <si>
    <t>MLC2737494486</t>
  </si>
  <si>
    <t>U2284126813</t>
  </si>
  <si>
    <t>F.50.05-VER</t>
  </si>
  <si>
    <t>Cinto Running Impermeable Simple - Verde</t>
  </si>
  <si>
    <t>2220588412707090</t>
  </si>
  <si>
    <t>MLC2737496138</t>
  </si>
  <si>
    <t>U2289137620</t>
  </si>
  <si>
    <t>9.50.00-L</t>
  </si>
  <si>
    <t>Muslera Elástica Dribbling 9.50.00 - Talla L</t>
  </si>
  <si>
    <t>1303717466620985</t>
  </si>
  <si>
    <t>MLC2737496180</t>
  </si>
  <si>
    <t>U2289150704</t>
  </si>
  <si>
    <t>9.55.02-S</t>
  </si>
  <si>
    <t>Rodillera Drb 9.55.02 - Rotula Neop S</t>
  </si>
  <si>
    <t>5017310941239505</t>
  </si>
  <si>
    <t>MLC2737533036</t>
  </si>
  <si>
    <t>U2289150868</t>
  </si>
  <si>
    <t>9.00.33</t>
  </si>
  <si>
    <t>Venda Ideal Drb 9.00.33 10 Cm</t>
  </si>
  <si>
    <t>6287407459133481</t>
  </si>
  <si>
    <t>MLC2737555790</t>
  </si>
  <si>
    <t>U2284125135</t>
  </si>
  <si>
    <t>F.50.07</t>
  </si>
  <si>
    <t>Cinto Running Drb F.50.07 - Extensible Doble</t>
  </si>
  <si>
    <t>3836933037268049</t>
  </si>
  <si>
    <t>MLC2737557480</t>
  </si>
  <si>
    <t>U2284503001</t>
  </si>
  <si>
    <t>9.00.32</t>
  </si>
  <si>
    <t>Venda Ideal Drb 9.00.32 8 Cm</t>
  </si>
  <si>
    <t>2551889734231248</t>
  </si>
  <si>
    <t>MLC2737557492</t>
  </si>
  <si>
    <t>U2289141850</t>
  </si>
  <si>
    <t>9.50.00-S</t>
  </si>
  <si>
    <t>Muslera Elástica Dribbling 9.50.00 - Talla S</t>
  </si>
  <si>
    <t>117047912761044</t>
  </si>
  <si>
    <t>MLC2737557496</t>
  </si>
  <si>
    <t>U2284506169</t>
  </si>
  <si>
    <t>9.50.02-XL</t>
  </si>
  <si>
    <t>Muslera Neoprene  Xl  Drb</t>
  </si>
  <si>
    <t>4512866148332640</t>
  </si>
  <si>
    <t>MLC2737892142</t>
  </si>
  <si>
    <t>U2296954324</t>
  </si>
  <si>
    <t>3.00.34-BG3</t>
  </si>
  <si>
    <t>Balon Basquet #3 Glow</t>
  </si>
  <si>
    <t>7696044504831876</t>
  </si>
  <si>
    <t>MLC2737905320</t>
  </si>
  <si>
    <t>U2296958108</t>
  </si>
  <si>
    <t>R.50.08</t>
  </si>
  <si>
    <t>Bal Basquet Reebok R.50.08 Zig Generation #7</t>
  </si>
  <si>
    <t>MLC2739399154</t>
  </si>
  <si>
    <t>Traje De Baño Varón Drb 5.30.06 Boxer Liso</t>
  </si>
  <si>
    <t>185494139959</t>
  </si>
  <si>
    <t>5.30.06-L</t>
  </si>
  <si>
    <t>185494139961</t>
  </si>
  <si>
    <t>5.30.06-M</t>
  </si>
  <si>
    <t>185494139963</t>
  </si>
  <si>
    <t>5.30.06-S</t>
  </si>
  <si>
    <t>185494139965</t>
  </si>
  <si>
    <t>5.30.06-XL</t>
  </si>
  <si>
    <t>2650658208373685</t>
  </si>
  <si>
    <t>MLC2739399156</t>
  </si>
  <si>
    <t>U2316710420</t>
  </si>
  <si>
    <t>5.30.16-L</t>
  </si>
  <si>
    <t>Traje De Baño Dama Drb 5.30.16 Bermuda Marina L</t>
  </si>
  <si>
    <t>Negro L</t>
  </si>
  <si>
    <t>167923016137476</t>
  </si>
  <si>
    <t>MLC2739399158</t>
  </si>
  <si>
    <t>U2316710422</t>
  </si>
  <si>
    <t>5.30.16-XL</t>
  </si>
  <si>
    <t>Traje De Baño Dama Drb 5.30.16 Bermuda Marina Xl</t>
  </si>
  <si>
    <t>Negro Xl</t>
  </si>
  <si>
    <t>6081453420614642</t>
  </si>
  <si>
    <t>MLC2739399464</t>
  </si>
  <si>
    <t>U2312318315</t>
  </si>
  <si>
    <t>5.00.26</t>
  </si>
  <si>
    <t>Gorra Natacion Drb 5.00.26 - Silicona X 60</t>
  </si>
  <si>
    <t>5713016279883275</t>
  </si>
  <si>
    <t>MLC2739411828</t>
  </si>
  <si>
    <t>U2316350256</t>
  </si>
  <si>
    <t>8.05.02</t>
  </si>
  <si>
    <t>Marcador Deportivo Drb 8.05.02 - Pro</t>
  </si>
  <si>
    <t>1815087328217271</t>
  </si>
  <si>
    <t>MLC2739412154</t>
  </si>
  <si>
    <t>U2316575098</t>
  </si>
  <si>
    <t>2.90.14</t>
  </si>
  <si>
    <t>Aguja Metalica Drb  2.90.14 X 100 Unidades</t>
  </si>
  <si>
    <t>8389538484033912</t>
  </si>
  <si>
    <t>MLC2739412334</t>
  </si>
  <si>
    <t>U2312173751</t>
  </si>
  <si>
    <t>5.10.44AV</t>
  </si>
  <si>
    <t>Lente Mask 21 Drb 5.10.44 - Junior Azul Verd</t>
  </si>
  <si>
    <t>7343049652055283</t>
  </si>
  <si>
    <t>MLC2739412688</t>
  </si>
  <si>
    <t>U2316967800</t>
  </si>
  <si>
    <t>5.00.27</t>
  </si>
  <si>
    <t>Gorra Natacion Drb 5.00.27 - Silicona X 144</t>
  </si>
  <si>
    <t>3480327853540030</t>
  </si>
  <si>
    <t>MLC2739425040</t>
  </si>
  <si>
    <t>U2316709436</t>
  </si>
  <si>
    <t>5.30.16-XXL</t>
  </si>
  <si>
    <t>Traje De Baño Dama Drb 5.30.16 Bermuda Marina Xxl</t>
  </si>
  <si>
    <t>MLC2739425042</t>
  </si>
  <si>
    <t>Traje De Baño Varón Drb 5.30.07 Boxer Combinado</t>
  </si>
  <si>
    <t>185494191589</t>
  </si>
  <si>
    <t>5.30.07-L</t>
  </si>
  <si>
    <t>185494191591</t>
  </si>
  <si>
    <t>5.30.07-M</t>
  </si>
  <si>
    <t>185494191593</t>
  </si>
  <si>
    <t>5.30.07-S</t>
  </si>
  <si>
    <t>185494191595</t>
  </si>
  <si>
    <t>5.30.07-XL</t>
  </si>
  <si>
    <t>MLC2739425044</t>
  </si>
  <si>
    <t>Traje De Baño Dama Drb 5.30.01 1 Pieza Bermuda</t>
  </si>
  <si>
    <t>185494191597</t>
  </si>
  <si>
    <t>5.30.01-L</t>
  </si>
  <si>
    <t>185494191601</t>
  </si>
  <si>
    <t>5.30.01-S</t>
  </si>
  <si>
    <t>185494191599</t>
  </si>
  <si>
    <t>5.30.01-M</t>
  </si>
  <si>
    <t>185494191603</t>
  </si>
  <si>
    <t>5.30.01-XL</t>
  </si>
  <si>
    <t>185494191605</t>
  </si>
  <si>
    <t>5.30.01-XXL</t>
  </si>
  <si>
    <t>Negro / XXL</t>
  </si>
  <si>
    <t>4860303690307323</t>
  </si>
  <si>
    <t>MLC2739425046</t>
  </si>
  <si>
    <t>U2316711988</t>
  </si>
  <si>
    <t>5.30.17-S</t>
  </si>
  <si>
    <t>Traje De Baño Dama Drb 5.30.17 1 Pza Dolphin S</t>
  </si>
  <si>
    <t>Negro S</t>
  </si>
  <si>
    <t>6798725814735542</t>
  </si>
  <si>
    <t>MLC2739425072</t>
  </si>
  <si>
    <t>U2316777280</t>
  </si>
  <si>
    <t>5.10.15</t>
  </si>
  <si>
    <t>Lente Natación Drb 5.10.15 - Superflex Jnr</t>
  </si>
  <si>
    <t>1852107522388027</t>
  </si>
  <si>
    <t>MLC2739425094</t>
  </si>
  <si>
    <t>U2316824800</t>
  </si>
  <si>
    <t>5.00.18</t>
  </si>
  <si>
    <t>Gorra Natacion Drb 5.00.18 - Silicona Soft Jr X 60</t>
  </si>
  <si>
    <t>4908143928348829</t>
  </si>
  <si>
    <t>MLC2739425096</t>
  </si>
  <si>
    <t>U2312173341</t>
  </si>
  <si>
    <t>5.10.32</t>
  </si>
  <si>
    <t>Másc. Full Face Polarized Drb 5.10.32 L/xl</t>
  </si>
  <si>
    <t>6923030181760344</t>
  </si>
  <si>
    <t>MLC2739425384</t>
  </si>
  <si>
    <t>U2316967784</t>
  </si>
  <si>
    <t>5.00.11</t>
  </si>
  <si>
    <t>Gorra Natacion Drb 5.00.11 - Poliflex  X  24</t>
  </si>
  <si>
    <t>Gris</t>
  </si>
  <si>
    <t>5997795287542678</t>
  </si>
  <si>
    <t>MLC2739437996</t>
  </si>
  <si>
    <t>U2316576680</t>
  </si>
  <si>
    <t>2.90.15</t>
  </si>
  <si>
    <t>Bombin Premium Universal Drb 2.90.15</t>
  </si>
  <si>
    <t>MLC2739438092</t>
  </si>
  <si>
    <t>Traje De Baño Dama Drb 5.30.00 1 Pieza</t>
  </si>
  <si>
    <t>50</t>
  </si>
  <si>
    <t>185494377197</t>
  </si>
  <si>
    <t>5.30.00-L</t>
  </si>
  <si>
    <t>185494377199</t>
  </si>
  <si>
    <t>5.30.00-M</t>
  </si>
  <si>
    <t>185494377201</t>
  </si>
  <si>
    <t>5.30.00-S</t>
  </si>
  <si>
    <t>185494377203</t>
  </si>
  <si>
    <t>5.30.00-XL</t>
  </si>
  <si>
    <t>185494377205</t>
  </si>
  <si>
    <t>5.30.00-.XXL</t>
  </si>
  <si>
    <t>XXL / Azul</t>
  </si>
  <si>
    <t>4383182313866905</t>
  </si>
  <si>
    <t>MLC2739438158</t>
  </si>
  <si>
    <t>U2312177111</t>
  </si>
  <si>
    <t>Lente Superflex Drb 5.10.16 - Junior X 24 Un</t>
  </si>
  <si>
    <t>6715482928339051</t>
  </si>
  <si>
    <t>MLC2739438460</t>
  </si>
  <si>
    <t>U2316969010</t>
  </si>
  <si>
    <t>5.10.31</t>
  </si>
  <si>
    <t>Másc. Full Face Polarized Drb 5.10.32 S/m</t>
  </si>
  <si>
    <t>MLC2739451030</t>
  </si>
  <si>
    <t>Traje De Baño Dama Drb 5.30.10 1 Pza Negro/aqua</t>
  </si>
  <si>
    <t>181931483456</t>
  </si>
  <si>
    <t>5.30.10-M</t>
  </si>
  <si>
    <t>181931483454</t>
  </si>
  <si>
    <t>5.30.10-L</t>
  </si>
  <si>
    <t>181931483458</t>
  </si>
  <si>
    <t>5.30.10-S</t>
  </si>
  <si>
    <t>181931483460</t>
  </si>
  <si>
    <t>5.30.10-XL</t>
  </si>
  <si>
    <t>40481847166236</t>
  </si>
  <si>
    <t>MLC2739451032</t>
  </si>
  <si>
    <t>U2316712014</t>
  </si>
  <si>
    <t>5.30.16-M</t>
  </si>
  <si>
    <t>Traje De Baño Dama Drb 5.30.16 Bermuda Marina M</t>
  </si>
  <si>
    <t>Negro M</t>
  </si>
  <si>
    <t>5351242446162703</t>
  </si>
  <si>
    <t>MLC2739451074</t>
  </si>
  <si>
    <t>U2316778438</t>
  </si>
  <si>
    <t>5.10.41-NE-LI</t>
  </si>
  <si>
    <t>Lente Mirror 6.0 Drb 5.10.41 - Negro Lila</t>
  </si>
  <si>
    <t>Violeta</t>
  </si>
  <si>
    <t>4545085633718090</t>
  </si>
  <si>
    <t>MLC2739451108</t>
  </si>
  <si>
    <t>U2316822856</t>
  </si>
  <si>
    <t>5.10.41-NE-PLA</t>
  </si>
  <si>
    <t>Lente Mirror 6.0 Drb 5.10.41 - Negro Plata</t>
  </si>
  <si>
    <t>8256527517470804</t>
  </si>
  <si>
    <t>MLC2739463914</t>
  </si>
  <si>
    <t>U2312061357</t>
  </si>
  <si>
    <t>5.30.17-XL</t>
  </si>
  <si>
    <t>Traje De Baño Dama Drb 5.30.17 1 Pza Dolphin Xl</t>
  </si>
  <si>
    <t>7148290208375184</t>
  </si>
  <si>
    <t>MLC2739463938</t>
  </si>
  <si>
    <t>U2316777268</t>
  </si>
  <si>
    <t>5.10.44-ROS-BLA</t>
  </si>
  <si>
    <t>Lente Mask 21 Drb 5.10.44 - Junior Rosa Blan</t>
  </si>
  <si>
    <t>8436745402902336</t>
  </si>
  <si>
    <t>MLC2739476900</t>
  </si>
  <si>
    <t>U2316709438</t>
  </si>
  <si>
    <t>5.30.17-M</t>
  </si>
  <si>
    <t>Traje De Baño Dama Drb 5.30.17 1 Pza Dolphin M</t>
  </si>
  <si>
    <t>8545093761374247</t>
  </si>
  <si>
    <t>MLC2739476938</t>
  </si>
  <si>
    <t>U2312125785</t>
  </si>
  <si>
    <t>5.10.12-BLA</t>
  </si>
  <si>
    <t>Lente Unibody 21 Drb 5.10.42 - Adulto</t>
  </si>
  <si>
    <t>2984254040186977</t>
  </si>
  <si>
    <t>MLC2739477322</t>
  </si>
  <si>
    <t>U2316969014</t>
  </si>
  <si>
    <t>5.00.34-AZL</t>
  </si>
  <si>
    <t>Gorra Natacion Drb 5.00.34 - Lycra Nino</t>
  </si>
  <si>
    <t>Azul Lisa</t>
  </si>
  <si>
    <t>3383009087467881</t>
  </si>
  <si>
    <t>MLC2739477324</t>
  </si>
  <si>
    <t>U2316969044</t>
  </si>
  <si>
    <t>5.00.19</t>
  </si>
  <si>
    <t>Gorra Natacion Drb 5.00.19 - Silicona Soft Jr X 144</t>
  </si>
  <si>
    <t>1868619123179260</t>
  </si>
  <si>
    <t>MLC2739490022</t>
  </si>
  <si>
    <t>U2316710408</t>
  </si>
  <si>
    <t>5.30.17-L</t>
  </si>
  <si>
    <t>Traje De Baño Dama Drb 5.30.17 1 Pza Dolphin L</t>
  </si>
  <si>
    <t>2602989853179406</t>
  </si>
  <si>
    <t>MLC2739490024</t>
  </si>
  <si>
    <t>U2312059931</t>
  </si>
  <si>
    <t>5.30.16-S</t>
  </si>
  <si>
    <t>Traje De Baño Dama Drb 5.30.16 Bermuda Marina S</t>
  </si>
  <si>
    <t>4388873377538512</t>
  </si>
  <si>
    <t>MLC2739490112</t>
  </si>
  <si>
    <t>U2312185815</t>
  </si>
  <si>
    <t>5.10.21-BLA</t>
  </si>
  <si>
    <t>Lente Unibody Adulto X 24 Unid</t>
  </si>
  <si>
    <t>1237352445448054</t>
  </si>
  <si>
    <t>MLC2739490396</t>
  </si>
  <si>
    <t>U2316969022</t>
  </si>
  <si>
    <t>5.00.16</t>
  </si>
  <si>
    <t>Gorra Natación Silicona Soft Junior - Drb - 5.00.16</t>
  </si>
  <si>
    <t>3537490406281755</t>
  </si>
  <si>
    <t>MLC2746558638</t>
  </si>
  <si>
    <t>U2461628244</t>
  </si>
  <si>
    <t>V.03.02-M</t>
  </si>
  <si>
    <t>Guantilla Abierta Drb V.03.02 - Saco Pu M</t>
  </si>
  <si>
    <t>MLC2755166978</t>
  </si>
  <si>
    <t>Cushion Grip Drb 1.80.10 - Track</t>
  </si>
  <si>
    <t>182051325058</t>
  </si>
  <si>
    <t>1.80.10</t>
  </si>
  <si>
    <t>182051325060</t>
  </si>
  <si>
    <t>182051325062</t>
  </si>
  <si>
    <t>MLC2755166980</t>
  </si>
  <si>
    <t>Cushion Grip Drb 1.80.11 - Plane</t>
  </si>
  <si>
    <t>182051325064</t>
  </si>
  <si>
    <t>1.80.11</t>
  </si>
  <si>
    <t>182051325066</t>
  </si>
  <si>
    <t>182051325068</t>
  </si>
  <si>
    <t>8949162686415061</t>
  </si>
  <si>
    <t>MLC2755179754</t>
  </si>
  <si>
    <t>U2585638029</t>
  </si>
  <si>
    <t>1.80.06</t>
  </si>
  <si>
    <t>Grip Sufix Drb 1.80.06 - Caramelera X 60 Unid</t>
  </si>
  <si>
    <t>5413775889763179</t>
  </si>
  <si>
    <t>MLC2756979720</t>
  </si>
  <si>
    <t>U2612181265</t>
  </si>
  <si>
    <t>M.30.03</t>
  </si>
  <si>
    <t>Balon Futbol Americano Drb M.30.03 Infantil</t>
  </si>
  <si>
    <t>Verde Infantil</t>
  </si>
  <si>
    <t>7394001514264242</t>
  </si>
  <si>
    <t>MLC2757016666</t>
  </si>
  <si>
    <t>U2612189075</t>
  </si>
  <si>
    <t>M.30.00</t>
  </si>
  <si>
    <t>Balon Futbol Americano Drb M.30.00 Adulto</t>
  </si>
  <si>
    <t>Marrón Oscuro Oficial</t>
  </si>
  <si>
    <t>4766266115570038</t>
  </si>
  <si>
    <t>MLC2757840138</t>
  </si>
  <si>
    <t>U2625679999</t>
  </si>
  <si>
    <t>6.00.44</t>
  </si>
  <si>
    <t>Palo Hockey Evo 6000 Drb 6.00.44 - Talla 36,5 Si</t>
  </si>
  <si>
    <t>MLC2757840662</t>
  </si>
  <si>
    <t>Palo Hockey School 37</t>
  </si>
  <si>
    <t>Azul - Talla 37</t>
  </si>
  <si>
    <t>3103902095865284</t>
  </si>
  <si>
    <t>MLC2757865434</t>
  </si>
  <si>
    <t>U2630570436</t>
  </si>
  <si>
    <t>6.00.29</t>
  </si>
  <si>
    <t>Palo Hockey Evo 1000 Drb 6.00.29 - Talla 32</t>
  </si>
  <si>
    <t>3939746116940368</t>
  </si>
  <si>
    <t>MLC2757903332</t>
  </si>
  <si>
    <t>U2630538050</t>
  </si>
  <si>
    <t>6.00.06</t>
  </si>
  <si>
    <t>Palo Hockey School Drb 6.00.06 - Talla 34</t>
  </si>
  <si>
    <t>4833281522972302</t>
  </si>
  <si>
    <t>MLC2757903502</t>
  </si>
  <si>
    <t>U2630572092</t>
  </si>
  <si>
    <t>6.00.45</t>
  </si>
  <si>
    <t>Palo Hockey Evo 6000 Drb 6.00.45 - Talla 37,5 Si</t>
  </si>
  <si>
    <t>MLC2758135976</t>
  </si>
  <si>
    <t>Balon Volley Drb 4.00.08 Soft Touch 3.0 Bl</t>
  </si>
  <si>
    <t>MLC2758136666</t>
  </si>
  <si>
    <t>Balon Volley Drb 4.00.06 Classic Beach</t>
  </si>
  <si>
    <t>185811802397</t>
  </si>
  <si>
    <t>4.00.06-ROS</t>
  </si>
  <si>
    <t>185811802399</t>
  </si>
  <si>
    <t>4.00.06-AZU</t>
  </si>
  <si>
    <t>185811802401</t>
  </si>
  <si>
    <t>4.00.06-NAR</t>
  </si>
  <si>
    <t>Naranja claro</t>
  </si>
  <si>
    <t>5398937104439993</t>
  </si>
  <si>
    <t>MLC2758187818</t>
  </si>
  <si>
    <t>U2633958386</t>
  </si>
  <si>
    <t>3.00.10</t>
  </si>
  <si>
    <t>Balon Basquet Drb 3.00.10 #3 Funball Color</t>
  </si>
  <si>
    <t>5927484810092942</t>
  </si>
  <si>
    <t>MLC2758200482</t>
  </si>
  <si>
    <t>U2633955580</t>
  </si>
  <si>
    <t>3.00.32</t>
  </si>
  <si>
    <t>Balon Basquet Drb 3.00.32 #7 Funball Color</t>
  </si>
  <si>
    <t>1733395274323320</t>
  </si>
  <si>
    <t>MLC2758225776</t>
  </si>
  <si>
    <t>U2633956304</t>
  </si>
  <si>
    <t>3.00.40</t>
  </si>
  <si>
    <t>Balon Basquet Drb 3.00.40 #6 Goma Naranja</t>
  </si>
  <si>
    <t>8142943683446250</t>
  </si>
  <si>
    <t>MLC2758249344</t>
  </si>
  <si>
    <t>U2637230266</t>
  </si>
  <si>
    <t>1.00.17</t>
  </si>
  <si>
    <t>Raquet Tenis Sufix 1.00.17 - Conquer</t>
  </si>
  <si>
    <t>6387558991191508</t>
  </si>
  <si>
    <t>MLC2758261676</t>
  </si>
  <si>
    <t>U2637009686</t>
  </si>
  <si>
    <t>V.08.08-NAR</t>
  </si>
  <si>
    <t>Cinturón Karate Drb Nivel Naranja - V.08.08-nar</t>
  </si>
  <si>
    <t>Naranja Estándar</t>
  </si>
  <si>
    <t>1126893275467813</t>
  </si>
  <si>
    <t>MLC2758274626</t>
  </si>
  <si>
    <t>U2636988600</t>
  </si>
  <si>
    <t>V.08.08-NE</t>
  </si>
  <si>
    <t>Cinturón Karate Drb Nivel Negro - V.08.08-ne</t>
  </si>
  <si>
    <t>Negro Estándar</t>
  </si>
  <si>
    <t>1503517414278568</t>
  </si>
  <si>
    <t>MLC2758275230</t>
  </si>
  <si>
    <t>U2637230240</t>
  </si>
  <si>
    <t>1.00.19</t>
  </si>
  <si>
    <t>Raquet Tenis Sufix 1.00.19 - Factor X</t>
  </si>
  <si>
    <t>Azul Marino</t>
  </si>
  <si>
    <t>177139281481982</t>
  </si>
  <si>
    <t>MLC2758313004</t>
  </si>
  <si>
    <t>U2632331443</t>
  </si>
  <si>
    <t>1.00.15</t>
  </si>
  <si>
    <t>Raquet Tenis Sufix 1.00.15 - Jr Two</t>
  </si>
  <si>
    <t>1682619638727617</t>
  </si>
  <si>
    <t>MLC2758313006</t>
  </si>
  <si>
    <t>U2637229434</t>
  </si>
  <si>
    <t>1.00.16</t>
  </si>
  <si>
    <t>Raquet Tenis Sufix 1.00.16 - Jr Three</t>
  </si>
  <si>
    <t>3789993468262980</t>
  </si>
  <si>
    <t>MLC2763616320</t>
  </si>
  <si>
    <t>U2699356359</t>
  </si>
  <si>
    <t>C.20.02</t>
  </si>
  <si>
    <t>Red Pádel Drb C.20.02 - 2.5 Mm Trenzada</t>
  </si>
  <si>
    <t>1691489321369031</t>
  </si>
  <si>
    <t>MLC2764057090</t>
  </si>
  <si>
    <t>U2700913313</t>
  </si>
  <si>
    <t>F.22.02</t>
  </si>
  <si>
    <t>Disco Fierro Drb F.22.02 - 2 Kg Caja 20 Kg</t>
  </si>
  <si>
    <t>8281322816498072</t>
  </si>
  <si>
    <t>MLC2764057466</t>
  </si>
  <si>
    <t>U2705852870</t>
  </si>
  <si>
    <t>F.30.06</t>
  </si>
  <si>
    <t>Banda Elastica Roja Drb F.30.06 (055)</t>
  </si>
  <si>
    <t>1680515501531285</t>
  </si>
  <si>
    <t>MLC2764070686</t>
  </si>
  <si>
    <t>U2705852874</t>
  </si>
  <si>
    <t>F.30.07</t>
  </si>
  <si>
    <t>Banda Elastica Azul Drb F.30.07 (065)</t>
  </si>
  <si>
    <t>7923663767815708</t>
  </si>
  <si>
    <t>MLC2764095646</t>
  </si>
  <si>
    <t>U2700923555</t>
  </si>
  <si>
    <t>F.20.22</t>
  </si>
  <si>
    <t>Balon Medicinal Drb F.20.22 Goma 3 Kg</t>
  </si>
  <si>
    <t>2300499347881275</t>
  </si>
  <si>
    <t>MLC2764108258</t>
  </si>
  <si>
    <t>U2705828404</t>
  </si>
  <si>
    <t>F.22.00</t>
  </si>
  <si>
    <t>Disco Fierro Drb F.22.00 - 0.5 Kg Caja 10 Un</t>
  </si>
  <si>
    <t>2330603693401310</t>
  </si>
  <si>
    <t>MLC2764108422</t>
  </si>
  <si>
    <t>U2700924789</t>
  </si>
  <si>
    <t>F.30.35</t>
  </si>
  <si>
    <t>Pelota De Masajes Drb F.30.35 - 2 Un</t>
  </si>
  <si>
    <t>937592135423898</t>
  </si>
  <si>
    <t>MLC2764108424</t>
  </si>
  <si>
    <t>U2705838398</t>
  </si>
  <si>
    <t>F.30.16</t>
  </si>
  <si>
    <t>Pelota Pilates Drb F.30.16 - 65 Cm</t>
  </si>
  <si>
    <t>926062169424956</t>
  </si>
  <si>
    <t>MLC2764121006</t>
  </si>
  <si>
    <t>U2700924785</t>
  </si>
  <si>
    <t>F.20.24</t>
  </si>
  <si>
    <t>Balon Medicinal Drb F.20.24 Goma 5 Kg</t>
  </si>
  <si>
    <t>203651756262964</t>
  </si>
  <si>
    <t>MLC2764121010</t>
  </si>
  <si>
    <t>U2700924793</t>
  </si>
  <si>
    <t>F.30.12</t>
  </si>
  <si>
    <t>Pelota Pilates Ecco Drb F.30.12 - 55 Cm</t>
  </si>
  <si>
    <t>4771952608224154</t>
  </si>
  <si>
    <t>MLC2764121210</t>
  </si>
  <si>
    <t>U2705852882</t>
  </si>
  <si>
    <t>F.30.02</t>
  </si>
  <si>
    <t>Tubo Elastico De Resistencia Drb F.30.02</t>
  </si>
  <si>
    <t>5030537825953223</t>
  </si>
  <si>
    <t>MLC2764133366</t>
  </si>
  <si>
    <t>U2700913307</t>
  </si>
  <si>
    <t>F.22.07</t>
  </si>
  <si>
    <t>Disco Fierro Drb F.22.07 - 10 Kg Caja 20 Kg</t>
  </si>
  <si>
    <t>6779193396692211</t>
  </si>
  <si>
    <t>MLC2764146150</t>
  </si>
  <si>
    <t>U2700923565</t>
  </si>
  <si>
    <t>F.30.15</t>
  </si>
  <si>
    <t>Pelota Pilates Drb F.30.15 - 55 Cm</t>
  </si>
  <si>
    <t>183431406597164</t>
  </si>
  <si>
    <t>MLC2764146152</t>
  </si>
  <si>
    <t>U2705838400</t>
  </si>
  <si>
    <t>F.30.13</t>
  </si>
  <si>
    <t>Pelota Pilates Ecco Drb F.30.13 - 65 Cm</t>
  </si>
  <si>
    <t>4828684226734198</t>
  </si>
  <si>
    <t>MLC2764146154</t>
  </si>
  <si>
    <t>U2700923577</t>
  </si>
  <si>
    <t>F.20.23</t>
  </si>
  <si>
    <t>Balon Medicinal Drb F.20.23 Goma 4 Kg</t>
  </si>
  <si>
    <t>6148759432146333</t>
  </si>
  <si>
    <t>MLC2764146330</t>
  </si>
  <si>
    <t>U2705854028</t>
  </si>
  <si>
    <t>F.30.03-BGX</t>
  </si>
  <si>
    <t>Banda De Goma Elastica Drb F.30.03 Tipo  X</t>
  </si>
  <si>
    <t>8510837565743950</t>
  </si>
  <si>
    <t>MLC2764146332</t>
  </si>
  <si>
    <t>U2700937987</t>
  </si>
  <si>
    <t>F.30.01</t>
  </si>
  <si>
    <t>Tubo Elast  8  De Resistencia Drb F.30.01</t>
  </si>
  <si>
    <t>4040289387244098</t>
  </si>
  <si>
    <t>MLC2764158726</t>
  </si>
  <si>
    <t>U2705838396</t>
  </si>
  <si>
    <t>F.30.11</t>
  </si>
  <si>
    <t>Pelota Pilates Ecco Drb F.30.11 - 85 Cm</t>
  </si>
  <si>
    <t>5339803332797738</t>
  </si>
  <si>
    <t>MLC2764158728</t>
  </si>
  <si>
    <t>U2700924797</t>
  </si>
  <si>
    <t>F.30.17</t>
  </si>
  <si>
    <t>Pelota Pilates Drb F.30.17 - 75 Cm</t>
  </si>
  <si>
    <t>5722089434933992</t>
  </si>
  <si>
    <t>MLC2764158932</t>
  </si>
  <si>
    <t>U2700937985</t>
  </si>
  <si>
    <t>F.30.05</t>
  </si>
  <si>
    <t>Banda Elastica Amarilla Drb F.30.05 (035)</t>
  </si>
  <si>
    <t>3369626784653660</t>
  </si>
  <si>
    <t>MLC2765157146</t>
  </si>
  <si>
    <t>U2703167717</t>
  </si>
  <si>
    <t>F.30.09</t>
  </si>
  <si>
    <t>Banda Elast Circular Drb F.30.09 Set 5 Unidades</t>
  </si>
  <si>
    <t>5042277468440741</t>
  </si>
  <si>
    <t>MLC2765168388</t>
  </si>
  <si>
    <t>U2707973474</t>
  </si>
  <si>
    <t>F.25.01</t>
  </si>
  <si>
    <t>Sist. Entrenam. Suspensión Drb F.25.01</t>
  </si>
  <si>
    <t>980364325231519</t>
  </si>
  <si>
    <t>MLC2765182852</t>
  </si>
  <si>
    <t>U2703163987</t>
  </si>
  <si>
    <t>F.30.00</t>
  </si>
  <si>
    <t>Tubo Elast  O  De Resistencia Drb F.30.00</t>
  </si>
  <si>
    <t>492381197189752</t>
  </si>
  <si>
    <t>MLC2767765770</t>
  </si>
  <si>
    <t>U2708904161</t>
  </si>
  <si>
    <t>5.10.57-GR</t>
  </si>
  <si>
    <t>Lente Generation Junior</t>
  </si>
  <si>
    <t>6887424429478969</t>
  </si>
  <si>
    <t>MLC2767792306</t>
  </si>
  <si>
    <t>U2708942005</t>
  </si>
  <si>
    <t>5.10.05-AZ</t>
  </si>
  <si>
    <t>Lente Natacion Isus</t>
  </si>
  <si>
    <t>499420708268331</t>
  </si>
  <si>
    <t>MLC2767857314</t>
  </si>
  <si>
    <t>U2708944139</t>
  </si>
  <si>
    <t>9.65.00-M</t>
  </si>
  <si>
    <t>Tobillera Elástica Drb 9.65.00 Clásica M</t>
  </si>
  <si>
    <t>213804343031888</t>
  </si>
  <si>
    <t>MLC2767860452</t>
  </si>
  <si>
    <t>U2713937544</t>
  </si>
  <si>
    <t>9.65.00-L</t>
  </si>
  <si>
    <t>Tobillera Elástica Drb 9.65.00 Clásica L</t>
  </si>
  <si>
    <t>Blanco L</t>
  </si>
  <si>
    <t>8128801548842759</t>
  </si>
  <si>
    <t>MLC2767959766</t>
  </si>
  <si>
    <t>U2708908239</t>
  </si>
  <si>
    <t>5.10.59-GR</t>
  </si>
  <si>
    <t>Lente Generation Junior X 24</t>
  </si>
  <si>
    <t>7843454680256452</t>
  </si>
  <si>
    <t>MLC2767964400</t>
  </si>
  <si>
    <t>U2709016595</t>
  </si>
  <si>
    <t>9.65.00-S</t>
  </si>
  <si>
    <t>Tobillera Elástica Drb 9.65.00 Clásica S</t>
  </si>
  <si>
    <t>MLC2770278492</t>
  </si>
  <si>
    <t>Balon Futbol Drb 2.00.10 Star #2</t>
  </si>
  <si>
    <t>4915877670003310</t>
  </si>
  <si>
    <t>MLC2770278494</t>
  </si>
  <si>
    <t>U2717391156</t>
  </si>
  <si>
    <t>2.00.28</t>
  </si>
  <si>
    <t>Balon Futbol Mars 3.0 #5</t>
  </si>
  <si>
    <t>3960605248727532</t>
  </si>
  <si>
    <t>MLC2770291494</t>
  </si>
  <si>
    <t>U2712466255</t>
  </si>
  <si>
    <t>2.00.52</t>
  </si>
  <si>
    <t>Balon Futbol Drb 2.00.52 - Lic P.s.g</t>
  </si>
  <si>
    <t>2448815214536780</t>
  </si>
  <si>
    <t>MLC2770317252</t>
  </si>
  <si>
    <t>U2717390826</t>
  </si>
  <si>
    <t>2.00.08</t>
  </si>
  <si>
    <t>Balon Futbolito Drb 2.00.08 Tornado #5</t>
  </si>
  <si>
    <t>MLC2770317254</t>
  </si>
  <si>
    <t>Balon Futbol Drb 2.00.04 Real #5</t>
  </si>
  <si>
    <t>100</t>
  </si>
  <si>
    <t>182156336680</t>
  </si>
  <si>
    <t>2.00.04-AZU</t>
  </si>
  <si>
    <t>182156336682</t>
  </si>
  <si>
    <t>2.00.04-VER</t>
  </si>
  <si>
    <t>182156336684</t>
  </si>
  <si>
    <t>2.00.04-NEG</t>
  </si>
  <si>
    <t>182156336686</t>
  </si>
  <si>
    <t>2.00.04-ROJ</t>
  </si>
  <si>
    <t>5018171261934589</t>
  </si>
  <si>
    <t>MLC2770343118</t>
  </si>
  <si>
    <t>U2712466271</t>
  </si>
  <si>
    <t>2.00.11</t>
  </si>
  <si>
    <t>Balon Futbol Drb 2.00.11 Star #3</t>
  </si>
  <si>
    <t>3573111871320425</t>
  </si>
  <si>
    <t>MLC2770367308</t>
  </si>
  <si>
    <t>U2717392304</t>
  </si>
  <si>
    <t>2.00.54</t>
  </si>
  <si>
    <t>Balon Futbol Drb 2.00.54 - Lic River</t>
  </si>
  <si>
    <t>6375740674519290</t>
  </si>
  <si>
    <t>MLC2772759392</t>
  </si>
  <si>
    <t>U2729393603</t>
  </si>
  <si>
    <t>2.00.16</t>
  </si>
  <si>
    <t>Balon Futbol Drb 2.00.16 - Chile #5</t>
  </si>
  <si>
    <t>Rojo/azul/blanco</t>
  </si>
  <si>
    <t>3829953452229317</t>
  </si>
  <si>
    <t>MLC2772796996</t>
  </si>
  <si>
    <t>U2729395373</t>
  </si>
  <si>
    <t>2.00.70</t>
  </si>
  <si>
    <t>Balon Baby Drb 2.00.70 - Liverpool</t>
  </si>
  <si>
    <t>142006073588768</t>
  </si>
  <si>
    <t>MLC2772936760</t>
  </si>
  <si>
    <t>U2736165764</t>
  </si>
  <si>
    <t>2.90.12</t>
  </si>
  <si>
    <t>Bombin Drb 2.90.12 D/acc. Blister C/acces</t>
  </si>
  <si>
    <t>2713876430101599</t>
  </si>
  <si>
    <t>MLC2773112806</t>
  </si>
  <si>
    <t>U2736830674</t>
  </si>
  <si>
    <t>2.80.31</t>
  </si>
  <si>
    <t>Canillera Drb 2.80.31 - C/tobillera Bremen</t>
  </si>
  <si>
    <t>763175917453959</t>
  </si>
  <si>
    <t>MLC2773153384</t>
  </si>
  <si>
    <t>U2737134692</t>
  </si>
  <si>
    <t>2.80.70</t>
  </si>
  <si>
    <t>Canillera Drb 2.80.70 - Licenci Barcelona</t>
  </si>
  <si>
    <t>6311592853165974</t>
  </si>
  <si>
    <t>MLC2773629490</t>
  </si>
  <si>
    <t>U2736844062</t>
  </si>
  <si>
    <t>2.80.30</t>
  </si>
  <si>
    <t>Canillera Drb 2.80.30 - C/tobillera Bremen</t>
  </si>
  <si>
    <t>4400501921028621</t>
  </si>
  <si>
    <t>MLC2774627452</t>
  </si>
  <si>
    <t>U2742853670</t>
  </si>
  <si>
    <t>2.80.60</t>
  </si>
  <si>
    <t>Canillera Drb 2.80.60 - Licenci Manchester</t>
  </si>
  <si>
    <t>3625561146464907</t>
  </si>
  <si>
    <t>MLC2774627976</t>
  </si>
  <si>
    <t>U2737965405</t>
  </si>
  <si>
    <t>2.80.65</t>
  </si>
  <si>
    <t>Canillera Drb 2.80.65 - Licencia Psg</t>
  </si>
  <si>
    <t>847082033630064</t>
  </si>
  <si>
    <t>MLC2774640826</t>
  </si>
  <si>
    <t>U2742898190</t>
  </si>
  <si>
    <t>2.80.67</t>
  </si>
  <si>
    <t>Canillera Drb 2.80.67 - Licencia Psg</t>
  </si>
  <si>
    <t>8658899114349042</t>
  </si>
  <si>
    <t>MLC2774649828</t>
  </si>
  <si>
    <t>U2742445030</t>
  </si>
  <si>
    <t>2.80.62</t>
  </si>
  <si>
    <t>Canillera Drb 2.80.62 - Licenci Manchester</t>
  </si>
  <si>
    <t>6807832778509049</t>
  </si>
  <si>
    <t>MLC2774666616</t>
  </si>
  <si>
    <t>U2742824702</t>
  </si>
  <si>
    <t>2.80.61</t>
  </si>
  <si>
    <t>Canillera Drb 2.80.61 - Licenci Manchester</t>
  </si>
  <si>
    <t>9004945776433507</t>
  </si>
  <si>
    <t>MLC2774674310</t>
  </si>
  <si>
    <t>U2742221722</t>
  </si>
  <si>
    <t>2.80.68</t>
  </si>
  <si>
    <t>Canillera Drb 2.80.68 - Licenci Barcelona</t>
  </si>
  <si>
    <t>7585548245875503</t>
  </si>
  <si>
    <t>MLC2774687146</t>
  </si>
  <si>
    <t>U2737268445</t>
  </si>
  <si>
    <t>2.80.69</t>
  </si>
  <si>
    <t>Canillera Drb 2.80.69 - Licenci Barcelona</t>
  </si>
  <si>
    <t>1916051755904923</t>
  </si>
  <si>
    <t>MLC2776642354</t>
  </si>
  <si>
    <t>U2754456316</t>
  </si>
  <si>
    <t>2.60.05</t>
  </si>
  <si>
    <t>Estoperoles Drb 2.60.05 - Goma Fútbol</t>
  </si>
  <si>
    <t>131228683916795</t>
  </si>
  <si>
    <t>MLC2776813766</t>
  </si>
  <si>
    <t>U2749655171</t>
  </si>
  <si>
    <t>2.60.01</t>
  </si>
  <si>
    <t>Estoperoles Drb 2.60.01 - Nylon Bicolor</t>
  </si>
  <si>
    <t>5589241470187994</t>
  </si>
  <si>
    <t>MLC2777682852</t>
  </si>
  <si>
    <t>U2759422579</t>
  </si>
  <si>
    <t>2.20.01-AZL-BCO</t>
  </si>
  <si>
    <t>Media Adulto Comb Drb 2.20.01 Azulin Bco</t>
  </si>
  <si>
    <t>1209351730527646</t>
  </si>
  <si>
    <t>MLC2777766538</t>
  </si>
  <si>
    <t>U2764380534</t>
  </si>
  <si>
    <t>2.20.01-LI-BCO</t>
  </si>
  <si>
    <t>Media Adulto Comb Drb 2.20.01 Lila Blanco</t>
  </si>
  <si>
    <t>2858742842140326</t>
  </si>
  <si>
    <t>MLC2777766554</t>
  </si>
  <si>
    <t>U2764384414</t>
  </si>
  <si>
    <t>2.20.01-VER-BCO</t>
  </si>
  <si>
    <t>Media Adulto Comb Drb 2.20.01 Verde Bco</t>
  </si>
  <si>
    <t>8218946966734139</t>
  </si>
  <si>
    <t>MLC2777766560</t>
  </si>
  <si>
    <t>U2764381628</t>
  </si>
  <si>
    <t>2.20.01-MARI-BCO</t>
  </si>
  <si>
    <t>Media Adulto Comb Drb 2.20.01 Marino Bco</t>
  </si>
  <si>
    <t>3599485000064161</t>
  </si>
  <si>
    <t>MLC2777779600</t>
  </si>
  <si>
    <t>U2764413960</t>
  </si>
  <si>
    <t>2.20.01-NE-ROJ</t>
  </si>
  <si>
    <t>Media Adulto Comb Drb 2.20.01 Negro Rojo</t>
  </si>
  <si>
    <t>4538225880287036</t>
  </si>
  <si>
    <t>MLC2777805106</t>
  </si>
  <si>
    <t>U2759424335</t>
  </si>
  <si>
    <t>2.20.01-NE-AMA</t>
  </si>
  <si>
    <t>Media Adulto Comb Drb 2.20.01 Negro Amar</t>
  </si>
  <si>
    <t>4098821545141177</t>
  </si>
  <si>
    <t>MLC2777805110</t>
  </si>
  <si>
    <t>U2759422507</t>
  </si>
  <si>
    <t>2.20.01-VE-AMA</t>
  </si>
  <si>
    <t>Media Adulto Comb Drb 2.20.01 Verde Amar</t>
  </si>
  <si>
    <t>2089764727718297</t>
  </si>
  <si>
    <t>MLC2777820364</t>
  </si>
  <si>
    <t>U2765261768</t>
  </si>
  <si>
    <t>2.20.08-AMA-NE</t>
  </si>
  <si>
    <t>Media Infantil Comb Drb 2.20.08 Amar Negr</t>
  </si>
  <si>
    <t>1663293681666977</t>
  </si>
  <si>
    <t>MLC2777820366</t>
  </si>
  <si>
    <t>U2760296981</t>
  </si>
  <si>
    <t>2.20.08-BCO-VER</t>
  </si>
  <si>
    <t>Media Infantil Comb Drb 2.20.08 Bco Verde</t>
  </si>
  <si>
    <t>7582757854443748</t>
  </si>
  <si>
    <t>MLC2777833476</t>
  </si>
  <si>
    <t>U2765267184</t>
  </si>
  <si>
    <t>2.20.08-BCO-ROJ</t>
  </si>
  <si>
    <t>Media Infantil Comb Drb 2.20.08 Bco Rojo</t>
  </si>
  <si>
    <t>7764564115803573</t>
  </si>
  <si>
    <t>MLC2777849430</t>
  </si>
  <si>
    <t>U2765531852</t>
  </si>
  <si>
    <t>2.20.07-LL</t>
  </si>
  <si>
    <t>Media Infantil Drb 2.20.07 - Lisa Lila</t>
  </si>
  <si>
    <t>1926890505810833</t>
  </si>
  <si>
    <t>MLC2777849432</t>
  </si>
  <si>
    <t>U2760568107</t>
  </si>
  <si>
    <t>2.20.07-ROJ</t>
  </si>
  <si>
    <t>Media Infantil Drb 2.20.07 - Lisa Rojo</t>
  </si>
  <si>
    <t>4741578824835445</t>
  </si>
  <si>
    <t>MLC2777921636</t>
  </si>
  <si>
    <t>U2760296847</t>
  </si>
  <si>
    <t>2.20.08-AZM-BCO</t>
  </si>
  <si>
    <t>Media Infantil Comb Drb 2.20.08 Marin Bco</t>
  </si>
  <si>
    <t>4670968833373068</t>
  </si>
  <si>
    <t>MLC2777973596</t>
  </si>
  <si>
    <t>U2760566261</t>
  </si>
  <si>
    <t>2.20.07-VER</t>
  </si>
  <si>
    <t>Media Infantil Drb 2.20.07 - Lisa Verde</t>
  </si>
  <si>
    <t>2687416203405983</t>
  </si>
  <si>
    <t>MLC2777973604</t>
  </si>
  <si>
    <t>U2760568713</t>
  </si>
  <si>
    <t>2.20.07-BCO</t>
  </si>
  <si>
    <t>Media Infantil Drb 2.20.07 - Lisa Blanco</t>
  </si>
  <si>
    <t>4375912320003662</t>
  </si>
  <si>
    <t>MLC2777983844</t>
  </si>
  <si>
    <t>U2765262104</t>
  </si>
  <si>
    <t>2.20.08-CEL-BCO</t>
  </si>
  <si>
    <t>Media Infantil Comb Drb 2.20.08 Cele Bco</t>
  </si>
  <si>
    <t>4649993879794706</t>
  </si>
  <si>
    <t>MLC2777983872</t>
  </si>
  <si>
    <t>U2760302203</t>
  </si>
  <si>
    <t>2.20.08-BCO-NE</t>
  </si>
  <si>
    <t>Media Infantil Comb Drb 2.20.08 Bco Negro</t>
  </si>
  <si>
    <t>5040644214078807</t>
  </si>
  <si>
    <t>MLC2777983874</t>
  </si>
  <si>
    <t>U2765265798</t>
  </si>
  <si>
    <t>2.20.08-NE-AMA</t>
  </si>
  <si>
    <t>Media Infantil Comb Drb 2.20.08 Negro Amar</t>
  </si>
  <si>
    <t>2042159176134830</t>
  </si>
  <si>
    <t>MLC2777986942</t>
  </si>
  <si>
    <t>U2765535336</t>
  </si>
  <si>
    <t>2.20.07-AMA</t>
  </si>
  <si>
    <t>Media Infantil Drb 2.20.07 - Lisa Amarillo</t>
  </si>
  <si>
    <t>4525151822049651</t>
  </si>
  <si>
    <t>MLC2778129744</t>
  </si>
  <si>
    <t>U2768742154</t>
  </si>
  <si>
    <t>2.10.00</t>
  </si>
  <si>
    <t>Peto Deportivo Drb 2.10.00 - C/elástico Unidad</t>
  </si>
  <si>
    <t>7777086868769375</t>
  </si>
  <si>
    <t>MLC2778132566</t>
  </si>
  <si>
    <t>U2764153619</t>
  </si>
  <si>
    <t>2.10.20</t>
  </si>
  <si>
    <t>Peto Deportivo Junior Drb 2.10.20 - C/elástico Unidad</t>
  </si>
  <si>
    <t>6833556723621927</t>
  </si>
  <si>
    <t>MLC2778158210</t>
  </si>
  <si>
    <t>U2764153613</t>
  </si>
  <si>
    <t>2.10.23</t>
  </si>
  <si>
    <t>Peto Deportivo Junior Drb 2.10.23 - C/elástico × 250 Un</t>
  </si>
  <si>
    <t>575610562973163</t>
  </si>
  <si>
    <t>MLC2778179216</t>
  </si>
  <si>
    <t>U2764158001</t>
  </si>
  <si>
    <t>2.10.36</t>
  </si>
  <si>
    <t>Peto Calado Drb 2.10.36 - Cerrado Adulto × 250 Un</t>
  </si>
  <si>
    <t>4748970500107823</t>
  </si>
  <si>
    <t>MLC2778191698</t>
  </si>
  <si>
    <t>U2764156581</t>
  </si>
  <si>
    <t>2.10.24</t>
  </si>
  <si>
    <t>Peto Deportivo Junior Drb 2.10.24 - C/elástico × 500 Un</t>
  </si>
  <si>
    <t>4321998531633422</t>
  </si>
  <si>
    <t>MLC2778191700</t>
  </si>
  <si>
    <t>U2764156583</t>
  </si>
  <si>
    <t>2.10.34</t>
  </si>
  <si>
    <t>Peto Calado Drb 2.10.34 - Cerrado Adulto× 100 Un</t>
  </si>
  <si>
    <t>7912584962388632</t>
  </si>
  <si>
    <t>MLC2778844824</t>
  </si>
  <si>
    <t>U2773668451</t>
  </si>
  <si>
    <t>2.90.92</t>
  </si>
  <si>
    <t>Red Fútbol Drb 2.90.92 - Pe 2.0 Mm 036</t>
  </si>
  <si>
    <t>1283670360936148</t>
  </si>
  <si>
    <t>MLC2778857124</t>
  </si>
  <si>
    <t>U2773667043</t>
  </si>
  <si>
    <t>2.90.94</t>
  </si>
  <si>
    <t>Red Fútbol Drb 2.90.94 - Pe 3.0 Mm Hex 038</t>
  </si>
  <si>
    <t>2411162393527571</t>
  </si>
  <si>
    <t>MLC2778861128</t>
  </si>
  <si>
    <t>U2774756715</t>
  </si>
  <si>
    <t>2.90.25</t>
  </si>
  <si>
    <t>Saco Porta Balones Drb 2.90.25 - Profesional</t>
  </si>
  <si>
    <t>MLC2780449240</t>
  </si>
  <si>
    <t>Short Futbol Niño Drb 2.40.36 - Verde</t>
  </si>
  <si>
    <t>186089549153</t>
  </si>
  <si>
    <t>2.40.36-VER-XS</t>
  </si>
  <si>
    <t>XS / Verde</t>
  </si>
  <si>
    <t>186089549155</t>
  </si>
  <si>
    <t>2.40.36-VER-XXS</t>
  </si>
  <si>
    <t>XXS / Verde</t>
  </si>
  <si>
    <t>MLC2780472534</t>
  </si>
  <si>
    <t>Short Futbol Drb 2.40.32 Liso Marino</t>
  </si>
  <si>
    <t>182252876116</t>
  </si>
  <si>
    <t>2.40.32-AZM-XL</t>
  </si>
  <si>
    <t>XL / Azul marino</t>
  </si>
  <si>
    <t>182252876114</t>
  </si>
  <si>
    <t>2.40.32-AZM-S</t>
  </si>
  <si>
    <t>S / Azul marino</t>
  </si>
  <si>
    <t>182252876112</t>
  </si>
  <si>
    <t>2.40.32-AZM-M</t>
  </si>
  <si>
    <t>M / Azul marino</t>
  </si>
  <si>
    <t>182252876110</t>
  </si>
  <si>
    <t>2.40.32-AZM-L</t>
  </si>
  <si>
    <t>L / Azul marino</t>
  </si>
  <si>
    <t>MLC2780473784</t>
  </si>
  <si>
    <t>Short Dama C/lycra Blanco</t>
  </si>
  <si>
    <t>182253086084</t>
  </si>
  <si>
    <t>2.40.38BL.L</t>
  </si>
  <si>
    <t>L / Blanco</t>
  </si>
  <si>
    <t>182253086086</t>
  </si>
  <si>
    <t>2.40.38BL.M</t>
  </si>
  <si>
    <t>M / Blanco</t>
  </si>
  <si>
    <t>182253086088</t>
  </si>
  <si>
    <t>2.40.38BL.S</t>
  </si>
  <si>
    <t>S / Blanco</t>
  </si>
  <si>
    <t>182253086090</t>
  </si>
  <si>
    <t>2.40.38BL.XL</t>
  </si>
  <si>
    <t>XL / Blanco</t>
  </si>
  <si>
    <t>MLC2780493740</t>
  </si>
  <si>
    <t>Short Futbol Liso Blanco</t>
  </si>
  <si>
    <t>186089324441</t>
  </si>
  <si>
    <t>2.40.32BL.XL</t>
  </si>
  <si>
    <t>186089324439</t>
  </si>
  <si>
    <t>2.40.32BL.S</t>
  </si>
  <si>
    <t>186089324437</t>
  </si>
  <si>
    <t>2.40.32BL.M</t>
  </si>
  <si>
    <t>186089324435</t>
  </si>
  <si>
    <t>2.40.32BL.L</t>
  </si>
  <si>
    <t>MLC2780495284</t>
  </si>
  <si>
    <t>Short Fut Niño Drb 2.40.36 Liso Az Marino</t>
  </si>
  <si>
    <t>182253068402</t>
  </si>
  <si>
    <t>2.40.36-AZM-XS</t>
  </si>
  <si>
    <t>XS / Azul marino</t>
  </si>
  <si>
    <t>182253068404</t>
  </si>
  <si>
    <t>2.40.36-AZM-XXS</t>
  </si>
  <si>
    <t>XXS / Azul marino</t>
  </si>
  <si>
    <t>MLC2780506248</t>
  </si>
  <si>
    <t>Short Futbol Drb 2.40.32 Liso Rojo</t>
  </si>
  <si>
    <t>186089311411</t>
  </si>
  <si>
    <t>2.40.32-ROJ-S</t>
  </si>
  <si>
    <t>Rojo / S</t>
  </si>
  <si>
    <t>186089311413</t>
  </si>
  <si>
    <t>2.40.32-ROJX-L</t>
  </si>
  <si>
    <t>Rojo / XL</t>
  </si>
  <si>
    <t>186089311407</t>
  </si>
  <si>
    <t>2.40.32-ROJ-L</t>
  </si>
  <si>
    <t>L / Rojo</t>
  </si>
  <si>
    <t>186089311409</t>
  </si>
  <si>
    <t>2.40.32-ROJ-M</t>
  </si>
  <si>
    <t>Rojo / M</t>
  </si>
  <si>
    <t>MLC2780507402</t>
  </si>
  <si>
    <t>Short Dama C/lycra Azulino</t>
  </si>
  <si>
    <t>182253077534</t>
  </si>
  <si>
    <t>2.40.38AZL.M</t>
  </si>
  <si>
    <t>182253077532</t>
  </si>
  <si>
    <t>2.40.38AZL.L</t>
  </si>
  <si>
    <t>182253077538</t>
  </si>
  <si>
    <t>2.40.38AZL.XL</t>
  </si>
  <si>
    <t>182253077536</t>
  </si>
  <si>
    <t>2.40.38AZL.S</t>
  </si>
  <si>
    <t>MLC2780507404</t>
  </si>
  <si>
    <t>Short Dama Drb 2.40.39 - Liso Blanco</t>
  </si>
  <si>
    <t>182253077542</t>
  </si>
  <si>
    <t>2.40.39-BL-L</t>
  </si>
  <si>
    <t>182253077546</t>
  </si>
  <si>
    <t>2.40.39-BL-S</t>
  </si>
  <si>
    <t>182253077544</t>
  </si>
  <si>
    <t>2.40.39-BL-M</t>
  </si>
  <si>
    <t>182253077548</t>
  </si>
  <si>
    <t>2.40.39-BL-XL</t>
  </si>
  <si>
    <t>349401092093408</t>
  </si>
  <si>
    <t>MLC2780507780</t>
  </si>
  <si>
    <t>U2804138760</t>
  </si>
  <si>
    <t>2.40.36BLXXS</t>
  </si>
  <si>
    <t>Short Futbol Niño Drb 2.40.36 - Blanco</t>
  </si>
  <si>
    <t>Blanco Xxs</t>
  </si>
  <si>
    <t>6739588030337549</t>
  </si>
  <si>
    <t>MLC2780767834</t>
  </si>
  <si>
    <t>U2808190518</t>
  </si>
  <si>
    <t>8.40.05</t>
  </si>
  <si>
    <t>Set P.p. Instant Drb 8.40.05 - 2 Pal 3 Pel Red</t>
  </si>
  <si>
    <t>8737345637274431</t>
  </si>
  <si>
    <t>MLC2780792818</t>
  </si>
  <si>
    <t>U2808189620</t>
  </si>
  <si>
    <t>8.20.11</t>
  </si>
  <si>
    <t>Red Mesa Sensei 8.20.11 - Algodón Prof.</t>
  </si>
  <si>
    <t>6774535397475120</t>
  </si>
  <si>
    <t>MLC2780804554</t>
  </si>
  <si>
    <t>U2803220509</t>
  </si>
  <si>
    <t>8.40.00</t>
  </si>
  <si>
    <t>Set P.p.sensei Drb 8.40.00 - 2 Paleta 3 Pelo</t>
  </si>
  <si>
    <t>4421355978751767</t>
  </si>
  <si>
    <t>MLC2780804556</t>
  </si>
  <si>
    <t>U2808190528</t>
  </si>
  <si>
    <t>Pelota Pp Sensei 6 Unid 1* Naranjo</t>
  </si>
  <si>
    <t>4533411234619219</t>
  </si>
  <si>
    <t>MLC2837876740</t>
  </si>
  <si>
    <t>U2977493601</t>
  </si>
  <si>
    <t>V.04.01</t>
  </si>
  <si>
    <t>Guante Foco Drb V.04.01 - Curvo Bicolor</t>
  </si>
  <si>
    <t>8137930938397222</t>
  </si>
  <si>
    <t>MLC2837887998</t>
  </si>
  <si>
    <t>U2977497053</t>
  </si>
  <si>
    <t>V.06.20-S</t>
  </si>
  <si>
    <t>Guantilla Cuero Drb V.06.20 - Vienesa S</t>
  </si>
  <si>
    <t>3234277725177145</t>
  </si>
  <si>
    <t>MLC2837888006</t>
  </si>
  <si>
    <t>U2977495523</t>
  </si>
  <si>
    <t>2.00.57</t>
  </si>
  <si>
    <t>Balon Futbol Chile Bumerang</t>
  </si>
  <si>
    <t>MLC2837888008</t>
  </si>
  <si>
    <t>Guante Box Ecco 10 Oz Junior Blu-v.00.08</t>
  </si>
  <si>
    <t>182808128520</t>
  </si>
  <si>
    <t>V.00.08</t>
  </si>
  <si>
    <t>182808128522</t>
  </si>
  <si>
    <t>V.00.09</t>
  </si>
  <si>
    <t>182808128524</t>
  </si>
  <si>
    <t>V.00.10</t>
  </si>
  <si>
    <t>182808128526</t>
  </si>
  <si>
    <t>V.00.07</t>
  </si>
  <si>
    <t>8oz</t>
  </si>
  <si>
    <t>MLC2837899044</t>
  </si>
  <si>
    <t>Miton Karate Drb V.03.01</t>
  </si>
  <si>
    <t>186798717233</t>
  </si>
  <si>
    <t>V.03.01-L</t>
  </si>
  <si>
    <t>186798717235</t>
  </si>
  <si>
    <t>V.03.01-M</t>
  </si>
  <si>
    <t>186798717237</t>
  </si>
  <si>
    <t>V.03.01-S</t>
  </si>
  <si>
    <t>186798717239</t>
  </si>
  <si>
    <t>V.03.01-XL</t>
  </si>
  <si>
    <t>MLC2837899048</t>
  </si>
  <si>
    <t>Canillera Drb 2.80.50 - Licencia Boca</t>
  </si>
  <si>
    <t>186798717289</t>
  </si>
  <si>
    <t>2.80.52</t>
  </si>
  <si>
    <t>186798717291</t>
  </si>
  <si>
    <t>2.80.51</t>
  </si>
  <si>
    <t>186798717293</t>
  </si>
  <si>
    <t>2.80.50</t>
  </si>
  <si>
    <t>MLC2879093460</t>
  </si>
  <si>
    <t>Set De Pelotas De Ping Pong De Plástico, 1 Estrella Blanco</t>
  </si>
  <si>
    <t>3104983748631582</t>
  </si>
  <si>
    <t>MLC2880549874</t>
  </si>
  <si>
    <t>U2717392762</t>
  </si>
  <si>
    <t>2.00.40</t>
  </si>
  <si>
    <t>Balón Fútbol Official #5 Drb® Blanco/negro</t>
  </si>
  <si>
    <t>MLC2884259678</t>
  </si>
  <si>
    <t>Palo Hockey Simbra Evo Pro 4000 Carbono Vidrio 36.5 37.5 Color Negro 37.5</t>
  </si>
  <si>
    <t>2324061582958658</t>
  </si>
  <si>
    <t>MLC2884363326</t>
  </si>
  <si>
    <t>U2699922659</t>
  </si>
  <si>
    <t>C.10.01</t>
  </si>
  <si>
    <t>Tubo Pelotas Pádel Entrenamiento Sixzero Padel Balls Paddle Pro 3 Unidades Amarillo</t>
  </si>
  <si>
    <t>112918646716119</t>
  </si>
  <si>
    <t>MLC2886052530</t>
  </si>
  <si>
    <t>U2632193234</t>
  </si>
  <si>
    <t>4.00.05</t>
  </si>
  <si>
    <t>Balón Volley Classic 2.0 Drb® Color Blanco</t>
  </si>
  <si>
    <t>MLC2909254418</t>
  </si>
  <si>
    <t>Banda Elástica Dribbling Verde Con Manijas Para Ejercicios De Fuerza</t>
  </si>
  <si>
    <t>MLC2954262892</t>
  </si>
  <si>
    <t>Pack Short Drb 2.40.32 Futbol Liso</t>
  </si>
  <si>
    <t>130</t>
  </si>
  <si>
    <t>188798034455</t>
  </si>
  <si>
    <t>PACK-2.40.32-AZ-BL-S</t>
  </si>
  <si>
    <t>Azul - Blanco / Lisa / S</t>
  </si>
  <si>
    <t>188798034457</t>
  </si>
  <si>
    <t>PACK-2.40.32-AZM-BL-S</t>
  </si>
  <si>
    <t>Azul marino - Blanco / Lisa / S</t>
  </si>
  <si>
    <t>188798034459</t>
  </si>
  <si>
    <t>PACK-2.40.32-NE-RO-S</t>
  </si>
  <si>
    <t>Negro - Rojo / Lisa / S</t>
  </si>
  <si>
    <t>188798034461</t>
  </si>
  <si>
    <t>PACK-2.40.32-VE-RO-S</t>
  </si>
  <si>
    <t>Lisa / Verde - Rojo / S</t>
  </si>
  <si>
    <t>188798034463</t>
  </si>
  <si>
    <t>PACK-2.40.32-AZ-BL-M</t>
  </si>
  <si>
    <t>Azul - Blanco / M / Lisa</t>
  </si>
  <si>
    <t>188798034465</t>
  </si>
  <si>
    <t>PACK-2.40.32-NE-BL-M</t>
  </si>
  <si>
    <t>Negro - Blanco / M / Lisa</t>
  </si>
  <si>
    <t>188798034467</t>
  </si>
  <si>
    <t>PACK-2.40.32-RO-VE-M</t>
  </si>
  <si>
    <t>M / Lisa / Rojo - Verde</t>
  </si>
  <si>
    <t>188798034469</t>
  </si>
  <si>
    <t>PACK-2.40.32-AZM-VE-M</t>
  </si>
  <si>
    <t>Azul marino - Verde / M / Lisa</t>
  </si>
  <si>
    <t>188798034471</t>
  </si>
  <si>
    <t>PACK-2.40.32-AZM-AZ-L</t>
  </si>
  <si>
    <t>L / Lisa / Azul marino - Azul</t>
  </si>
  <si>
    <t>188798034473</t>
  </si>
  <si>
    <t>PACK-2.40.32-AZ-BL-L</t>
  </si>
  <si>
    <t>L / Lisa / Blanco - Azul</t>
  </si>
  <si>
    <t>188798034475</t>
  </si>
  <si>
    <t>PACK-2.40.32-NE-RO-L</t>
  </si>
  <si>
    <t>L / Negro - Rojo / Lisa</t>
  </si>
  <si>
    <t>188798034477</t>
  </si>
  <si>
    <t>PACK-2.40.32-VE-RO-L</t>
  </si>
  <si>
    <t>L / Lisa / Verde - Rojo</t>
  </si>
  <si>
    <t>188798034479</t>
  </si>
  <si>
    <t>PACK-2.40.32-AZM-AZ-XL</t>
  </si>
  <si>
    <t>Lisa / XL / Azul marino - Azul</t>
  </si>
  <si>
    <t>188798034481</t>
  </si>
  <si>
    <t>PACK-2.40.32-BL-AZ-XL</t>
  </si>
  <si>
    <t>Lisa / XL / Blanco - Azul</t>
  </si>
  <si>
    <t>188798034483</t>
  </si>
  <si>
    <t>PACK-2.40.32-NE-RO-XL</t>
  </si>
  <si>
    <t>Negro - Rojo / Lisa / XL</t>
  </si>
  <si>
    <t>188798034485</t>
  </si>
  <si>
    <t>PACK-2.40.32-VE-RO-XL</t>
  </si>
  <si>
    <t>Lisa / XL / Verde - Rojo</t>
  </si>
  <si>
    <t>MLC2954342886</t>
  </si>
  <si>
    <t>Pack Media Adulto 2.20.14 Lisa</t>
  </si>
  <si>
    <t>188799401191</t>
  </si>
  <si>
    <t>PACK-2.20.14-AZM-AZ</t>
  </si>
  <si>
    <t>Azul marino - azulino</t>
  </si>
  <si>
    <t>188799401193</t>
  </si>
  <si>
    <t>PACK-2.20.14-BL-NE</t>
  </si>
  <si>
    <t>Blanco-Negro</t>
  </si>
  <si>
    <t>188799401195</t>
  </si>
  <si>
    <t>PACK-2.20.14-RO-VE</t>
  </si>
  <si>
    <t>MLC2954355744</t>
  </si>
  <si>
    <t>Pack Media Adulto 2.20.20 Sin Pie</t>
  </si>
  <si>
    <t>188799390287</t>
  </si>
  <si>
    <t>188799390289</t>
  </si>
  <si>
    <t>PACK-2.20.20-AZ-BL</t>
  </si>
  <si>
    <t>188799390291</t>
  </si>
  <si>
    <t>PACK-2.20.20-CE-NE</t>
  </si>
  <si>
    <t>188799390293</t>
  </si>
  <si>
    <t>PACK-2.20.20-RO-VE</t>
  </si>
  <si>
    <t>MLC2954394276</t>
  </si>
  <si>
    <t>Pack Media Adulto 2.20.00 Lisa</t>
  </si>
  <si>
    <t>188799483501</t>
  </si>
  <si>
    <t>PACK-2.20.00-BL-RO</t>
  </si>
  <si>
    <t>blanco - rojo</t>
  </si>
  <si>
    <t>188799483503</t>
  </si>
  <si>
    <t>PACK-2.20.00-AM-AZ</t>
  </si>
  <si>
    <t>188799483505</t>
  </si>
  <si>
    <t>PACK-2.20.00-CE-NE</t>
  </si>
  <si>
    <t>188799483507</t>
  </si>
  <si>
    <t>PACK-2.20.00-VE-CE</t>
  </si>
  <si>
    <t>verde - celeste</t>
  </si>
  <si>
    <t>4449000335496436</t>
  </si>
  <si>
    <t>MLC2956110796</t>
  </si>
  <si>
    <t>U3277059034</t>
  </si>
  <si>
    <t>C.00.06</t>
  </si>
  <si>
    <t>Pala Padel Diamond C.00.06</t>
  </si>
  <si>
    <t>MLC2956215888</t>
  </si>
  <si>
    <t>Tripack Media Adulto Drb 2.20.20 - Sin Pie</t>
  </si>
  <si>
    <t>184166153256</t>
  </si>
  <si>
    <t>2.20.20-TRIPACK-AM-AZM-AZ</t>
  </si>
  <si>
    <t>amarillo - azul marino - azulino</t>
  </si>
  <si>
    <t>184166153258</t>
  </si>
  <si>
    <t>2.20.20-TRIPACK-AZL-BL-NE</t>
  </si>
  <si>
    <t>negro - blanco - azulino</t>
  </si>
  <si>
    <t>184166153260</t>
  </si>
  <si>
    <t>2.20.20-TRIPACK-CE-NE-RO</t>
  </si>
  <si>
    <t>celeste - negro -rojo</t>
  </si>
  <si>
    <t>184166153262</t>
  </si>
  <si>
    <t>2.20.20-TRIPACK-RO-VE-AZ</t>
  </si>
  <si>
    <t>rojo - verde - azulino</t>
  </si>
  <si>
    <t>MLC2956228964</t>
  </si>
  <si>
    <t>Tripack Media Adulto Drb 2.20.01 Comb</t>
  </si>
  <si>
    <t>184166164698</t>
  </si>
  <si>
    <t>2.20.01-TRIPACK-CN-NA-AA</t>
  </si>
  <si>
    <t>CN-NA-AA</t>
  </si>
  <si>
    <t>184166164704</t>
  </si>
  <si>
    <t>2.20.01-TRIPACK-AA-AB-BA</t>
  </si>
  <si>
    <t>AA-AB-BA</t>
  </si>
  <si>
    <t>184166164708</t>
  </si>
  <si>
    <t>2.20.01-TRIPACK-BA-BN-BR</t>
  </si>
  <si>
    <t>BA-BN-BR</t>
  </si>
  <si>
    <t>184166164712</t>
  </si>
  <si>
    <t>2.20.01-TRIPACK-BR-BV-CB</t>
  </si>
  <si>
    <t>BR-BV-CB</t>
  </si>
  <si>
    <t>184166164716</t>
  </si>
  <si>
    <t>2.20.01-TRIPACK-CB-MB-JB</t>
  </si>
  <si>
    <t>CB-MB-JB</t>
  </si>
  <si>
    <t>184166164720</t>
  </si>
  <si>
    <t>2.20.01-TRIPACK-JB-NB-NR</t>
  </si>
  <si>
    <t>JB-NB-NR</t>
  </si>
  <si>
    <t>184166164724</t>
  </si>
  <si>
    <t>2.20.01-TRIPACK-NR-RB-VB</t>
  </si>
  <si>
    <t>NR-RB-VB</t>
  </si>
  <si>
    <t>MLC2956344438</t>
  </si>
  <si>
    <t>Tripack Short Futbol Drb 2.40.32 Liso</t>
  </si>
  <si>
    <t>188832076733</t>
  </si>
  <si>
    <t>2.40.32-TRIPACK-NE-RO-VE.L</t>
  </si>
  <si>
    <t>NE-RO-VE / L / Lisa</t>
  </si>
  <si>
    <t>188832076735</t>
  </si>
  <si>
    <t>2.40.32-TRIPACK-AZM-AZL-BL.XL</t>
  </si>
  <si>
    <t>AZM-AZL-BL / Lisa / XL</t>
  </si>
  <si>
    <t>188832076723</t>
  </si>
  <si>
    <t>2.40.32-TRIPACK-AZ-BL-AZM.S</t>
  </si>
  <si>
    <t>AZ-BL-AZM / Lisa / S</t>
  </si>
  <si>
    <t>188832076731</t>
  </si>
  <si>
    <t>2.40.32-TRIPACK-AZM-AZL-BL.L</t>
  </si>
  <si>
    <t>L / AZM-AZL-BL / Lisa</t>
  </si>
  <si>
    <t>188832076729</t>
  </si>
  <si>
    <t>2.40.32-TRIPACK-RO-VE-AZM.M</t>
  </si>
  <si>
    <t>RO-VE-AZM / M / Lisa</t>
  </si>
  <si>
    <t>188832076737</t>
  </si>
  <si>
    <t>2.40.32-TRIPACK-NE-RO-VE.XL</t>
  </si>
  <si>
    <t>NE-RO-VE / Lisa / XL</t>
  </si>
  <si>
    <t>188832076725</t>
  </si>
  <si>
    <t>2.40.32-TRIPACK-NE-RO-VE.S</t>
  </si>
  <si>
    <t>NE-RO-VE / Lisa / S</t>
  </si>
  <si>
    <t>188832076727</t>
  </si>
  <si>
    <t>2.40.32-TRIPACK-AZ-BL-NE.M</t>
  </si>
  <si>
    <t>AZ-BL-NE / M / Lisa</t>
  </si>
  <si>
    <t>MLC2956357046</t>
  </si>
  <si>
    <t>Tripack Short Dama Drb 2.40.38 C/lycra</t>
  </si>
  <si>
    <t>188832202923</t>
  </si>
  <si>
    <t>2.40.38-TRIPACK-AZ-BL-CA.M</t>
  </si>
  <si>
    <t>AZ-BL-CA / M / Lisa</t>
  </si>
  <si>
    <t>188832202921</t>
  </si>
  <si>
    <t>2.40.38-TRIPACK-AZ-BL-CA.S</t>
  </si>
  <si>
    <t>AZ-BL-CA / Lisa / S</t>
  </si>
  <si>
    <t>188832202925</t>
  </si>
  <si>
    <t>2.40.38-TRIPACK-AZ-BL-AZ.L</t>
  </si>
  <si>
    <t>AZ-BL-AZ / L / Lisa</t>
  </si>
  <si>
    <t>MLC2956357048</t>
  </si>
  <si>
    <t>Tripack Short Dama Drb 2.40.39 Liso</t>
  </si>
  <si>
    <t>188832202939</t>
  </si>
  <si>
    <t>2.40.39-TRIPACK-AZ-BL-CA.XL</t>
  </si>
  <si>
    <t>AZ-BL-CA / Lisa / XL</t>
  </si>
  <si>
    <t>188832202929</t>
  </si>
  <si>
    <t>2.40.39-TRIPACK-AZ-BL-CA.S</t>
  </si>
  <si>
    <t>188832202941</t>
  </si>
  <si>
    <t>2.40.39-TRIPACK-FU-MO-NE.XL</t>
  </si>
  <si>
    <t>Lisa / XL / FU-MO-NE</t>
  </si>
  <si>
    <t>188832202933</t>
  </si>
  <si>
    <t>2.40.39-TRIPACK-FU-MO-NE.M</t>
  </si>
  <si>
    <t>M / Lisa / FU-MO-NE</t>
  </si>
  <si>
    <t>188832202931</t>
  </si>
  <si>
    <t>2.40.39-TRIPACK-AZ-BL-AZ.M</t>
  </si>
  <si>
    <t>AZ-BL-AZ / M / Lisa</t>
  </si>
  <si>
    <t>188832202937</t>
  </si>
  <si>
    <t>2.40.39-TRIPACK-MO-NE-BL.L</t>
  </si>
  <si>
    <t>MO-NE-BL / L / Lisa</t>
  </si>
  <si>
    <t>188832202927</t>
  </si>
  <si>
    <t>2.40.39-TRIPACK-NE-MO-FU.S</t>
  </si>
  <si>
    <t>NE-MO-FU / Lisa / S</t>
  </si>
  <si>
    <t>188832202935</t>
  </si>
  <si>
    <t>2.40.39-TRIPACK-BL-ZA-FU.L</t>
  </si>
  <si>
    <t>BL-ZA-FU / L / Lisa</t>
  </si>
  <si>
    <t>2304440350302408</t>
  </si>
  <si>
    <t>MLC2956368984</t>
  </si>
  <si>
    <t>U3272022945</t>
  </si>
  <si>
    <t>F.30-TRIPACK-05-06-07</t>
  </si>
  <si>
    <t>Tripack Banda Elástica F.30 Resistencia Suave/media/dura</t>
  </si>
  <si>
    <t>Amarillo - Azul - Rojo</t>
  </si>
  <si>
    <t>5735191909546172</t>
  </si>
  <si>
    <t>MLC2960322504</t>
  </si>
  <si>
    <t>U2712466605</t>
  </si>
  <si>
    <t>2.00.01</t>
  </si>
  <si>
    <t>Balón Fútbol Drb #4 Blanco Entrenamiento Pvc Texturizado</t>
  </si>
  <si>
    <t>4804697808012794</t>
  </si>
  <si>
    <t>MLC2961892756</t>
  </si>
  <si>
    <t>U3278022835</t>
  </si>
  <si>
    <t>CONJ-2.00.03-2.90.11</t>
  </si>
  <si>
    <t>Balón Futbol + Bombin Drb 00.90 Real #4</t>
  </si>
  <si>
    <t>7641049005923241</t>
  </si>
  <si>
    <t>MLC2961892762</t>
  </si>
  <si>
    <t>U3278024733</t>
  </si>
  <si>
    <t>CONJ-3.00.21-2.90.12</t>
  </si>
  <si>
    <t>Balón Basquet Drb + Bombín Drb 00.90 #5 Funball</t>
  </si>
  <si>
    <t>MLC2980561082</t>
  </si>
  <si>
    <t>Tripack Banda Elástica F.30 Resistencia Suave/media/dura Amarillo - Azul - Rojo</t>
  </si>
  <si>
    <t>5657136770315270</t>
  </si>
  <si>
    <t>MLC2999750436</t>
  </si>
  <si>
    <t>U3336423704</t>
  </si>
  <si>
    <t>2.80.84-S</t>
  </si>
  <si>
    <t>1722442531007471</t>
  </si>
  <si>
    <t>MLC2999814912</t>
  </si>
  <si>
    <t>U3336425402</t>
  </si>
  <si>
    <t>2.80.84-XS</t>
  </si>
  <si>
    <t>Xs</t>
  </si>
  <si>
    <t>7431765812231743</t>
  </si>
  <si>
    <t>MLC2999814916</t>
  </si>
  <si>
    <t>U3336426356</t>
  </si>
  <si>
    <t>Canillera Reebok R.10.02 Royal3 S</t>
  </si>
  <si>
    <t>6456908967388105</t>
  </si>
  <si>
    <t>MLC2999814918</t>
  </si>
  <si>
    <t>U3336423712</t>
  </si>
  <si>
    <t>2.80.52M</t>
  </si>
  <si>
    <t>Canillera Drb 2.80.52 - Licencia Boca</t>
  </si>
  <si>
    <t>4037722601747859</t>
  </si>
  <si>
    <t>MLC3000113622</t>
  </si>
  <si>
    <t>U3330496189</t>
  </si>
  <si>
    <t>R.10.06</t>
  </si>
  <si>
    <t>Canillera  Reebok R.10.06 Nano Kick</t>
  </si>
  <si>
    <t>7894909095217866</t>
  </si>
  <si>
    <t>MLC3000126578</t>
  </si>
  <si>
    <t>U3336423706</t>
  </si>
  <si>
    <t>R.10.04</t>
  </si>
  <si>
    <t>Canillera Reebok R.10.04  Nano Kick</t>
  </si>
  <si>
    <t>7174180857754646</t>
  </si>
  <si>
    <t>MLC3000139574</t>
  </si>
  <si>
    <t>U3336425406</t>
  </si>
  <si>
    <t>R.10.05</t>
  </si>
  <si>
    <t>Canillera Reebok R.10.05 Nano Kick</t>
  </si>
  <si>
    <t>8565877106536987</t>
  </si>
  <si>
    <t>MLC3000139576</t>
  </si>
  <si>
    <t>U3330496193</t>
  </si>
  <si>
    <t>2.80.83-VER-XS</t>
  </si>
  <si>
    <t>Canillera Drb 2.80.83 - Prime Xs</t>
  </si>
  <si>
    <t>Xs Verde</t>
  </si>
  <si>
    <t>8747475780906452</t>
  </si>
  <si>
    <t>MLC3000399418</t>
  </si>
  <si>
    <t>U3336425404</t>
  </si>
  <si>
    <t>Canillera Reebok R.10.01 Royal3 Xs</t>
  </si>
  <si>
    <t>5692396914758454</t>
  </si>
  <si>
    <t>MLC3000399422</t>
  </si>
  <si>
    <t>U3330496195</t>
  </si>
  <si>
    <t>2.80.51M</t>
  </si>
  <si>
    <t>Canillera Drb 2.80.51 - Licencia Boca</t>
  </si>
  <si>
    <t>7139430884478066</t>
  </si>
  <si>
    <t>MLC3000399424</t>
  </si>
  <si>
    <t>U3336425412</t>
  </si>
  <si>
    <t>2.80.03</t>
  </si>
  <si>
    <t>Canillera Drb 2.80.03 - Cup</t>
  </si>
  <si>
    <t>MLC3114497956</t>
  </si>
  <si>
    <t>Pack Sosten Jockey Sport S-249 Deportivo Cotton Spandex</t>
  </si>
  <si>
    <t>190347149391</t>
  </si>
  <si>
    <t>PACK-S-249-AZ-AZ-S</t>
  </si>
  <si>
    <t>Abstracto / AZUL - AZUL / S</t>
  </si>
  <si>
    <t>190347149393</t>
  </si>
  <si>
    <t>PACK-S-249-AZ-ROS-S</t>
  </si>
  <si>
    <t>Abstracto / S / AZUL - ROSADO</t>
  </si>
  <si>
    <t>190347149395</t>
  </si>
  <si>
    <t>PACK-S-249-ROS-ROS-S</t>
  </si>
  <si>
    <t>ROSADO - ROSADO / Abstracto / S</t>
  </si>
  <si>
    <t>190347149397</t>
  </si>
  <si>
    <t>PACK-S-249-AZ-AZ-M</t>
  </si>
  <si>
    <t>Abstracto / AZUL - AZUL / M</t>
  </si>
  <si>
    <t>190347149399</t>
  </si>
  <si>
    <t>PACK-S-249-AZ-ROS-M</t>
  </si>
  <si>
    <t>Abstracto / M / AZUL - ROSADO</t>
  </si>
  <si>
    <t>190347149401</t>
  </si>
  <si>
    <t>PACK-S-249-ROS-ROS-M</t>
  </si>
  <si>
    <t>ROSADO - ROSADO / Abstracto / M</t>
  </si>
  <si>
    <t>190347149403</t>
  </si>
  <si>
    <t>PACK-S-249-AZ-AZ-L</t>
  </si>
  <si>
    <t>Abstracto / L / AZUL - AZUL</t>
  </si>
  <si>
    <t>190347149405</t>
  </si>
  <si>
    <t>PACK-S-249-AZ-ROS-L</t>
  </si>
  <si>
    <t>Abstracto / L / AZUL - ROSADO</t>
  </si>
  <si>
    <t>190347149407</t>
  </si>
  <si>
    <t>PACK-S-249-ROS-ROS-L</t>
  </si>
  <si>
    <t>ROSADO - ROSADO / Abstracto / L</t>
  </si>
  <si>
    <t>190347149409</t>
  </si>
  <si>
    <t>PACK-S-249-AZ-AZ-XL</t>
  </si>
  <si>
    <t>Abstracto / AZUL - AZUL / XL</t>
  </si>
  <si>
    <t>190347149411</t>
  </si>
  <si>
    <t>PACK-S-249-AZ-ROS-XL</t>
  </si>
  <si>
    <t>Abstracto / XL / AZUL - ROSADO</t>
  </si>
  <si>
    <t>190347149413</t>
  </si>
  <si>
    <t>PACK-S-249-ROS-ROS-XL</t>
  </si>
  <si>
    <t>ROSADO - ROSADO / Abstracto / XL</t>
  </si>
  <si>
    <t>MLC3114549154</t>
  </si>
  <si>
    <t>Pack Top Mujer Jockey Sport S-321 Deportivo Seamless</t>
  </si>
  <si>
    <t>185128647416</t>
  </si>
  <si>
    <t>PACK-S-321-AZU-AZU-L</t>
  </si>
  <si>
    <t>L / AZUL - AZUL</t>
  </si>
  <si>
    <t>185128647418</t>
  </si>
  <si>
    <t>PACK-S-321-AZU-AZU-XL</t>
  </si>
  <si>
    <t>AZUL - AZUL / XL</t>
  </si>
  <si>
    <t>185128647422</t>
  </si>
  <si>
    <t>PACK-S-321-GRI-GRI-L</t>
  </si>
  <si>
    <t>L / GRIS - GRIS</t>
  </si>
  <si>
    <t>185128647424</t>
  </si>
  <si>
    <t>PACK-S-321-GRI-GRI-XL</t>
  </si>
  <si>
    <t>GRIS - GRIS / XL</t>
  </si>
  <si>
    <t>185128647434</t>
  </si>
  <si>
    <t>PACK-S-321-AZU-GRI-L</t>
  </si>
  <si>
    <t>L / AZUL - GRIS</t>
  </si>
  <si>
    <t>185128647436</t>
  </si>
  <si>
    <t>PACK-S-321-AZU-GRI-XL</t>
  </si>
  <si>
    <t>AZUL - GRIS / XL</t>
  </si>
  <si>
    <t>MLC3114626664</t>
  </si>
  <si>
    <t>Pack Sosten Mujer Lady Genny S-691 Deportivo</t>
  </si>
  <si>
    <t>185128609580</t>
  </si>
  <si>
    <t>PACK-S-691-NEG-NEG-M</t>
  </si>
  <si>
    <t>NEGRO - NEGRO / M</t>
  </si>
  <si>
    <t>185128609578</t>
  </si>
  <si>
    <t>PACK-S-691-NEG-NEG-S</t>
  </si>
  <si>
    <t>NEGRO - NEGRO / S</t>
  </si>
  <si>
    <t>185128609582</t>
  </si>
  <si>
    <t>PACK-S-691-NEG-NEG-L</t>
  </si>
  <si>
    <t>NEGRO - NEGRO / L</t>
  </si>
  <si>
    <t>185128609584</t>
  </si>
  <si>
    <t>PACK-S-691-NEG-NEG-XL</t>
  </si>
  <si>
    <t>NEGRO - NEGRO / XL</t>
  </si>
  <si>
    <t>190199354134</t>
  </si>
  <si>
    <t>PACK-S-691-NEG-PET-S</t>
  </si>
  <si>
    <t>NEGRO - PETROLEO / S</t>
  </si>
  <si>
    <t>190199354136</t>
  </si>
  <si>
    <t>PACK-S-691-NEG-PET-M</t>
  </si>
  <si>
    <t>NEGRO - PETROLEO / M</t>
  </si>
  <si>
    <t>190199354138</t>
  </si>
  <si>
    <t>PACK-S-691-NEG-PET-L</t>
  </si>
  <si>
    <t>NEGRO - PETROLEO / L</t>
  </si>
  <si>
    <t>190199354140</t>
  </si>
  <si>
    <t>PACK-S-691-NEG-PET-XL</t>
  </si>
  <si>
    <t>NEGRO - PETROLEO / XL</t>
  </si>
  <si>
    <t>190199354142</t>
  </si>
  <si>
    <t>PACK-S-691-PET-PET-S</t>
  </si>
  <si>
    <t>PETROLEO - PETROLEO / S</t>
  </si>
  <si>
    <t>190199354144</t>
  </si>
  <si>
    <t>PACK-S-691-PET-PET-M</t>
  </si>
  <si>
    <t>M / PETROLEO - PETROLEO</t>
  </si>
  <si>
    <t>190199354146</t>
  </si>
  <si>
    <t>PACK-S-691-PET-PET-L</t>
  </si>
  <si>
    <t>L / PETROLEO - PETROLEO</t>
  </si>
  <si>
    <t>190199354148</t>
  </si>
  <si>
    <t>PACK-S-691-PET-PET-XL</t>
  </si>
  <si>
    <t>PETROLEO - PETROLEO / XL</t>
  </si>
  <si>
    <t>MLC3138399876</t>
  </si>
  <si>
    <t>Red De Ping Pong Sportcom Clásico Sensei Con Soporte Y De Algodón</t>
  </si>
  <si>
    <t>4597617379959546</t>
  </si>
  <si>
    <t>MLC3152166084</t>
  </si>
  <si>
    <t>U3420754381</t>
  </si>
  <si>
    <t>2.10.10</t>
  </si>
  <si>
    <t>Peto Calado Con Elastico X 10 Unid</t>
  </si>
  <si>
    <t>6907169426533124</t>
  </si>
  <si>
    <t>MLC3156470394</t>
  </si>
  <si>
    <t>U3423243561</t>
  </si>
  <si>
    <t>R.50.09</t>
  </si>
  <si>
    <t>Bal Basquet Reebok R.50.09 Zig Gener #3</t>
  </si>
  <si>
    <t>MLC3156470576</t>
  </si>
  <si>
    <t>185503439770</t>
  </si>
  <si>
    <t>2.40.38-AZL-L</t>
  </si>
  <si>
    <t>Rayas / L / Azul claro</t>
  </si>
  <si>
    <t>185503439772</t>
  </si>
  <si>
    <t>2.40.38-AZL-M</t>
  </si>
  <si>
    <t>Rayas / M / Azul claro</t>
  </si>
  <si>
    <t>185503439774</t>
  </si>
  <si>
    <t>2.40.38-AZL-S</t>
  </si>
  <si>
    <t>Rayas / S / Azul claro</t>
  </si>
  <si>
    <t>185503439776</t>
  </si>
  <si>
    <t>2.40.38-AZL-XL</t>
  </si>
  <si>
    <t>Rayas / XL / Azul claro</t>
  </si>
  <si>
    <t>MLC3156470584</t>
  </si>
  <si>
    <t>185503439780</t>
  </si>
  <si>
    <t>2.40.38-BL-L</t>
  </si>
  <si>
    <t>Rayas / L / Blanco</t>
  </si>
  <si>
    <t>185503439782</t>
  </si>
  <si>
    <t>2.40.38-BL-M</t>
  </si>
  <si>
    <t>Rayas / M / Blanco</t>
  </si>
  <si>
    <t>185503439784</t>
  </si>
  <si>
    <t>2.40.38-BL-S</t>
  </si>
  <si>
    <t>Rayas / S / Blanco</t>
  </si>
  <si>
    <t>185503439786</t>
  </si>
  <si>
    <t>2.40.38-BL-XL</t>
  </si>
  <si>
    <t>Rayas / XL / Blanco</t>
  </si>
  <si>
    <t>5751430200145894</t>
  </si>
  <si>
    <t>MLC3156475372</t>
  </si>
  <si>
    <t>U3423990011</t>
  </si>
  <si>
    <t>8.20.19</t>
  </si>
  <si>
    <t>Soporte Y Red De Ping Pong Retractil Marca Sensei</t>
  </si>
  <si>
    <t>3889896761925560</t>
  </si>
  <si>
    <t>MLC3156483350</t>
  </si>
  <si>
    <t>U3423222155</t>
  </si>
  <si>
    <t>R.00.09</t>
  </si>
  <si>
    <t>Bal Futbol Reebok Extreme R.00.09 #5</t>
  </si>
  <si>
    <t>MLC3156483736</t>
  </si>
  <si>
    <t>Short Dama Liso X 100 Unidades</t>
  </si>
  <si>
    <t>185503465414</t>
  </si>
  <si>
    <t>2.40.43</t>
  </si>
  <si>
    <t>L / Lisa / Azul claro</t>
  </si>
  <si>
    <t>185503465416</t>
  </si>
  <si>
    <t>2.40.44</t>
  </si>
  <si>
    <t>M / Lisa / Azul claro</t>
  </si>
  <si>
    <t>185503465418</t>
  </si>
  <si>
    <t>2.40.45</t>
  </si>
  <si>
    <t>Lisa / S / Azul claro</t>
  </si>
  <si>
    <t>185503465420</t>
  </si>
  <si>
    <t>2.40.46</t>
  </si>
  <si>
    <t>Lisa / XL / Azul claro</t>
  </si>
  <si>
    <t>185503465422</t>
  </si>
  <si>
    <t>2.40.47</t>
  </si>
  <si>
    <t>L / Lisa / Calipso</t>
  </si>
  <si>
    <t>185503465424</t>
  </si>
  <si>
    <t>2.40.48</t>
  </si>
  <si>
    <t>M / Lisa / Calipso</t>
  </si>
  <si>
    <t>185503465426</t>
  </si>
  <si>
    <t>2.40.49</t>
  </si>
  <si>
    <t>Lisa / S / Calipso</t>
  </si>
  <si>
    <t>185503465428</t>
  </si>
  <si>
    <t>2.40.50</t>
  </si>
  <si>
    <t>Lisa / XL / Calipso</t>
  </si>
  <si>
    <t>185503465430</t>
  </si>
  <si>
    <t>2.40.51</t>
  </si>
  <si>
    <t>L / Fucsia / Lisa</t>
  </si>
  <si>
    <t>185503465432</t>
  </si>
  <si>
    <t>2.40.52</t>
  </si>
  <si>
    <t>Fucsia / M / Lisa</t>
  </si>
  <si>
    <t>185503465434</t>
  </si>
  <si>
    <t>2.40.53</t>
  </si>
  <si>
    <t>Fucsia / Lisa / S</t>
  </si>
  <si>
    <t>185503465436</t>
  </si>
  <si>
    <t>2.40.54</t>
  </si>
  <si>
    <t>Fucsia / Lisa / XL</t>
  </si>
  <si>
    <t>MLC3156483944</t>
  </si>
  <si>
    <t>Short Futbol Liso X 100 Unid</t>
  </si>
  <si>
    <t>90</t>
  </si>
  <si>
    <t>185503473236</t>
  </si>
  <si>
    <t>Z.20.62</t>
  </si>
  <si>
    <t>Lisa / XL / Azul marino</t>
  </si>
  <si>
    <t>185503473234</t>
  </si>
  <si>
    <t>Z.20.61</t>
  </si>
  <si>
    <t>L / Lisa / Azul marino</t>
  </si>
  <si>
    <t>185503473238</t>
  </si>
  <si>
    <t>Z.20.63</t>
  </si>
  <si>
    <t>L / Lisa / Blanco</t>
  </si>
  <si>
    <t>185503473240</t>
  </si>
  <si>
    <t>Z.20.64</t>
  </si>
  <si>
    <t>M / Lisa / Blanco</t>
  </si>
  <si>
    <t>185503473242</t>
  </si>
  <si>
    <t>Z.20.65</t>
  </si>
  <si>
    <t>Lisa / S / Blanco</t>
  </si>
  <si>
    <t>185503473244</t>
  </si>
  <si>
    <t>Z.20.66</t>
  </si>
  <si>
    <t>Lisa / XL / Blanco</t>
  </si>
  <si>
    <t>185503473246</t>
  </si>
  <si>
    <t>Z.20.67</t>
  </si>
  <si>
    <t>Negro / L / Lisa</t>
  </si>
  <si>
    <t>185503473248</t>
  </si>
  <si>
    <t>Z.20.68</t>
  </si>
  <si>
    <t>Negro / M / Lisa</t>
  </si>
  <si>
    <t>185503473250</t>
  </si>
  <si>
    <t>Z.20.69</t>
  </si>
  <si>
    <t>Negro / Lisa / S</t>
  </si>
  <si>
    <t>185503473252</t>
  </si>
  <si>
    <t>Z.20.70</t>
  </si>
  <si>
    <t>Negro / Lisa / XL</t>
  </si>
  <si>
    <t>4641981390469666</t>
  </si>
  <si>
    <t>MLC3156488616</t>
  </si>
  <si>
    <t>U3423988221</t>
  </si>
  <si>
    <t>V.06.14-AZ</t>
  </si>
  <si>
    <t>Venda Boxeo (par) Azul</t>
  </si>
  <si>
    <t>5904278265347558</t>
  </si>
  <si>
    <t>MLC3156488624</t>
  </si>
  <si>
    <t>U3423995121</t>
  </si>
  <si>
    <t>9.65.02-S</t>
  </si>
  <si>
    <t>Tobillera Neoprene 9.65.02-s - Negra</t>
  </si>
  <si>
    <t>7379092490404844</t>
  </si>
  <si>
    <t>MLC3156496106</t>
  </si>
  <si>
    <t>U3429843750</t>
  </si>
  <si>
    <t>5.20.30-S</t>
  </si>
  <si>
    <t>Aleta Drb 5.20.31 - Buceo/snorkel Ml</t>
  </si>
  <si>
    <t>2359113707913502</t>
  </si>
  <si>
    <t>MLC3156496108</t>
  </si>
  <si>
    <t>U3423220501</t>
  </si>
  <si>
    <t>R.00.08</t>
  </si>
  <si>
    <t>Bal Futbol Reebok Royal3 R.00.08 #4</t>
  </si>
  <si>
    <t>3984080722756009</t>
  </si>
  <si>
    <t>MLC3156496110</t>
  </si>
  <si>
    <t>U3423222159</t>
  </si>
  <si>
    <t>R.00.04</t>
  </si>
  <si>
    <t>Bal Futbol Reebok Kick R.00.04 #5 Amar</t>
  </si>
  <si>
    <t>7641625527831021</t>
  </si>
  <si>
    <t>MLC3156496112</t>
  </si>
  <si>
    <t>U3423222157</t>
  </si>
  <si>
    <t>R.00.07</t>
  </si>
  <si>
    <t>Bal Futbol Playa Reebok R.00.07 #5</t>
  </si>
  <si>
    <t>MLC3156496458</t>
  </si>
  <si>
    <t>Short Dama Liso Calipso</t>
  </si>
  <si>
    <t>185503541648</t>
  </si>
  <si>
    <t>2.40.39-CLI-L</t>
  </si>
  <si>
    <t>185503541650</t>
  </si>
  <si>
    <t>2.40.39-CLI-M</t>
  </si>
  <si>
    <t>185503541652</t>
  </si>
  <si>
    <t>2.40.39-CLI-S</t>
  </si>
  <si>
    <t>185503541654</t>
  </si>
  <si>
    <t>2.40.39-CLI-XL</t>
  </si>
  <si>
    <t>2181819156484444</t>
  </si>
  <si>
    <t>MLC3156522210</t>
  </si>
  <si>
    <t>U3429843754</t>
  </si>
  <si>
    <t>5.20.31-S</t>
  </si>
  <si>
    <t>Aleta Drb 5.20.31 - Buceo/snorkel M</t>
  </si>
  <si>
    <t>MLC3156522616</t>
  </si>
  <si>
    <t>Protector Bucal Simple Drb 9.70.08 - Color × 48 Un.</t>
  </si>
  <si>
    <t>185503605688</t>
  </si>
  <si>
    <t>9.70.08</t>
  </si>
  <si>
    <t>185503605690</t>
  </si>
  <si>
    <t>Verde claro</t>
  </si>
  <si>
    <t>185503605692</t>
  </si>
  <si>
    <t>Blanco/Naranjo</t>
  </si>
  <si>
    <t>185503605694</t>
  </si>
  <si>
    <t>Naranjo Blanco</t>
  </si>
  <si>
    <t>185503605696</t>
  </si>
  <si>
    <t>Azul/Negro</t>
  </si>
  <si>
    <t>185503605698</t>
  </si>
  <si>
    <t>Negro/Azul</t>
  </si>
  <si>
    <t>5200208418555139</t>
  </si>
  <si>
    <t>MLC3156523086</t>
  </si>
  <si>
    <t>U3423306729</t>
  </si>
  <si>
    <t>B.00.00</t>
  </si>
  <si>
    <t>Balon De Gimnasia Ritmica Drb B.00.00 Clasico N° 6</t>
  </si>
  <si>
    <t>3040475769258421</t>
  </si>
  <si>
    <t>MLC3156527544</t>
  </si>
  <si>
    <t>U3423989997</t>
  </si>
  <si>
    <t>V.06.14-ROS</t>
  </si>
  <si>
    <t>Venda Boxeo (par) Rosado</t>
  </si>
  <si>
    <t>7762745720242268</t>
  </si>
  <si>
    <t>MLC3156527546</t>
  </si>
  <si>
    <t>U3430614324</t>
  </si>
  <si>
    <t>V.06.14-AM</t>
  </si>
  <si>
    <t>Venda Boxeo (par) Amarillo</t>
  </si>
  <si>
    <t>2592794396290087</t>
  </si>
  <si>
    <t>MLC3156527564</t>
  </si>
  <si>
    <t>U3430618930</t>
  </si>
  <si>
    <t>2.90.76</t>
  </si>
  <si>
    <t>Silbato Fox40 Finger Grip 2.90.76</t>
  </si>
  <si>
    <t>1657905361559476</t>
  </si>
  <si>
    <t>MLC3156561422</t>
  </si>
  <si>
    <t>U3429845170</t>
  </si>
  <si>
    <t>R.50.04</t>
  </si>
  <si>
    <t>Bal Basquet Reebok R.50.05 Game #6</t>
  </si>
  <si>
    <t>Naranja Oscuro</t>
  </si>
  <si>
    <t>284914186449278</t>
  </si>
  <si>
    <t>MLC3156561426</t>
  </si>
  <si>
    <t>U3429845180</t>
  </si>
  <si>
    <t>R.00.05</t>
  </si>
  <si>
    <t>Bal Futbol Reebok Zig #3 R.00.05 Amari</t>
  </si>
  <si>
    <t>1578785655189715</t>
  </si>
  <si>
    <t>MLC3156561620</t>
  </si>
  <si>
    <t>U3429862644</t>
  </si>
  <si>
    <t>R.50.01</t>
  </si>
  <si>
    <t>Bal Basquet Reebok R.50.01 Royal3 #5</t>
  </si>
  <si>
    <t>4910620099076188</t>
  </si>
  <si>
    <t>MLC3156562366</t>
  </si>
  <si>
    <t>U3423304937</t>
  </si>
  <si>
    <t>B.00.02</t>
  </si>
  <si>
    <t>Balon De Gimnasia Ritmica Drb B.00.02 Clasico N° 7</t>
  </si>
  <si>
    <t>2652040727994681</t>
  </si>
  <si>
    <t>MLC3156587580</t>
  </si>
  <si>
    <t>U3423264399</t>
  </si>
  <si>
    <t>9.70.10</t>
  </si>
  <si>
    <t>Protector Bucal Junior Drb 9.70.10 - Transparente × 48 Un.</t>
  </si>
  <si>
    <t>MLC3156587770</t>
  </si>
  <si>
    <t>190861570017</t>
  </si>
  <si>
    <t>2.40.32-NE-L</t>
  </si>
  <si>
    <t>190861570019</t>
  </si>
  <si>
    <t>2.40.32-NE-M</t>
  </si>
  <si>
    <t>190861570021</t>
  </si>
  <si>
    <t>2.40.32-NE-S</t>
  </si>
  <si>
    <t>190861570023</t>
  </si>
  <si>
    <t>2.40.32-NE-XL</t>
  </si>
  <si>
    <t>420744436979246</t>
  </si>
  <si>
    <t>MLC3156592442</t>
  </si>
  <si>
    <t>U3430614316</t>
  </si>
  <si>
    <t>9.00.27</t>
  </si>
  <si>
    <t>Venda Nylastic 10cm</t>
  </si>
  <si>
    <t>3976106492159927</t>
  </si>
  <si>
    <t>MLC3156600680</t>
  </si>
  <si>
    <t>U3423261097</t>
  </si>
  <si>
    <t>9.70.06</t>
  </si>
  <si>
    <t>Protector Bucal Simple Drb 9.70.06 × 48 Un.</t>
  </si>
  <si>
    <t>4580716056977723</t>
  </si>
  <si>
    <t>MLC3156613274</t>
  </si>
  <si>
    <t>U3429845172</t>
  </si>
  <si>
    <t>R.00.02</t>
  </si>
  <si>
    <t>Bal Futbol Reebok Royal3 R.00.02 #5</t>
  </si>
  <si>
    <t>1345671817230968</t>
  </si>
  <si>
    <t>MLC3156613276</t>
  </si>
  <si>
    <t>U3429845174</t>
  </si>
  <si>
    <t>5.20.31-L</t>
  </si>
  <si>
    <t>Aleta Drb 5.20.30 - Silicona Entrenamiento L</t>
  </si>
  <si>
    <t>3430528073415550</t>
  </si>
  <si>
    <t>MLC3156618576</t>
  </si>
  <si>
    <t>U3423989999</t>
  </si>
  <si>
    <t>V.06.14-ROJ</t>
  </si>
  <si>
    <t>Venda Boxeo (par) Rojo</t>
  </si>
  <si>
    <t>4605671547967266</t>
  </si>
  <si>
    <t>MLC3156626618</t>
  </si>
  <si>
    <t>U3429862646</t>
  </si>
  <si>
    <t>R.50.03</t>
  </si>
  <si>
    <t>Bal Basquet Reebok R.50.03 Royal3 #7</t>
  </si>
  <si>
    <t>4594270449922250</t>
  </si>
  <si>
    <t>MLC3156626930</t>
  </si>
  <si>
    <t>U3423282141</t>
  </si>
  <si>
    <t>9.70.02</t>
  </si>
  <si>
    <t>Protector Bucal Doble Drb 9.70.02 - Transparente</t>
  </si>
  <si>
    <t>7196740755218508</t>
  </si>
  <si>
    <t>MLC3156631486</t>
  </si>
  <si>
    <t>U3423995123</t>
  </si>
  <si>
    <t>9.65.02-M</t>
  </si>
  <si>
    <t>Tobillera Neoprene 9.65.02-m - Negra</t>
  </si>
  <si>
    <t>6470663432269154</t>
  </si>
  <si>
    <t>MLC3156631554</t>
  </si>
  <si>
    <t>U3430634930</t>
  </si>
  <si>
    <t>2.90.02</t>
  </si>
  <si>
    <t>Set Córner Drb Con Bolso 2.90.02</t>
  </si>
  <si>
    <t>1674774032020709</t>
  </si>
  <si>
    <t>MLC3156639508</t>
  </si>
  <si>
    <t>U3429862642</t>
  </si>
  <si>
    <t>A.00.14</t>
  </si>
  <si>
    <t>Balon Hand Ball Drb A.00.14 Pro # 1</t>
  </si>
  <si>
    <t>248850525044061</t>
  </si>
  <si>
    <t>MLC3156639510</t>
  </si>
  <si>
    <t>U3429864272</t>
  </si>
  <si>
    <t>R.50.02</t>
  </si>
  <si>
    <t>Bal Basquet Reebok R.50.02 Royal3 #6</t>
  </si>
  <si>
    <t>7722112785808194</t>
  </si>
  <si>
    <t>MLC3156639704</t>
  </si>
  <si>
    <t>U3423261055</t>
  </si>
  <si>
    <t>2.40.36-BL-XS</t>
  </si>
  <si>
    <t>Short Futbol Niño Blanco</t>
  </si>
  <si>
    <t>Blanco Lisa Xs</t>
  </si>
  <si>
    <t>8211201469512689</t>
  </si>
  <si>
    <t>MLC3156644548</t>
  </si>
  <si>
    <t>U3430614312</t>
  </si>
  <si>
    <t>M.10.17</t>
  </si>
  <si>
    <t>Vara Slalom Con Resorte 1.6 Mt</t>
  </si>
  <si>
    <t>749481763949151</t>
  </si>
  <si>
    <t>MLC3156652158</t>
  </si>
  <si>
    <t>U3429843748</t>
  </si>
  <si>
    <t>5.20.30-L</t>
  </si>
  <si>
    <t>Aleta Drb 5.20.30 - Silicona Entrenamiento M</t>
  </si>
  <si>
    <t>2731067637350589</t>
  </si>
  <si>
    <t>MLC3156652524</t>
  </si>
  <si>
    <t>U3423261063</t>
  </si>
  <si>
    <t>2.90.17</t>
  </si>
  <si>
    <t>Pizarra Magnética Fútbol</t>
  </si>
  <si>
    <t>MLC3156652526</t>
  </si>
  <si>
    <t>Short Dama Liso X 50 Unidades</t>
  </si>
  <si>
    <t>185503593232</t>
  </si>
  <si>
    <t>2.40.41</t>
  </si>
  <si>
    <t>185503593234</t>
  </si>
  <si>
    <t>2.40.42</t>
  </si>
  <si>
    <t>185503593236</t>
  </si>
  <si>
    <t>185503593238</t>
  </si>
  <si>
    <t>185503593240</t>
  </si>
  <si>
    <t>185503593242</t>
  </si>
  <si>
    <t>185503593244</t>
  </si>
  <si>
    <t>185503593246</t>
  </si>
  <si>
    <t>185503593248</t>
  </si>
  <si>
    <t>185503593250</t>
  </si>
  <si>
    <t>185503593252</t>
  </si>
  <si>
    <t>185503593254</t>
  </si>
  <si>
    <t>MLC3156652528</t>
  </si>
  <si>
    <t>Short Dama Liso Azulino</t>
  </si>
  <si>
    <t>185503593256</t>
  </si>
  <si>
    <t>2.40.39-AZL-L</t>
  </si>
  <si>
    <t>185503593258</t>
  </si>
  <si>
    <t>2.40.39-AZL-M</t>
  </si>
  <si>
    <t>185503593260</t>
  </si>
  <si>
    <t>2.40.39-AZL-S</t>
  </si>
  <si>
    <t>185503593262</t>
  </si>
  <si>
    <t>2.40.39-AZL-XL</t>
  </si>
  <si>
    <t>MLC3156652530</t>
  </si>
  <si>
    <t>Short Dama Liso Fucsia</t>
  </si>
  <si>
    <t>185503593264</t>
  </si>
  <si>
    <t>2.40.39-FC-L</t>
  </si>
  <si>
    <t>185503593266</t>
  </si>
  <si>
    <t>2.40.39-FC-M</t>
  </si>
  <si>
    <t>185503593268</t>
  </si>
  <si>
    <t>2.40.39-FC-S</t>
  </si>
  <si>
    <t>185503593270</t>
  </si>
  <si>
    <t>2.40.39-FC-XL</t>
  </si>
  <si>
    <t>MLC3156652750</t>
  </si>
  <si>
    <t>185503601062</t>
  </si>
  <si>
    <t>2.40.32-BL-L</t>
  </si>
  <si>
    <t>185503601064</t>
  </si>
  <si>
    <t>2.40.32-BL-M</t>
  </si>
  <si>
    <t>185503601066</t>
  </si>
  <si>
    <t>2.40.32-BL-S</t>
  </si>
  <si>
    <t>185503601068</t>
  </si>
  <si>
    <t>2.40.32-BL-XL</t>
  </si>
  <si>
    <t>MLC3156665706</t>
  </si>
  <si>
    <t>Short Futbol Niño X 50 Unid</t>
  </si>
  <si>
    <t>185503554264</t>
  </si>
  <si>
    <t>XS / Lisa / Blanco</t>
  </si>
  <si>
    <t>185503554266</t>
  </si>
  <si>
    <t>XS / Negro / Lisa</t>
  </si>
  <si>
    <t>185503554268</t>
  </si>
  <si>
    <t>Negro / XXS / Lisa</t>
  </si>
  <si>
    <t>4173550771120296</t>
  </si>
  <si>
    <t>MLC3156670454</t>
  </si>
  <si>
    <t>U3430620330</t>
  </si>
  <si>
    <t>9.65.02-L</t>
  </si>
  <si>
    <t>Tobillera Neoprene 9.65.02-l - Negra</t>
  </si>
  <si>
    <t>8513030535098269</t>
  </si>
  <si>
    <t>MLC3156670456</t>
  </si>
  <si>
    <t>U3430620332</t>
  </si>
  <si>
    <t>2.90.77</t>
  </si>
  <si>
    <t>Silbato Fox40 Con Cordón 2.90.77 - Clásico</t>
  </si>
  <si>
    <t>1086570619345036</t>
  </si>
  <si>
    <t>MLC3156678316</t>
  </si>
  <si>
    <t>U3429845168</t>
  </si>
  <si>
    <t>5.20.30-M</t>
  </si>
  <si>
    <t>Aleta Drb 5.20.30 - Silicona Entrenamiento S</t>
  </si>
  <si>
    <t>5242134264165194</t>
  </si>
  <si>
    <t>MLC3156678858</t>
  </si>
  <si>
    <t>U3423277565</t>
  </si>
  <si>
    <t>9.70.00</t>
  </si>
  <si>
    <t>Protector Bucal Junior Drb 9.70.00 - Transparente</t>
  </si>
  <si>
    <t>MLC3156678910</t>
  </si>
  <si>
    <t>Short Futbol Liso  Marino</t>
  </si>
  <si>
    <t>10</t>
  </si>
  <si>
    <t>185503433172</t>
  </si>
  <si>
    <t>185503433170</t>
  </si>
  <si>
    <t>MLC3156730546</t>
  </si>
  <si>
    <t>Short Futbol Niño X 100 Unid</t>
  </si>
  <si>
    <t>190860772853</t>
  </si>
  <si>
    <t>190860772855</t>
  </si>
  <si>
    <t>190860772857</t>
  </si>
  <si>
    <t>MLC3156730734</t>
  </si>
  <si>
    <t>Short Futbol Liso X 50 Unid</t>
  </si>
  <si>
    <t>185503676380</t>
  </si>
  <si>
    <t>Z.20.60</t>
  </si>
  <si>
    <t>185503676382</t>
  </si>
  <si>
    <t>185503676384</t>
  </si>
  <si>
    <t>185503676386</t>
  </si>
  <si>
    <t>185503676388</t>
  </si>
  <si>
    <t>185503676390</t>
  </si>
  <si>
    <t>185503676392</t>
  </si>
  <si>
    <t>185503676394</t>
  </si>
  <si>
    <t>185503676396</t>
  </si>
  <si>
    <t>185503676398</t>
  </si>
  <si>
    <t>1596984322240939</t>
  </si>
  <si>
    <t>MLC3169864846</t>
  </si>
  <si>
    <t>U3433877059</t>
  </si>
  <si>
    <t>2.00.79</t>
  </si>
  <si>
    <t>Balon Futbol Drb 2.00.79 Lic P.s.g Black</t>
  </si>
  <si>
    <t>3558601349557754</t>
  </si>
  <si>
    <t>MLC3169864848</t>
  </si>
  <si>
    <t>U3440540584</t>
  </si>
  <si>
    <t>2.00.26</t>
  </si>
  <si>
    <t>Balon Futbol Drb 2.00.26 Target #5</t>
  </si>
  <si>
    <t>2761067018080715</t>
  </si>
  <si>
    <t>MLC3169877582</t>
  </si>
  <si>
    <t>U3440540568</t>
  </si>
  <si>
    <t>2.00.92</t>
  </si>
  <si>
    <t>Balon Futbol Drb 2.00.92 Lic Sao Paulo Red</t>
  </si>
  <si>
    <t>8420723597925066</t>
  </si>
  <si>
    <t>MLC3169877584</t>
  </si>
  <si>
    <t>U3433875185</t>
  </si>
  <si>
    <t>2.00.83</t>
  </si>
  <si>
    <t>Balon Futbol Drb 2.00.83 Lic Corinthia Est</t>
  </si>
  <si>
    <t>7406731531006005</t>
  </si>
  <si>
    <t>MLC3169890788</t>
  </si>
  <si>
    <t>U3433873827</t>
  </si>
  <si>
    <t>2.00.93</t>
  </si>
  <si>
    <t>Balon Futbol Drb 2.00.93 Lic Santos Black</t>
  </si>
  <si>
    <t>1231895780879759</t>
  </si>
  <si>
    <t>MLC3169890792</t>
  </si>
  <si>
    <t>U3433875177</t>
  </si>
  <si>
    <t>Balon Futbol Drb 2.00.37-nar Prime Neo #5 Nar</t>
  </si>
  <si>
    <t>5461415589525659</t>
  </si>
  <si>
    <t>MLC3169890794</t>
  </si>
  <si>
    <t>U3433877067</t>
  </si>
  <si>
    <t>2.00.82</t>
  </si>
  <si>
    <t>Balon Futbol Drb 2.00.82 Lic Palmeiras Est</t>
  </si>
  <si>
    <t>5576945034745695</t>
  </si>
  <si>
    <t>MLC3173886420</t>
  </si>
  <si>
    <t>U3443697818</t>
  </si>
  <si>
    <t>2.20.05-AZL-BL</t>
  </si>
  <si>
    <t>Media Juvenil Comb. Azulin Bco Drb 2.20.05-azl-bl</t>
  </si>
  <si>
    <t>6039648410964727</t>
  </si>
  <si>
    <t>MLC3173886422</t>
  </si>
  <si>
    <t>U3437025023</t>
  </si>
  <si>
    <t>2.20.04-VER</t>
  </si>
  <si>
    <t>Media Juvenil Lisa Verde Drb 2.20.04-ve</t>
  </si>
  <si>
    <t>8743065790273307</t>
  </si>
  <si>
    <t>MLC3173886424</t>
  </si>
  <si>
    <t>U3437025027</t>
  </si>
  <si>
    <t>2.20.05-LL-BL</t>
  </si>
  <si>
    <t>Media Juvenil Comb. Lila Bco Drb 2.20.05-ll-bl</t>
  </si>
  <si>
    <t>5200727803242524</t>
  </si>
  <si>
    <t>MLC3173886426</t>
  </si>
  <si>
    <t>U3437025125</t>
  </si>
  <si>
    <t>2.20.14-BCO</t>
  </si>
  <si>
    <t>Media Adulto Lisa Team Blanco Drb 2.20.14-bco</t>
  </si>
  <si>
    <t>5793498995251283</t>
  </si>
  <si>
    <t>MLC3173899038</t>
  </si>
  <si>
    <t>U3443662274</t>
  </si>
  <si>
    <t>8.00.03</t>
  </si>
  <si>
    <t>Paleta P.pong Sensei 4* 8.00.03</t>
  </si>
  <si>
    <t>5465894340654297</t>
  </si>
  <si>
    <t>MLC3173899236</t>
  </si>
  <si>
    <t>U3437024991</t>
  </si>
  <si>
    <t>2.20.05-AZL-AM</t>
  </si>
  <si>
    <t>Media Juvenil Comb. Azno Amar Drb 2.20.05-azl-am</t>
  </si>
  <si>
    <t>997180522995048</t>
  </si>
  <si>
    <t>MLC3173899238</t>
  </si>
  <si>
    <t>U3437024999</t>
  </si>
  <si>
    <t>2.20.10-AZL</t>
  </si>
  <si>
    <t>Media Mascota Lisa Azulino Drb 2.20.10-azl</t>
  </si>
  <si>
    <t>7367892147538888</t>
  </si>
  <si>
    <t>MLC3173899240</t>
  </si>
  <si>
    <t>U3443698660</t>
  </si>
  <si>
    <t>2.20.20-LL</t>
  </si>
  <si>
    <t>Media Sin Pie Adulto Lila Drb 2.20.20-ll</t>
  </si>
  <si>
    <t>6562034471448090</t>
  </si>
  <si>
    <t>MLC3173899242</t>
  </si>
  <si>
    <t>U3437025005</t>
  </si>
  <si>
    <t>2.20.04-AZL</t>
  </si>
  <si>
    <t>Media Juvenil Lisa Azulino Drb 2.20.04-azl</t>
  </si>
  <si>
    <t>4607679417586355</t>
  </si>
  <si>
    <t>MLC3173899244</t>
  </si>
  <si>
    <t>U3443698662</t>
  </si>
  <si>
    <t>2.20.16-VER</t>
  </si>
  <si>
    <t>Media Antideslizante Adu Verde Drb 2.20.16-ve</t>
  </si>
  <si>
    <t>4900423583809388</t>
  </si>
  <si>
    <t>MLC3173912278</t>
  </si>
  <si>
    <t>U3437024997</t>
  </si>
  <si>
    <t>2.20.05-BL-VER</t>
  </si>
  <si>
    <t>Media Juvenil Comb. Bco Verde Drb 2.20.05-bl-ver</t>
  </si>
  <si>
    <t>8123028874742288</t>
  </si>
  <si>
    <t>MLC3173912280</t>
  </si>
  <si>
    <t>U3437025021</t>
  </si>
  <si>
    <t>2.20.22-LL</t>
  </si>
  <si>
    <t>Media Sin Pie Juvenil Lila Drb 2.20.22-ll</t>
  </si>
  <si>
    <t>2937212157456871</t>
  </si>
  <si>
    <t>MLC3173912282</t>
  </si>
  <si>
    <t>U3443700228</t>
  </si>
  <si>
    <t>2.20.05-ROJ-BL</t>
  </si>
  <si>
    <t>Media Juvenil Comb. Rojo Bco Drb 2.20.05-roj-bl</t>
  </si>
  <si>
    <t>4142812728392702</t>
  </si>
  <si>
    <t>MLC3173912284</t>
  </si>
  <si>
    <t>U3437025053</t>
  </si>
  <si>
    <t>2.20.04-NFU</t>
  </si>
  <si>
    <t>Media Juvenil Fucsia Neon Drb 2.20.04-nfu</t>
  </si>
  <si>
    <t>5635435646610284</t>
  </si>
  <si>
    <t>MLC3173912288</t>
  </si>
  <si>
    <t>U3437025097</t>
  </si>
  <si>
    <t>2.20.05-NE-BL</t>
  </si>
  <si>
    <t>Media Juvenil Comb. Negro Bco Drb 2.20.05-ne-bl</t>
  </si>
  <si>
    <t>3404063744586446</t>
  </si>
  <si>
    <t>MLC3173925032</t>
  </si>
  <si>
    <t>U3443662272</t>
  </si>
  <si>
    <t>8.00.04</t>
  </si>
  <si>
    <t>Paleta P.pong Sensei 5* 8.00.04</t>
  </si>
  <si>
    <t>1783087069648447</t>
  </si>
  <si>
    <t>MLC3173925272</t>
  </si>
  <si>
    <t>U3437024983</t>
  </si>
  <si>
    <t>2.20.04-AM</t>
  </si>
  <si>
    <t>Media Juvenil Lisa Amarillo Drb 2.20.04-am</t>
  </si>
  <si>
    <t>34801886019867</t>
  </si>
  <si>
    <t>MLC3173925274</t>
  </si>
  <si>
    <t>U3443697816</t>
  </si>
  <si>
    <t>2.20.16-AZM</t>
  </si>
  <si>
    <t>Media Antideslizante Adu Az Marino Drb 2.20.16-azm</t>
  </si>
  <si>
    <t>7263204748774426</t>
  </si>
  <si>
    <t>MLC3173925276</t>
  </si>
  <si>
    <t>U3437025007</t>
  </si>
  <si>
    <t>2.20.11-NB</t>
  </si>
  <si>
    <t>Media Mascota Negro/blanco Drb 2.20.11-nb</t>
  </si>
  <si>
    <t>1870272231641532</t>
  </si>
  <si>
    <t>MLC3173925282</t>
  </si>
  <si>
    <t>U3437025075</t>
  </si>
  <si>
    <t>2.20.20-AZM</t>
  </si>
  <si>
    <t>Media Sin Pie Adulto Azl Marino Drb 2.20.20-azm</t>
  </si>
  <si>
    <t>8083983530453439</t>
  </si>
  <si>
    <t>MLC3173925286</t>
  </si>
  <si>
    <t>U3443698796</t>
  </si>
  <si>
    <t>2.20.05-CEL-BL</t>
  </si>
  <si>
    <t>Media Juvenil Comb. Cele Bco Drb 2.20.05-cel-bl</t>
  </si>
  <si>
    <t>906236004090006</t>
  </si>
  <si>
    <t>MLC3173925288</t>
  </si>
  <si>
    <t>U3437025145</t>
  </si>
  <si>
    <t>2.20.10-ROJ</t>
  </si>
  <si>
    <t>Media Mascota Lisa Rojo Drb 2.20.10-roj</t>
  </si>
  <si>
    <t>6090909084347190</t>
  </si>
  <si>
    <t>MLC3173938224</t>
  </si>
  <si>
    <t>U3443700208</t>
  </si>
  <si>
    <t>2.20.22-CEL</t>
  </si>
  <si>
    <t>Media Sin Pie Juvenil Celeste Drb 2.20.22-cel</t>
  </si>
  <si>
    <t>4570826848693471</t>
  </si>
  <si>
    <t>MLC3173938226</t>
  </si>
  <si>
    <t>U3443700226</t>
  </si>
  <si>
    <t>2.20.05-VER-BL</t>
  </si>
  <si>
    <t>Media Juvenil Comb. Verde Bco Drb 2.20.05-ver-bl</t>
  </si>
  <si>
    <t>5589556800707913</t>
  </si>
  <si>
    <t>MLC3173938228</t>
  </si>
  <si>
    <t>U3437025047</t>
  </si>
  <si>
    <t>2.20.20-BL</t>
  </si>
  <si>
    <t>Media Sin Pie Adulto Blanco Drb 2.20.20-bl</t>
  </si>
  <si>
    <t>4826328799162087</t>
  </si>
  <si>
    <t>MLC3173951226</t>
  </si>
  <si>
    <t>U3443698652</t>
  </si>
  <si>
    <t>2.20.05-NE-ROJ</t>
  </si>
  <si>
    <t>Media Juvenil Comb. Negro Rojo Drb 2.20.05-ne-roj</t>
  </si>
  <si>
    <t>4664287309522280</t>
  </si>
  <si>
    <t>MLC3173951228</t>
  </si>
  <si>
    <t>U3443700224</t>
  </si>
  <si>
    <t>2.20.04-BL</t>
  </si>
  <si>
    <t>Media Juvenil Lisa Blanco Drb 2.20.04-bl</t>
  </si>
  <si>
    <t>4978436980592164</t>
  </si>
  <si>
    <t>MLC3173963818</t>
  </si>
  <si>
    <t>U3443662270</t>
  </si>
  <si>
    <t>8.00.40</t>
  </si>
  <si>
    <t>Paleta Pp Yashima 80190 Entrenamiento 8.00.40</t>
  </si>
  <si>
    <t>3397563126456187</t>
  </si>
  <si>
    <t>MLC3173964038</t>
  </si>
  <si>
    <t>U3443700200</t>
  </si>
  <si>
    <t>2.20.22-AZM</t>
  </si>
  <si>
    <t>Media Sin Pie Juvenil Azl Marino Drb 2.20.22-azm</t>
  </si>
  <si>
    <t>3046064585527387</t>
  </si>
  <si>
    <t>MLC3173964040</t>
  </si>
  <si>
    <t>U3443697820</t>
  </si>
  <si>
    <t>2.20.04-NE</t>
  </si>
  <si>
    <t>Media Juvenil Lisa Negro Drb 2.20.04-ne</t>
  </si>
  <si>
    <t>277568453541917</t>
  </si>
  <si>
    <t>MLC3173964044</t>
  </si>
  <si>
    <t>U3437025001</t>
  </si>
  <si>
    <t>2.20.14-ROJ</t>
  </si>
  <si>
    <t>Media Adulto Lisa Team Rojo Drb 2.20.14-roj</t>
  </si>
  <si>
    <t>8075079465475623</t>
  </si>
  <si>
    <t>MLC3173964050</t>
  </si>
  <si>
    <t>U3443697930</t>
  </si>
  <si>
    <t>2.20.16-LL</t>
  </si>
  <si>
    <t>Media Antideslizante Adu Lila Drb 2.20.16-ll</t>
  </si>
  <si>
    <t>8209046711608510</t>
  </si>
  <si>
    <t>MLC3173964054</t>
  </si>
  <si>
    <t>U3437025135</t>
  </si>
  <si>
    <t>2.20.17-AZL</t>
  </si>
  <si>
    <t>Media Antideslizante Juv Azulino Drb  Drb 2.20.17-azl</t>
  </si>
  <si>
    <t>8757340578157319</t>
  </si>
  <si>
    <t>MLC3173964056</t>
  </si>
  <si>
    <t>U3437025183</t>
  </si>
  <si>
    <t>2.20.20-AM</t>
  </si>
  <si>
    <t>Media Sin Pie Adulto Amarillo Drb 2.20.20-am</t>
  </si>
  <si>
    <t>3200413949249256</t>
  </si>
  <si>
    <t>MLC3173977098</t>
  </si>
  <si>
    <t>U3443697856</t>
  </si>
  <si>
    <t>2.20.17-CEL</t>
  </si>
  <si>
    <t>Media Antideslizante Juv Celeste Drb  Drb 2.20.17-cel</t>
  </si>
  <si>
    <t>7104477624310332</t>
  </si>
  <si>
    <t>MLC3173977100</t>
  </si>
  <si>
    <t>U3443698678</t>
  </si>
  <si>
    <t>2.20.04-ANE</t>
  </si>
  <si>
    <t>Media Juvenil Amarillo Neon Drb 2.20.04-ane</t>
  </si>
  <si>
    <t>2445110090603344</t>
  </si>
  <si>
    <t>MLC3173977104</t>
  </si>
  <si>
    <t>U3443698760</t>
  </si>
  <si>
    <t>2.20.17-VER</t>
  </si>
  <si>
    <t>Media Antideslizante Juv Verde  Drb 2.20.17-ve</t>
  </si>
  <si>
    <t>807726428301453</t>
  </si>
  <si>
    <t>MLC3173977106</t>
  </si>
  <si>
    <t>U3443698782</t>
  </si>
  <si>
    <t>2.20.22-VER</t>
  </si>
  <si>
    <t>Media Sin Pie Juvenil Verde Drb 2.20.22-ver</t>
  </si>
  <si>
    <t>3599832428158597</t>
  </si>
  <si>
    <t>MLC3173977110</t>
  </si>
  <si>
    <t>U3443700402</t>
  </si>
  <si>
    <t>2.20.11-BN</t>
  </si>
  <si>
    <t>Media Mascota Blanco/negro Drb 2.20.11-bn</t>
  </si>
  <si>
    <t>3480596951231671</t>
  </si>
  <si>
    <t>MLC3173989962</t>
  </si>
  <si>
    <t>U3443698650</t>
  </si>
  <si>
    <t>2.20.04-VNE</t>
  </si>
  <si>
    <t>Media Juvenil Verde Neon Drb 2.20.04-vne</t>
  </si>
  <si>
    <t>5273913235866724</t>
  </si>
  <si>
    <t>MLC3173989964</t>
  </si>
  <si>
    <t>U3437024985</t>
  </si>
  <si>
    <t>2.20.10-AZM</t>
  </si>
  <si>
    <t>Media Mascota Lisa Azul Marino Drb 2.20.10-azm</t>
  </si>
  <si>
    <t>8628557300333947</t>
  </si>
  <si>
    <t>MLC3173989966</t>
  </si>
  <si>
    <t>U3443698676</t>
  </si>
  <si>
    <t>2.20.05-NAR-BL</t>
  </si>
  <si>
    <t>Media Juvenil Comb. Naran Bco Drb 2.20.05-nar-bl</t>
  </si>
  <si>
    <t>2421269915765364</t>
  </si>
  <si>
    <t>MLC3173989968</t>
  </si>
  <si>
    <t>U3443698688</t>
  </si>
  <si>
    <t>2.20.10-VER</t>
  </si>
  <si>
    <t>Media Mascota Lisa Verde Drb 2.20.10-ver</t>
  </si>
  <si>
    <t>5285866180978750</t>
  </si>
  <si>
    <t>MLC3173989972</t>
  </si>
  <si>
    <t>U3443700288</t>
  </si>
  <si>
    <t>2.20.10-NE</t>
  </si>
  <si>
    <t>Media Mascota Lisa Negra Drb 2.20.10-ne</t>
  </si>
  <si>
    <t>4685428863499308</t>
  </si>
  <si>
    <t>MLC3173989974</t>
  </si>
  <si>
    <t>U3437025117</t>
  </si>
  <si>
    <t>2.20.20-NE</t>
  </si>
  <si>
    <t>Media Sin Pie Adulto Negro Drb 2.20.20-ne</t>
  </si>
  <si>
    <t>5803903073022995</t>
  </si>
  <si>
    <t>MLC3173989976</t>
  </si>
  <si>
    <t>U3443698810</t>
  </si>
  <si>
    <t>2.20.11-AB</t>
  </si>
  <si>
    <t>Media Mascota Azulino/blanco Drb 2.20.11-ab</t>
  </si>
  <si>
    <t>2805409358158376</t>
  </si>
  <si>
    <t>MLC3173989978</t>
  </si>
  <si>
    <t>U3443700344</t>
  </si>
  <si>
    <t>2.20.05-BL-ROJ</t>
  </si>
  <si>
    <t>Media Juvenil Comb. Bco Rojo Drb 2.20.05-bl-roj</t>
  </si>
  <si>
    <t>7661145468370852</t>
  </si>
  <si>
    <t>MLC3174003070</t>
  </si>
  <si>
    <t>U3443697814</t>
  </si>
  <si>
    <t>2.20.20-AZL</t>
  </si>
  <si>
    <t>Media Sin Pie Adulto Azulino Drb 2.20.20-azl</t>
  </si>
  <si>
    <t>4089137058238609</t>
  </si>
  <si>
    <t>MLC3174003072</t>
  </si>
  <si>
    <t>U3443697822</t>
  </si>
  <si>
    <t>2.20.14-VER</t>
  </si>
  <si>
    <t>Media Adulto Lisa Team Verde Drb 2.20.14-ve</t>
  </si>
  <si>
    <t>8072240932961950</t>
  </si>
  <si>
    <t>MLC3174003076</t>
  </si>
  <si>
    <t>U3443700240</t>
  </si>
  <si>
    <t>2.20.14-AZL</t>
  </si>
  <si>
    <t>Media Adulto Lisa Team Azulino Drb 2.20.14-azl</t>
  </si>
  <si>
    <t>2441318712697073</t>
  </si>
  <si>
    <t>MLC3174015830</t>
  </si>
  <si>
    <t>U3443697810</t>
  </si>
  <si>
    <t>2.20.14-NE</t>
  </si>
  <si>
    <t>Media Adulto Lisa Team Negro Drb 2.20.14-ne</t>
  </si>
  <si>
    <t>1875272727646821</t>
  </si>
  <si>
    <t>MLC3174015834</t>
  </si>
  <si>
    <t>U3437024993</t>
  </si>
  <si>
    <t>2.20.04-NAR</t>
  </si>
  <si>
    <t>Media Juvenil Lisa Naranja Drb 2.20.04-nar</t>
  </si>
  <si>
    <t>1021110089133491</t>
  </si>
  <si>
    <t>MLC3174015836</t>
  </si>
  <si>
    <t>U3437025003</t>
  </si>
  <si>
    <t>2.20.17-NAR</t>
  </si>
  <si>
    <t>Media Antideslizante Juv Naranja  Drb 2.20.17-nar</t>
  </si>
  <si>
    <t>1045527781828842</t>
  </si>
  <si>
    <t>MLC3174015842</t>
  </si>
  <si>
    <t>U3437025019</t>
  </si>
  <si>
    <t>2.20.16-AMA</t>
  </si>
  <si>
    <t>Media Antideslizante Adu Amarillo Drb 2.20.16-ama</t>
  </si>
  <si>
    <t>4542151750484044</t>
  </si>
  <si>
    <t>MLC3174015844</t>
  </si>
  <si>
    <t>U3443700220</t>
  </si>
  <si>
    <t>2.20.20-ROJ</t>
  </si>
  <si>
    <t>Media Sin Pie Adulto Rojo Drb 2.20.20-roj</t>
  </si>
  <si>
    <t>8198290576374657</t>
  </si>
  <si>
    <t>MLC3174015848</t>
  </si>
  <si>
    <t>U3443700256</t>
  </si>
  <si>
    <t>2.20.20-VER</t>
  </si>
  <si>
    <t>Media Sin Pie Adulto Verde Drb 2.20.20-ver</t>
  </si>
  <si>
    <t>8995933639703886</t>
  </si>
  <si>
    <t>MLC3174015850</t>
  </si>
  <si>
    <t>U3443698730</t>
  </si>
  <si>
    <t>2.20.05-AZM-BL</t>
  </si>
  <si>
    <t>Media Juvenil Comb. Marino Bco Drb 2.20.05-azm-bl</t>
  </si>
  <si>
    <t>1620900300420315</t>
  </si>
  <si>
    <t>MLC3174028598</t>
  </si>
  <si>
    <t>U3436986959</t>
  </si>
  <si>
    <t>8.00.01</t>
  </si>
  <si>
    <t>Paleta P.pong Sensei 2* 8.00.01</t>
  </si>
  <si>
    <t>4501935840618003</t>
  </si>
  <si>
    <t>MLC3174028812</t>
  </si>
  <si>
    <t>U3437024989</t>
  </si>
  <si>
    <t>2.20.04-ROJ</t>
  </si>
  <si>
    <t>Media Juvenil Lisa Rojo Drb 2.20.04-roj</t>
  </si>
  <si>
    <t>1416294290950493</t>
  </si>
  <si>
    <t>MLC3174028814</t>
  </si>
  <si>
    <t>U3443698656</t>
  </si>
  <si>
    <t>2.20.14A-AZM</t>
  </si>
  <si>
    <t>Media Adulto Lisa Team Az Marino Drb 2.20.14-azm</t>
  </si>
  <si>
    <t>4316368576539854</t>
  </si>
  <si>
    <t>MLC3174028818</t>
  </si>
  <si>
    <t>U3443697830</t>
  </si>
  <si>
    <t>2.20.20-CEL</t>
  </si>
  <si>
    <t>Media Sin Pie Adulto Celeste Drb 2.20.20-cel</t>
  </si>
  <si>
    <t>1880179722038973</t>
  </si>
  <si>
    <t>MLC3174028820</t>
  </si>
  <si>
    <t>U3443698686</t>
  </si>
  <si>
    <t>2.20.16-CEL</t>
  </si>
  <si>
    <t>Media Antideslizante Adu Celeste Drb 2.20.16-cel</t>
  </si>
  <si>
    <t>7082418847411685</t>
  </si>
  <si>
    <t>MLC3174028824</t>
  </si>
  <si>
    <t>U3443698732</t>
  </si>
  <si>
    <t>2.20.22-NE</t>
  </si>
  <si>
    <t>Media Sin Pie Juvenil Negro Drb 2.20.22-ne</t>
  </si>
  <si>
    <t>3730062172431280</t>
  </si>
  <si>
    <t>MLC3174028830</t>
  </si>
  <si>
    <t>U3437025965</t>
  </si>
  <si>
    <t>2.20.16-AZL</t>
  </si>
  <si>
    <t>Media Antideslizante Adu Azulino Drb 2.20.16-azl</t>
  </si>
  <si>
    <t>3357334659896418</t>
  </si>
  <si>
    <t>MLC3174028832</t>
  </si>
  <si>
    <t>U3437025977</t>
  </si>
  <si>
    <t>2.20.04-NNE</t>
  </si>
  <si>
    <t>Media Juvenil Naranjo Neon Drb 2.20.04-nne</t>
  </si>
  <si>
    <t>8404878307523729</t>
  </si>
  <si>
    <t>MLC3174041642</t>
  </si>
  <si>
    <t>U3436986967</t>
  </si>
  <si>
    <t>8.00.61</t>
  </si>
  <si>
    <t>Paleta Pp Yashima 80054 Lapicero Comp. 8.00.61</t>
  </si>
  <si>
    <t>6330569334260615</t>
  </si>
  <si>
    <t>MLC3174041894</t>
  </si>
  <si>
    <t>U3443698658</t>
  </si>
  <si>
    <t>2.20.22-AZL</t>
  </si>
  <si>
    <t>Media Sin Pie Juvenil Azulino Drb 2.20.22-azl</t>
  </si>
  <si>
    <t>5524505013844714</t>
  </si>
  <si>
    <t>MLC3174041902</t>
  </si>
  <si>
    <t>U3437025205</t>
  </si>
  <si>
    <t>2.20.05-CEL-NE</t>
  </si>
  <si>
    <t>Media Juvenil Comb. Cele Negro Drb 2.20.05-cel-ne</t>
  </si>
  <si>
    <t>8712661996389639</t>
  </si>
  <si>
    <t>MLC3174054754</t>
  </si>
  <si>
    <t>U3443700202</t>
  </si>
  <si>
    <t>2.20.04-ROS</t>
  </si>
  <si>
    <t>Media Juvenil Lisa Rosado Drb 2.20.04-ros</t>
  </si>
  <si>
    <t>1243803567076150</t>
  </si>
  <si>
    <t>MLC3174054756</t>
  </si>
  <si>
    <t>U3443697812</t>
  </si>
  <si>
    <t>2.20.22-ROJ</t>
  </si>
  <si>
    <t>Media Sin Pie Juvenil Rojo Drb 2.20.22-roj</t>
  </si>
  <si>
    <t>7514892761822866</t>
  </si>
  <si>
    <t>MLC3174054760</t>
  </si>
  <si>
    <t>U3443700222</t>
  </si>
  <si>
    <t>2.20.05-NE-AM</t>
  </si>
  <si>
    <t>Media Juvenil Comb Negro Amarillo Drb 2.20.05-ne-am</t>
  </si>
  <si>
    <t>4136231727732198</t>
  </si>
  <si>
    <t>MLC3174054762</t>
  </si>
  <si>
    <t>U3443697860</t>
  </si>
  <si>
    <t>2.20.10-BL</t>
  </si>
  <si>
    <t>Media Mascota Lisa Blanca Drb 2.20.10-bl</t>
  </si>
  <si>
    <t>2900189725291875</t>
  </si>
  <si>
    <t>MLC3174054764</t>
  </si>
  <si>
    <t>U3437025161</t>
  </si>
  <si>
    <t>2.20.04-AZM</t>
  </si>
  <si>
    <t>Media Juvenil Lisa Azul Marino Drb 2.20.04.azm</t>
  </si>
  <si>
    <t>8664625648164896</t>
  </si>
  <si>
    <t>MLC3174054766</t>
  </si>
  <si>
    <t>U3437026059</t>
  </si>
  <si>
    <t>2.20.16-ROJ</t>
  </si>
  <si>
    <t>Media Antideslizante Adu Rojo Drb 2.20.16-roj</t>
  </si>
  <si>
    <t>3511934545410071</t>
  </si>
  <si>
    <t>MLC3174067576</t>
  </si>
  <si>
    <t>U3443700204</t>
  </si>
  <si>
    <t>2.20.22-AM</t>
  </si>
  <si>
    <t>Media Sin Pie Juvenil Amarillo Drb 2.20.22-am</t>
  </si>
  <si>
    <t>8392266215360921</t>
  </si>
  <si>
    <t>MLC3174067578</t>
  </si>
  <si>
    <t>U3443697826</t>
  </si>
  <si>
    <t>2.20.16-NAR</t>
  </si>
  <si>
    <t>Media Antideslizante Adu Naranja Drb 2.20.16-nar</t>
  </si>
  <si>
    <t>5351283745122865</t>
  </si>
  <si>
    <t>MLC3174067582</t>
  </si>
  <si>
    <t>U3443698682</t>
  </si>
  <si>
    <t>2.20.22-BL</t>
  </si>
  <si>
    <t>Media Sin Pie Juvenil Blanco Drb 2.20.22-bl</t>
  </si>
  <si>
    <t>3163306179308693</t>
  </si>
  <si>
    <t>MLC3174067584</t>
  </si>
  <si>
    <t>U3443698684</t>
  </si>
  <si>
    <t>2.20.04-LL</t>
  </si>
  <si>
    <t>Media Juvenil Lisa Lila Drb 2.20.04-ll</t>
  </si>
  <si>
    <t>2974299054768274</t>
  </si>
  <si>
    <t>MLC3174067588</t>
  </si>
  <si>
    <t>U3443698860</t>
  </si>
  <si>
    <t>2.20.16-NE</t>
  </si>
  <si>
    <t>Media Antideslizante Adu Negro Drb 2.20.16-ne</t>
  </si>
  <si>
    <t>4120114229954672</t>
  </si>
  <si>
    <t>MLC3176355706</t>
  </si>
  <si>
    <t>U3445662026</t>
  </si>
  <si>
    <t>6.20.02-XS</t>
  </si>
  <si>
    <t>Canillera Hockey Drb 6.20.02-xs Flick Xs</t>
  </si>
  <si>
    <t>4103165751033943</t>
  </si>
  <si>
    <t>MLC3176486986</t>
  </si>
  <si>
    <t>U3445937172</t>
  </si>
  <si>
    <t>2.40.15-AB</t>
  </si>
  <si>
    <t>Camiseta Fut Cross Azn/bco X14 2.40.15-ab Drb</t>
  </si>
  <si>
    <t>Azul Claro Xl</t>
  </si>
  <si>
    <t>303817223027004</t>
  </si>
  <si>
    <t>MLC3176487046</t>
  </si>
  <si>
    <t>U3445948140</t>
  </si>
  <si>
    <t>2.40.10-BN</t>
  </si>
  <si>
    <t>Camiseta Suiza Bco/negro X 14 2.40.10-bn Drb</t>
  </si>
  <si>
    <t>Rojo Xl</t>
  </si>
  <si>
    <t>8063369207061097</t>
  </si>
  <si>
    <t>MLC3176499844</t>
  </si>
  <si>
    <t>U3439256953</t>
  </si>
  <si>
    <t>2.80.20</t>
  </si>
  <si>
    <t xml:space="preserve">Canillera Drb 2.80.20 Milan   S </t>
  </si>
  <si>
    <t>2282783002136627</t>
  </si>
  <si>
    <t>MLC3176499848</t>
  </si>
  <si>
    <t>U3445939002</t>
  </si>
  <si>
    <t>2.40.15-RB</t>
  </si>
  <si>
    <t>Camiseta Fut Cross Roj/bco X14 2.40.15-rb Drb</t>
  </si>
  <si>
    <t>299756528304010</t>
  </si>
  <si>
    <t>MLC3176499914</t>
  </si>
  <si>
    <t>U3445948142</t>
  </si>
  <si>
    <t>2.40.10-AB</t>
  </si>
  <si>
    <t>Camiseta Suiza Azno/bco  X 14 2.40.10-ab Drb</t>
  </si>
  <si>
    <t>Azul Marino Xl</t>
  </si>
  <si>
    <t>1320649326790450</t>
  </si>
  <si>
    <t>MLC3176512822</t>
  </si>
  <si>
    <t>U3445938986</t>
  </si>
  <si>
    <t>2.40.15-CN</t>
  </si>
  <si>
    <t>Camiseta Fut Cross Cel/ne X14 2.40.15-cn Drb</t>
  </si>
  <si>
    <t>Celeste Xl</t>
  </si>
  <si>
    <t>366344272872010</t>
  </si>
  <si>
    <t>MLC3176536290</t>
  </si>
  <si>
    <t>U3445662030</t>
  </si>
  <si>
    <t>2.80.83-NAR-S</t>
  </si>
  <si>
    <t>Canillera Drb 2.80.83-nar-s Prime Naranjo S</t>
  </si>
  <si>
    <t>3388489463926191</t>
  </si>
  <si>
    <t>MLC3176538848</t>
  </si>
  <si>
    <t>U3445948134</t>
  </si>
  <si>
    <t>2.40.10-BA</t>
  </si>
  <si>
    <t>Camiseta Suiza Bco/azulin X 14 2.40.10-ba Drb</t>
  </si>
  <si>
    <t>2352814432999779</t>
  </si>
  <si>
    <t>MLC3176549244</t>
  </si>
  <si>
    <t>U3445660970</t>
  </si>
  <si>
    <t>2.80.82-BL-XS</t>
  </si>
  <si>
    <t>Canillera Drb 2.80.82-bl-xs Cup 2.0 Blanco Xs</t>
  </si>
  <si>
    <t>6045806118935972</t>
  </si>
  <si>
    <t>MLC3176575172</t>
  </si>
  <si>
    <t>U3445660968</t>
  </si>
  <si>
    <t>2.80.22</t>
  </si>
  <si>
    <t xml:space="preserve">Canillera Drb 2.80.22 Milan   L </t>
  </si>
  <si>
    <t>2622256822275448</t>
  </si>
  <si>
    <t>MLC3176588136</t>
  </si>
  <si>
    <t>U3445659818</t>
  </si>
  <si>
    <t>2.80.82-BL-M</t>
  </si>
  <si>
    <t>Canillera Drb 2.80.82-bl-m Cup 2.0 Blanco M</t>
  </si>
  <si>
    <t>8211301568557939</t>
  </si>
  <si>
    <t>MLC3176590540</t>
  </si>
  <si>
    <t>U3445938992</t>
  </si>
  <si>
    <t>2.80.83-VER-M</t>
  </si>
  <si>
    <t>Canillera Drb 2.80.83-ver-m Prime Verde M</t>
  </si>
  <si>
    <t>8794693512033727</t>
  </si>
  <si>
    <t>MLC3192880116</t>
  </si>
  <si>
    <t>U3454079773</t>
  </si>
  <si>
    <t>5.00.37-ROJ</t>
  </si>
  <si>
    <t>Gorra Hydro Nat Silicona Ad. Rojo</t>
  </si>
  <si>
    <t>2796512512176796</t>
  </si>
  <si>
    <t>MLC3192944962</t>
  </si>
  <si>
    <t>U3454082555</t>
  </si>
  <si>
    <t>Gorra Hydro Natacion Lycra Jr. Azul</t>
  </si>
  <si>
    <t>5004637698263605</t>
  </si>
  <si>
    <t>MLC3192957970</t>
  </si>
  <si>
    <t>U3454079757</t>
  </si>
  <si>
    <t>V.00.02</t>
  </si>
  <si>
    <t>Gua. Box C. Sint Velcro 12 Oz - Drb V.00.02</t>
  </si>
  <si>
    <t>Único</t>
  </si>
  <si>
    <t>8746323639141508</t>
  </si>
  <si>
    <t>MLC3192983764</t>
  </si>
  <si>
    <t>U3454079775</t>
  </si>
  <si>
    <t>5.00.30</t>
  </si>
  <si>
    <t>Gorra Drb Nat Silic Batman Junior</t>
  </si>
  <si>
    <t>4264186532232998</t>
  </si>
  <si>
    <t>MLC3192996822</t>
  </si>
  <si>
    <t>U3454079769</t>
  </si>
  <si>
    <t>5.00.37-NE</t>
  </si>
  <si>
    <t>Gorra Hydro Nat Silicona Ad. Negro</t>
  </si>
  <si>
    <t>8628389956987847</t>
  </si>
  <si>
    <t>MLC3193035526</t>
  </si>
  <si>
    <t>U3454081619</t>
  </si>
  <si>
    <t>5.00.37-AZM</t>
  </si>
  <si>
    <t>Gorra Hydro Nat Silicona Ad. Marino</t>
  </si>
  <si>
    <t>8865327904689246</t>
  </si>
  <si>
    <t>MLC3193048550</t>
  </si>
  <si>
    <t>U3454081609</t>
  </si>
  <si>
    <t>V.00.03</t>
  </si>
  <si>
    <t>Gua. Box C. Sint Velcro 14 Oz - Drb V.00.03</t>
  </si>
  <si>
    <t>4838301335621047</t>
  </si>
  <si>
    <t>MLC3193061528</t>
  </si>
  <si>
    <t>U3454084129</t>
  </si>
  <si>
    <t>5.00.31</t>
  </si>
  <si>
    <t>Gorra Drb Nat Silic M Marav Junior</t>
  </si>
  <si>
    <t>461102089611061</t>
  </si>
  <si>
    <t>MLC3193061532</t>
  </si>
  <si>
    <t>U3454079771</t>
  </si>
  <si>
    <t>5.00.33-AZL</t>
  </si>
  <si>
    <t>Gorra Hydro Natacion Lycra Adul Azul</t>
  </si>
  <si>
    <t>8269165728823969</t>
  </si>
  <si>
    <t>MLC3193074524</t>
  </si>
  <si>
    <t>U3454081601</t>
  </si>
  <si>
    <t>V.00.01</t>
  </si>
  <si>
    <t>Gua. Box C. Sint Velcro 10 Oz  - Drb V.00.01</t>
  </si>
  <si>
    <t>1654708921123026</t>
  </si>
  <si>
    <t>MLC3193087510</t>
  </si>
  <si>
    <t>U3454081621</t>
  </si>
  <si>
    <t>5.00.37-BL</t>
  </si>
  <si>
    <t>Gorra Hydro Nat Silicona Ad. Blanco</t>
  </si>
  <si>
    <t>5030471725439538</t>
  </si>
  <si>
    <t>MLC3193100430</t>
  </si>
  <si>
    <t>U3454084119</t>
  </si>
  <si>
    <t>5.00.25</t>
  </si>
  <si>
    <t>Gorra Hydro Natacion Lycra Nino X 24</t>
  </si>
  <si>
    <t>MLC3193475072</t>
  </si>
  <si>
    <t>Cinturón Karate Drb Nivel Blanco - V.08.08-bl Talla Estándar</t>
  </si>
  <si>
    <t>MLC3250245332</t>
  </si>
  <si>
    <t>Pelota Futsal N4 Reebok Xtreme Am Az Color Azul</t>
  </si>
  <si>
    <t>MLC3250397632</t>
  </si>
  <si>
    <t>Balón Fútbol Chile Drb® #5 Color Tricolor Rojo/azul/blanco</t>
  </si>
  <si>
    <t>5301977373957902</t>
  </si>
  <si>
    <t>MLC3250456498</t>
  </si>
  <si>
    <t>U3429845178</t>
  </si>
  <si>
    <t>R.00.03</t>
  </si>
  <si>
    <t>Pelota De Futbol Kick Licencia Reebok Color Blanco</t>
  </si>
  <si>
    <t>MLC3260192144</t>
  </si>
  <si>
    <t>Balon Voleibol Reebok Royal 3 Color Azul</t>
  </si>
  <si>
    <t>MLC3363992248</t>
  </si>
  <si>
    <t>Tubo Elast O De Resistencia Drb F.30.00 Color Verde</t>
  </si>
  <si>
    <t>MLC3533019962</t>
  </si>
  <si>
    <t>Pelota Pp 3* Yashima X 6 Unid Color Blanco</t>
  </si>
  <si>
    <t>MLC3574102262</t>
  </si>
  <si>
    <t>Cinturón Karate Drb Nivel Naranja - V.08.08-nar Talla Estándar</t>
  </si>
  <si>
    <t>MLC3790566060</t>
  </si>
  <si>
    <t>U3854262651</t>
  </si>
  <si>
    <t>S-321-AZU-L</t>
  </si>
  <si>
    <t>Azul Lisa L</t>
  </si>
  <si>
    <t>3616584231981169</t>
  </si>
  <si>
    <t>MLC2778810046</t>
  </si>
  <si>
    <t>U2778157846</t>
  </si>
  <si>
    <t>2.90.39</t>
  </si>
  <si>
    <t>Porta Botellas Drb 2.90.39</t>
  </si>
  <si>
    <t>Inactiva</t>
  </si>
  <si>
    <t>MLC2687851534</t>
  </si>
  <si>
    <t>Sosten Microfbra Con Soft (deportivo) Jockey Sport S-073c</t>
  </si>
  <si>
    <t>0</t>
  </si>
  <si>
    <t>181573383680</t>
  </si>
  <si>
    <t>S-073C-TU-34C</t>
  </si>
  <si>
    <t>Turquesa / Floreado / 34C</t>
  </si>
  <si>
    <t>181573383682</t>
  </si>
  <si>
    <t>S-073C-TU-36C</t>
  </si>
  <si>
    <t>Turquesa / Floreado / 36C</t>
  </si>
  <si>
    <t>181573383684</t>
  </si>
  <si>
    <t>S-073C-TU-38C</t>
  </si>
  <si>
    <t>Turquesa / Floreado / 38C</t>
  </si>
  <si>
    <t>181573383686</t>
  </si>
  <si>
    <t>S-073C-TU-40C</t>
  </si>
  <si>
    <t>Turquesa / Floreado / 40C</t>
  </si>
  <si>
    <t>5192756595676666</t>
  </si>
  <si>
    <t>MLC1497444795</t>
  </si>
  <si>
    <t>U395172130</t>
  </si>
  <si>
    <t>3829-NE-32</t>
  </si>
  <si>
    <t>Top Fitness Mujer 3829 Baziani</t>
  </si>
  <si>
    <t>Negro 32</t>
  </si>
  <si>
    <t>MLC1497457813</t>
  </si>
  <si>
    <t>Top Deportivo Seamless Mujer 3880 Baziani</t>
  </si>
  <si>
    <t>2</t>
  </si>
  <si>
    <t>183350577289</t>
  </si>
  <si>
    <t>3880-MAR-L/XL</t>
  </si>
  <si>
    <t>Marrón / L XL / Lisa</t>
  </si>
  <si>
    <t>183350577291</t>
  </si>
  <si>
    <t>3880-MAR-S/M</t>
  </si>
  <si>
    <t>Marrón / Lisa / S M</t>
  </si>
  <si>
    <t>8686437123159334</t>
  </si>
  <si>
    <t>MLC1536377095</t>
  </si>
  <si>
    <t>U2287492850</t>
  </si>
  <si>
    <t>M.10.02-NAR</t>
  </si>
  <si>
    <t>Cono Training 7  Naranjo</t>
  </si>
  <si>
    <t>3392432987047140</t>
  </si>
  <si>
    <t>MLC1536398173</t>
  </si>
  <si>
    <t>U2289141230</t>
  </si>
  <si>
    <t>9.15.00-M-NEG</t>
  </si>
  <si>
    <t>Faja Laboral Elasticada  T. M</t>
  </si>
  <si>
    <t>3313367339586763</t>
  </si>
  <si>
    <t>MLC1536398183</t>
  </si>
  <si>
    <t>U2284503541</t>
  </si>
  <si>
    <t>9.00.09</t>
  </si>
  <si>
    <t>Venda Dribbling 8 Cm X180 Un</t>
  </si>
  <si>
    <t>4780373788510314</t>
  </si>
  <si>
    <t>MLC1536398197</t>
  </si>
  <si>
    <t>U2289150916</t>
  </si>
  <si>
    <t>9.55.03-L-NEG</t>
  </si>
  <si>
    <t>Rodillera C/barra  L  Neop Drb</t>
  </si>
  <si>
    <t>3783779600801668</t>
  </si>
  <si>
    <t>MLC1536409639</t>
  </si>
  <si>
    <t>U2284125149</t>
  </si>
  <si>
    <t>F.50.00</t>
  </si>
  <si>
    <t>Porta Celular Drb F.50.00 - Running</t>
  </si>
  <si>
    <t>1912404091477581</t>
  </si>
  <si>
    <t>MLC1536411269</t>
  </si>
  <si>
    <t>U2284505601</t>
  </si>
  <si>
    <t>9.55.02-L-NEG</t>
  </si>
  <si>
    <t>Rodillera Rotula  L  Neop Drb</t>
  </si>
  <si>
    <t>3634670805835961</t>
  </si>
  <si>
    <t>MLC1536411271</t>
  </si>
  <si>
    <t>U2284503843</t>
  </si>
  <si>
    <t>9.65.02-XL</t>
  </si>
  <si>
    <t>Tobillera Neoprene  Xl  Dribbling</t>
  </si>
  <si>
    <t>3948111930915018</t>
  </si>
  <si>
    <t>MLC1536411289</t>
  </si>
  <si>
    <t>U2284507007</t>
  </si>
  <si>
    <t>9.00.21</t>
  </si>
  <si>
    <t>Venda Nylastic 6 Cm</t>
  </si>
  <si>
    <t>1138368970040439</t>
  </si>
  <si>
    <t>MLC1536411303</t>
  </si>
  <si>
    <t>U2289149160</t>
  </si>
  <si>
    <t>9.10.02-M</t>
  </si>
  <si>
    <t>Munequera Neoprene Drb 9.10.02 - Talla M</t>
  </si>
  <si>
    <t>3404109058776958</t>
  </si>
  <si>
    <t>MLC1536423405</t>
  </si>
  <si>
    <t>U2284499127</t>
  </si>
  <si>
    <t>9.00.25</t>
  </si>
  <si>
    <t>Venda Nylastic 8 Cm</t>
  </si>
  <si>
    <t>6685897709906907</t>
  </si>
  <si>
    <t>MLC1536423443</t>
  </si>
  <si>
    <t>U2284506683</t>
  </si>
  <si>
    <t>9.00.10</t>
  </si>
  <si>
    <t>Venda Dribbling 10 Cm X 84 Un</t>
  </si>
  <si>
    <t>3147141870528992</t>
  </si>
  <si>
    <t>MLC1536881831</t>
  </si>
  <si>
    <t>U2316582542</t>
  </si>
  <si>
    <t>2.90.13</t>
  </si>
  <si>
    <t>Aguja Metalica  Drb 2.90.13 -  Blister 3 Unid</t>
  </si>
  <si>
    <t>7255813665357593</t>
  </si>
  <si>
    <t>MLC1536881999</t>
  </si>
  <si>
    <t>U2312172969</t>
  </si>
  <si>
    <t>5.10.26</t>
  </si>
  <si>
    <t>Lente Nat Drb 5.10.26 - Acuatic Gold X 24 Un</t>
  </si>
  <si>
    <t>6538789765052798</t>
  </si>
  <si>
    <t>MLC1542149657</t>
  </si>
  <si>
    <t>U2612659015</t>
  </si>
  <si>
    <t>A.00.11</t>
  </si>
  <si>
    <t>Balon Hand-ball Drb A.00.11 Grippest #2 C/</t>
  </si>
  <si>
    <t>1315939210813676</t>
  </si>
  <si>
    <t>MLC1542482793</t>
  </si>
  <si>
    <t>U2630570444</t>
  </si>
  <si>
    <t>6.00.43</t>
  </si>
  <si>
    <t>Palo Hockey Evo 4000 Drb 6.00.43 - Talla 37,5 Si</t>
  </si>
  <si>
    <t>3634752624635417</t>
  </si>
  <si>
    <t>MLC1542558565</t>
  </si>
  <si>
    <t>U2632108552</t>
  </si>
  <si>
    <t>4.00.10-T5B</t>
  </si>
  <si>
    <t>Balon Volley S.touch 5.0 Blanc</t>
  </si>
  <si>
    <t>4547495442035078</t>
  </si>
  <si>
    <t>MLC1544162047</t>
  </si>
  <si>
    <t>U2705827154</t>
  </si>
  <si>
    <t>F.22.03</t>
  </si>
  <si>
    <t>Disco Fierro Drb F.22.03 - 3 Kg Caja 18 Kg</t>
  </si>
  <si>
    <t>8473906441165940</t>
  </si>
  <si>
    <t>MLC1544162385</t>
  </si>
  <si>
    <t>U2705852884</t>
  </si>
  <si>
    <t>F.30.50</t>
  </si>
  <si>
    <t>Power Band Drb F.30.50 - 13 × 4.5 × 2080 Mm</t>
  </si>
  <si>
    <t>2794198525048611</t>
  </si>
  <si>
    <t>MLC1544549005</t>
  </si>
  <si>
    <t>U2708095434</t>
  </si>
  <si>
    <t>F.30.54</t>
  </si>
  <si>
    <t>Power Band Drb F.30.54 - 32 × 4.5 × 2080 Mm</t>
  </si>
  <si>
    <t>7894680301538852</t>
  </si>
  <si>
    <t>MLC1544987741</t>
  </si>
  <si>
    <t>U2706731989</t>
  </si>
  <si>
    <t>9.70.11</t>
  </si>
  <si>
    <t>Protector Bucal Dama Drb 9.70.11 - Adulto</t>
  </si>
  <si>
    <t>2865445564149801</t>
  </si>
  <si>
    <t>MLC1545391871</t>
  </si>
  <si>
    <t>U2708586853</t>
  </si>
  <si>
    <t>D.00.12-GRI</t>
  </si>
  <si>
    <t>Tripack Media Blan/gris/neg</t>
  </si>
  <si>
    <t>4316813972017518</t>
  </si>
  <si>
    <t>MLC1545557937</t>
  </si>
  <si>
    <t>U2709374181</t>
  </si>
  <si>
    <t>5.10.04-AZ</t>
  </si>
  <si>
    <t>Lente Natacion New Superflex</t>
  </si>
  <si>
    <t>6530986870104918</t>
  </si>
  <si>
    <t>MLC1546806245</t>
  </si>
  <si>
    <t>U2736579436</t>
  </si>
  <si>
    <t>2.80.42</t>
  </si>
  <si>
    <t>Canillera Drb 2.80.42 - Barcelona Metal</t>
  </si>
  <si>
    <t>M Marrón</t>
  </si>
  <si>
    <t>1414126764365781</t>
  </si>
  <si>
    <t>MLC1546808755</t>
  </si>
  <si>
    <t>U2736806022</t>
  </si>
  <si>
    <t>2.80.40</t>
  </si>
  <si>
    <t>Canillera Drb 2.80.41 - Barcelona Metal</t>
  </si>
  <si>
    <t>S Marrón</t>
  </si>
  <si>
    <t>8539496361798252</t>
  </si>
  <si>
    <t>MLC1547522493</t>
  </si>
  <si>
    <t>U2752288536</t>
  </si>
  <si>
    <t>2.80.28</t>
  </si>
  <si>
    <t>Canillera Drb 2.80.28 - Resistor</t>
  </si>
  <si>
    <t>3973731007914951</t>
  </si>
  <si>
    <t>MLC1547600901</t>
  </si>
  <si>
    <t>U2752377220</t>
  </si>
  <si>
    <t>2.80.27</t>
  </si>
  <si>
    <t>Canillera Drb 2.80.27 - Resistor</t>
  </si>
  <si>
    <t>1237439106900271</t>
  </si>
  <si>
    <t>MLC1548211353</t>
  </si>
  <si>
    <t>U2759419929</t>
  </si>
  <si>
    <t>2.20.01-NN</t>
  </si>
  <si>
    <t>Media Adulto Comb Drb 2.20.01 Negro Nar</t>
  </si>
  <si>
    <t>3044564902254888</t>
  </si>
  <si>
    <t>MLC1548286471</t>
  </si>
  <si>
    <t>U2760299913</t>
  </si>
  <si>
    <t>2.20.08-ROJ-BCO</t>
  </si>
  <si>
    <t>Media Infantil Comb Drb 2.20.08 Rojo Bco</t>
  </si>
  <si>
    <t>8241729164788308</t>
  </si>
  <si>
    <t>MLC1548783395</t>
  </si>
  <si>
    <t>U2778635758</t>
  </si>
  <si>
    <t>2.90.95</t>
  </si>
  <si>
    <t>Red Fútbol Drb 2.90.95 - Pe 4.0 Mm Hex 039</t>
  </si>
  <si>
    <t>4255110763162612</t>
  </si>
  <si>
    <t>MLC1548833077</t>
  </si>
  <si>
    <t>U2779891524</t>
  </si>
  <si>
    <t>2.90.21</t>
  </si>
  <si>
    <t>Pizarra Drb 2.90.21 - Diseño Fútbol</t>
  </si>
  <si>
    <t>2965769776602010</t>
  </si>
  <si>
    <t>MLC1549609175</t>
  </si>
  <si>
    <t>U2808190520</t>
  </si>
  <si>
    <t>8.10.29</t>
  </si>
  <si>
    <t>Pelota Sensei 8.10.29 - Frasco 60 Un 3#</t>
  </si>
  <si>
    <t>1838391412253124</t>
  </si>
  <si>
    <t>MLC1549634079</t>
  </si>
  <si>
    <t>U2803222017</t>
  </si>
  <si>
    <t>8.00.04-ROJ</t>
  </si>
  <si>
    <t>Paleta P.pong Sensei 5*</t>
  </si>
  <si>
    <t>Rojo St (recto)</t>
  </si>
  <si>
    <t>7700784893722258</t>
  </si>
  <si>
    <t>MLC1549646055</t>
  </si>
  <si>
    <t>U2808190516</t>
  </si>
  <si>
    <t>8.20.19-BLA</t>
  </si>
  <si>
    <t>Sop. Y Red P. Pong Retractil</t>
  </si>
  <si>
    <t>4208048668555965</t>
  </si>
  <si>
    <t>MLC1549646057</t>
  </si>
  <si>
    <t>U2808189610</t>
  </si>
  <si>
    <t>8.00.51-AMA</t>
  </si>
  <si>
    <t>Paleta P.pong 80310 Goma Xr7 Comp</t>
  </si>
  <si>
    <t>Amarillo St (recto)</t>
  </si>
  <si>
    <t>2098186634756139</t>
  </si>
  <si>
    <t>MLC1549646061</t>
  </si>
  <si>
    <t>U2808190524</t>
  </si>
  <si>
    <t>8.00.03-AZU</t>
  </si>
  <si>
    <t>Paleta P.pong Sensei 4*</t>
  </si>
  <si>
    <t>1647087719410904</t>
  </si>
  <si>
    <t>MLC1549655733</t>
  </si>
  <si>
    <t>U2808189614</t>
  </si>
  <si>
    <t>8.00.01-ROJ</t>
  </si>
  <si>
    <t>Paleta P.pong Sensei 2*</t>
  </si>
  <si>
    <t>4140619450046345</t>
  </si>
  <si>
    <t>MLC1549667107</t>
  </si>
  <si>
    <t>U2803220505</t>
  </si>
  <si>
    <t>8.10.21-BLA</t>
  </si>
  <si>
    <t>Pelota Pp 1* Yashima X 6 Unid</t>
  </si>
  <si>
    <t>5897730201266355</t>
  </si>
  <si>
    <t>MLC1549667109</t>
  </si>
  <si>
    <t>U2803222027</t>
  </si>
  <si>
    <t>8.10.27</t>
  </si>
  <si>
    <t>Pelota Pp Sensei 6 Unid 3* Naranjo</t>
  </si>
  <si>
    <t>6370554726651820</t>
  </si>
  <si>
    <t>MLC1549667113</t>
  </si>
  <si>
    <t>U2803220517</t>
  </si>
  <si>
    <t>8.00.02</t>
  </si>
  <si>
    <t>Paleta Ping Pong Sensei 8.00.02 - 3#</t>
  </si>
  <si>
    <t>6046535947410983</t>
  </si>
  <si>
    <t>MLC1550976155</t>
  </si>
  <si>
    <t>U2832476475</t>
  </si>
  <si>
    <t>2.90.60</t>
  </si>
  <si>
    <t>Pito Metal Drb 2.90.60 - C/cordón</t>
  </si>
  <si>
    <t>165291306771041</t>
  </si>
  <si>
    <t>MLC1551493309</t>
  </si>
  <si>
    <t>U2841778711</t>
  </si>
  <si>
    <t>2.20.08</t>
  </si>
  <si>
    <t>Media Infantil Combinado</t>
  </si>
  <si>
    <t>2742919170873583</t>
  </si>
  <si>
    <t>MLC1551506419</t>
  </si>
  <si>
    <t>U2841777161</t>
  </si>
  <si>
    <t>2.20.10</t>
  </si>
  <si>
    <t>Media Mascota Liso</t>
  </si>
  <si>
    <t>6528790931805944</t>
  </si>
  <si>
    <t>MLC1551519191</t>
  </si>
  <si>
    <t>U2841780175</t>
  </si>
  <si>
    <t>2.20.07</t>
  </si>
  <si>
    <t>Media Infantil Lisa</t>
  </si>
  <si>
    <t>2635664631359818</t>
  </si>
  <si>
    <t>MLC1551557167</t>
  </si>
  <si>
    <t>U2841780173</t>
  </si>
  <si>
    <t>2.20.04</t>
  </si>
  <si>
    <t>Media Juvenil Drb 2.20.04</t>
  </si>
  <si>
    <t>7392967968754078</t>
  </si>
  <si>
    <t>MLC1571483779</t>
  </si>
  <si>
    <t>U2977497091</t>
  </si>
  <si>
    <t>2.90.80</t>
  </si>
  <si>
    <t>Red Baby-handbol Drb 2.90.80 - Pe 2.0 Mm [par]</t>
  </si>
  <si>
    <t>6254693930500827</t>
  </si>
  <si>
    <t>MLC1571496349</t>
  </si>
  <si>
    <t>U2977497359</t>
  </si>
  <si>
    <t>1.60.07</t>
  </si>
  <si>
    <t>Pelota Tenis Drb 1.60.07 - Sufix Bolsa</t>
  </si>
  <si>
    <t>3558029611001626</t>
  </si>
  <si>
    <t>MLC1638682923</t>
  </si>
  <si>
    <t>U3269555813</t>
  </si>
  <si>
    <t>PACK-2.40.36-AZ-BL-XS</t>
  </si>
  <si>
    <t>Azul - Blanco Lisa Xs</t>
  </si>
  <si>
    <t>MLC1638705419</t>
  </si>
  <si>
    <t>Pack Media Adulto 2.20.16 Antideslizante</t>
  </si>
  <si>
    <t>184145252732</t>
  </si>
  <si>
    <t>PACK-2.20.16-AZM-AZ</t>
  </si>
  <si>
    <t>184145252734</t>
  </si>
  <si>
    <t>PACK-2.20.16-BL-CE</t>
  </si>
  <si>
    <t>blanco - celeste</t>
  </si>
  <si>
    <t>184145252736</t>
  </si>
  <si>
    <t>PACK-2.20.16-NE-RO</t>
  </si>
  <si>
    <t>Negro-Rojo</t>
  </si>
  <si>
    <t>8968073330607417</t>
  </si>
  <si>
    <t>MLC1639581683</t>
  </si>
  <si>
    <t>U3277059040</t>
  </si>
  <si>
    <t>CONJ-8.00.05-8.10.27</t>
  </si>
  <si>
    <t>Paleta Pp Sensei #6 + Pelota Pp Sensei #6 00.10 X6u</t>
  </si>
  <si>
    <t>660260475993048</t>
  </si>
  <si>
    <t>MLC1639593273</t>
  </si>
  <si>
    <t>U3277062374</t>
  </si>
  <si>
    <t>CONJ-F.30.06-F.30.07</t>
  </si>
  <si>
    <t>Bandas Elásticas F.30 Resistencia Media/dura</t>
  </si>
  <si>
    <t>Roja-azul</t>
  </si>
  <si>
    <t>8811092016440784</t>
  </si>
  <si>
    <t>MLC1639606073</t>
  </si>
  <si>
    <t>U3277062372</t>
  </si>
  <si>
    <t>CONJ-8.00.51-8.10.25</t>
  </si>
  <si>
    <t>Paleta Pp Xr7 + Pelota Pp #3 00.10 X6u</t>
  </si>
  <si>
    <t>6482258144342266</t>
  </si>
  <si>
    <t>MLC1639606075</t>
  </si>
  <si>
    <t>U3271261501</t>
  </si>
  <si>
    <t>CONJ-1.00.19-1.60.10</t>
  </si>
  <si>
    <t>Raqueta Tenis Sufix + Pelota 00.60 Factor X</t>
  </si>
  <si>
    <t>4140610471404753</t>
  </si>
  <si>
    <t>MLC1639618947</t>
  </si>
  <si>
    <t>U3277059036</t>
  </si>
  <si>
    <t>CONJ-8.00.02-8.10.25</t>
  </si>
  <si>
    <t>Paleta Pp Sensei #3 + Pelota Pp #3 00.10 X6u</t>
  </si>
  <si>
    <t>2464869608553744</t>
  </si>
  <si>
    <t>MLC1639618949</t>
  </si>
  <si>
    <t>U3271261489</t>
  </si>
  <si>
    <t>CONJ-8.00.01-8.10.18</t>
  </si>
  <si>
    <t>Paleta Pp Sensei #2 + Pelota Pp Sensei #6 00.10 X6u</t>
  </si>
  <si>
    <t>7494769848701096</t>
  </si>
  <si>
    <t>MLC1639631899</t>
  </si>
  <si>
    <t>U3277062368</t>
  </si>
  <si>
    <t>CONJ-C.00.01-C.10.01</t>
  </si>
  <si>
    <t>Pala Padel Nimbus + Pelota 00.10 Glass</t>
  </si>
  <si>
    <t>3880407587892816</t>
  </si>
  <si>
    <t>MLC1639690557</t>
  </si>
  <si>
    <t>U3277059038</t>
  </si>
  <si>
    <t>CONJ-8.00.50-8.10.25</t>
  </si>
  <si>
    <t>Paleta Pp Competición + Pelota Pp #3 00.10 X6u</t>
  </si>
  <si>
    <t>Negro, Rojo Y Madera Natural</t>
  </si>
  <si>
    <t>6977558425651829</t>
  </si>
  <si>
    <t>MLC1639690559</t>
  </si>
  <si>
    <t>U3271261493</t>
  </si>
  <si>
    <t>CONJ-1.00.20-1.60.10</t>
  </si>
  <si>
    <t>Raqueta Tenis Sufix + Pelota 00.60 Encounter</t>
  </si>
  <si>
    <t>4648759167591775</t>
  </si>
  <si>
    <t>MLC1639703599</t>
  </si>
  <si>
    <t>U3277059032</t>
  </si>
  <si>
    <t>CONJ-8.00.04-8.10.26</t>
  </si>
  <si>
    <t>Paleta Pp Sensei #5 + Pelota Pp Sensei #6 00.10 X6u</t>
  </si>
  <si>
    <t>4935677377448400</t>
  </si>
  <si>
    <t>MLC1639703601</t>
  </si>
  <si>
    <t>U3277059042</t>
  </si>
  <si>
    <t>CONJ-8.00.01-8.10.23</t>
  </si>
  <si>
    <t>Paleta Pp Sensei #4 + Pelota Pp #3 00.10 X6u</t>
  </si>
  <si>
    <t>5512517497533734</t>
  </si>
  <si>
    <t>MLC1639716555</t>
  </si>
  <si>
    <t>U3277062370</t>
  </si>
  <si>
    <t>CONJ-C.00.04-C.10.01</t>
  </si>
  <si>
    <t>Pala Padel Nimbus + Pelota 00.10 Carbon Pro</t>
  </si>
  <si>
    <t>5543904726277905</t>
  </si>
  <si>
    <t>MLC1639716559</t>
  </si>
  <si>
    <t>U3277060482</t>
  </si>
  <si>
    <t>CONJ-8.00.60-8.10.21</t>
  </si>
  <si>
    <t>Paleta Pp Lapicero Entr + Pelota Pp #1 00.10 X6u</t>
  </si>
  <si>
    <t>Negro (cara De Goma) / Madera Natural (mango) Mango Ensanchado (flared)</t>
  </si>
  <si>
    <t>7417697414771445</t>
  </si>
  <si>
    <t>MLC1639716561</t>
  </si>
  <si>
    <t>U3277062376</t>
  </si>
  <si>
    <t>CONJ-F.30.06-F.30.05</t>
  </si>
  <si>
    <t>Bandas Elásticas F.30 Resistencia Suave/dura</t>
  </si>
  <si>
    <t>Amarilla-azul</t>
  </si>
  <si>
    <t>MLC1639843821</t>
  </si>
  <si>
    <t>Tripack Short Fut Niño Drb 2.40.36 Liso</t>
  </si>
  <si>
    <t>188831838153</t>
  </si>
  <si>
    <t>2.40.36-TRIPACK-AZ-BL-NE.XS</t>
  </si>
  <si>
    <t>XS / AZ-BL-NE / Lisa</t>
  </si>
  <si>
    <t>188831838159</t>
  </si>
  <si>
    <t>2.40.36-TRIPACK-RO-VE-NE.XXS</t>
  </si>
  <si>
    <t>RO-VE-NE / XXS / Lisa</t>
  </si>
  <si>
    <t>188831838157</t>
  </si>
  <si>
    <t>2.40.36-TRIPACK-AZ-BL-NE.XXS</t>
  </si>
  <si>
    <t>AZ-BL-NE / XXS / Lisa</t>
  </si>
  <si>
    <t>188831838155</t>
  </si>
  <si>
    <t>2.40.36-TRIPACK-RO-VE-NE.XS</t>
  </si>
  <si>
    <t>XS / RO-VE-NE / Lisa</t>
  </si>
  <si>
    <t>6849860782234983</t>
  </si>
  <si>
    <t>MLC1642163675</t>
  </si>
  <si>
    <t>U3278022821</t>
  </si>
  <si>
    <t>CONJ-M.30.03-G.10.01</t>
  </si>
  <si>
    <t>Balón Fútbol Americano + Bombín Drb 00.90 Infantil</t>
  </si>
  <si>
    <t>4624901643688175</t>
  </si>
  <si>
    <t>MLC1642163677</t>
  </si>
  <si>
    <t>U3278024713</t>
  </si>
  <si>
    <t>CONJ-4.00.10-2.90.11</t>
  </si>
  <si>
    <t>Balón Voley + Bombin Drb 00.90 Touch 5.0 Blanco</t>
  </si>
  <si>
    <t>2959947752008998</t>
  </si>
  <si>
    <t>MLC1642163681</t>
  </si>
  <si>
    <t>U3278026119</t>
  </si>
  <si>
    <t>CONJ-4.00.08-2.90.11</t>
  </si>
  <si>
    <t>Balón Voley + Bombin Drb 00.90 Touch 3.0 Blanco</t>
  </si>
  <si>
    <t>727700889245783</t>
  </si>
  <si>
    <t>MLC1642163683</t>
  </si>
  <si>
    <t>U3278026123</t>
  </si>
  <si>
    <t>CONJ-2.00.10-2.90.12</t>
  </si>
  <si>
    <t>Balón Futbol + Bombin Drb 00.90 Star #2</t>
  </si>
  <si>
    <t>Blanco - Azul</t>
  </si>
  <si>
    <t>6004620498924341</t>
  </si>
  <si>
    <t>MLC1642163685</t>
  </si>
  <si>
    <t>U3278022853</t>
  </si>
  <si>
    <t>CONJ-3.00.10-2.90.12</t>
  </si>
  <si>
    <t>Balón Basquet Drb + Bombín Drb 00.90 #3 Funball</t>
  </si>
  <si>
    <t>987861317728114</t>
  </si>
  <si>
    <t>MLC1642163687</t>
  </si>
  <si>
    <t>U3278022857</t>
  </si>
  <si>
    <t>CONJ-3.00.20-2.90.11</t>
  </si>
  <si>
    <t>Balón Basquet Drb + Bombín Drb 00.90 #5 Goma</t>
  </si>
  <si>
    <t>6514243975739911</t>
  </si>
  <si>
    <t>MLC1642163689</t>
  </si>
  <si>
    <t>U3278022905</t>
  </si>
  <si>
    <t>CONJ-2.00.40-2.90.11</t>
  </si>
  <si>
    <t>Balón Futbol + Bombin Drb 00.90 Oficial #5</t>
  </si>
  <si>
    <t>1568991978738158</t>
  </si>
  <si>
    <t>MLC1642173773</t>
  </si>
  <si>
    <t>U3278026117</t>
  </si>
  <si>
    <t>CONJ-2.00.72-2.90.12</t>
  </si>
  <si>
    <t>Balón Baby Drb + Bombín Drb 00.90 Oficial</t>
  </si>
  <si>
    <t>1835482115007804</t>
  </si>
  <si>
    <t>MLC1642173775</t>
  </si>
  <si>
    <t>U3278024715</t>
  </si>
  <si>
    <t>CONJ-2.00.28-2.90.11</t>
  </si>
  <si>
    <t>Balón Futbol + Bombin Drb 00.90 Mars</t>
  </si>
  <si>
    <t>7142683289066660</t>
  </si>
  <si>
    <t>MLC1642173779</t>
  </si>
  <si>
    <t>U3283827290</t>
  </si>
  <si>
    <t>CONJ-2.00.32-2.90.11</t>
  </si>
  <si>
    <t>Balón Futbol + Bombin Drb 00.90 Prime #4</t>
  </si>
  <si>
    <t>MLC1642173781</t>
  </si>
  <si>
    <t>Conjunto Canillera C/tobill Y Media Adulto 80.20 Bremen</t>
  </si>
  <si>
    <t>184204489598</t>
  </si>
  <si>
    <t>CONJ-2.80.30A-2.20.01BN</t>
  </si>
  <si>
    <t>184204489600</t>
  </si>
  <si>
    <t>CONJ-2.80.30R-2.20.01BN</t>
  </si>
  <si>
    <t>184204489602</t>
  </si>
  <si>
    <t>CONJ-2.80.30B-2.20.01BN</t>
  </si>
  <si>
    <t>5767683260474465</t>
  </si>
  <si>
    <t>MLC1643408021</t>
  </si>
  <si>
    <t>U3283827298</t>
  </si>
  <si>
    <t>CONJ-B.00.02-2.90.12</t>
  </si>
  <si>
    <t>Balón Ritmica Drb Verde Tamaño 7 Con Bombín Manual</t>
  </si>
  <si>
    <t>2406918561748795</t>
  </si>
  <si>
    <t>MLC1647748187</t>
  </si>
  <si>
    <t>U3278024719</t>
  </si>
  <si>
    <t>CONJ-3.00.30-2.90.11</t>
  </si>
  <si>
    <t>Balón De Básquet Drb Goma Naranja Con Bombín, Tamaño 7 Para Interior Y Exterior</t>
  </si>
  <si>
    <t>6371304563070320</t>
  </si>
  <si>
    <t>MLC1647841751</t>
  </si>
  <si>
    <t>U3278024723</t>
  </si>
  <si>
    <t>CONJ-3.00.28-2.90.11</t>
  </si>
  <si>
    <t>Balón Básquet Naranja Oscuro Drb Tamaño 7 Goma + Bombín Manual</t>
  </si>
  <si>
    <t>1706342450899400</t>
  </si>
  <si>
    <t>MLC1647864693</t>
  </si>
  <si>
    <t>U3283827304</t>
  </si>
  <si>
    <t>CONJ-3.00.40-2.90.11</t>
  </si>
  <si>
    <t>Balón Básquet Drb Naranja Tamaño 6 + Bombín Manual Goma Indoor Outdoor</t>
  </si>
  <si>
    <t>6500261543068314</t>
  </si>
  <si>
    <t>MLC1698680325</t>
  </si>
  <si>
    <t>U3420754385</t>
  </si>
  <si>
    <t>4.10.00</t>
  </si>
  <si>
    <t>Pizarra Blanca Volley</t>
  </si>
  <si>
    <t>6461505881052820</t>
  </si>
  <si>
    <t>MLC1702892233</t>
  </si>
  <si>
    <t>U3440540560</t>
  </si>
  <si>
    <t>2.00.78</t>
  </si>
  <si>
    <t>Balon Futbol Drb 2.00.78 Lic M.city Black</t>
  </si>
  <si>
    <t>6112526438235541</t>
  </si>
  <si>
    <t>MLC1702918287</t>
  </si>
  <si>
    <t>U3433877071</t>
  </si>
  <si>
    <t>2.00.76</t>
  </si>
  <si>
    <t>Balon Futbol Drb 2.00.76 Lic Barce Black</t>
  </si>
  <si>
    <t>1919354965214413</t>
  </si>
  <si>
    <t>MLC1703133297</t>
  </si>
  <si>
    <t>U3433873849</t>
  </si>
  <si>
    <t>2.00.80</t>
  </si>
  <si>
    <t>Balon Futbol Drb 2.00.80 Mundial Femenino</t>
  </si>
  <si>
    <t>924312190844638</t>
  </si>
  <si>
    <t>MLC1703765307</t>
  </si>
  <si>
    <t>U3436561991</t>
  </si>
  <si>
    <t>4.00.12</t>
  </si>
  <si>
    <t>Balon Volley Drb 4.00.12 S.touch 7.0 Pro</t>
  </si>
  <si>
    <t>1493367847301949</t>
  </si>
  <si>
    <t>MLC1704844747</t>
  </si>
  <si>
    <t>U3445662024</t>
  </si>
  <si>
    <t>2.80.82-BL-S</t>
  </si>
  <si>
    <t>Canillera Drb 2.80.82-bl-s Cup 2.0 Blanco S</t>
  </si>
  <si>
    <t>6272477201180972</t>
  </si>
  <si>
    <t>MLC1710688447</t>
  </si>
  <si>
    <t>U3453546989</t>
  </si>
  <si>
    <t>V.00.14</t>
  </si>
  <si>
    <t>Guante Box Dama 12 Oz Drb V.00.14</t>
  </si>
  <si>
    <t>12 Oz Blanco</t>
  </si>
  <si>
    <t>1159356625569112</t>
  </si>
  <si>
    <t>MLC1710739605</t>
  </si>
  <si>
    <t>U3460253320</t>
  </si>
  <si>
    <t>2.90.85</t>
  </si>
  <si>
    <t>Malla Para Balon 25 Unid (2gr) Drb 2.90.85</t>
  </si>
  <si>
    <t>1465472887345974</t>
  </si>
  <si>
    <t>MLC1710740207</t>
  </si>
  <si>
    <t>U3453546987</t>
  </si>
  <si>
    <t>V.00.12</t>
  </si>
  <si>
    <t>Guante Box Dama 8 Oz Drb V.00.12</t>
  </si>
  <si>
    <t>8 Oz Blanco</t>
  </si>
  <si>
    <t>7842325703282046</t>
  </si>
  <si>
    <t>MLC1710753331</t>
  </si>
  <si>
    <t>U3460289610</t>
  </si>
  <si>
    <t>V.00.13</t>
  </si>
  <si>
    <t>Guante Box Dama 10 Oz Drb V.00.13</t>
  </si>
  <si>
    <t>10 Oz Blanco</t>
  </si>
  <si>
    <t>2604289605020313</t>
  </si>
  <si>
    <t>MLC1710792239</t>
  </si>
  <si>
    <t>U3460289616</t>
  </si>
  <si>
    <t>6.00.22</t>
  </si>
  <si>
    <t>Palo  Hockey Glassy 38  Simbra 6.00.22</t>
  </si>
  <si>
    <t>38 "</t>
  </si>
  <si>
    <t>7266409103887858</t>
  </si>
  <si>
    <t>MLC2733278698</t>
  </si>
  <si>
    <t>U2188779886</t>
  </si>
  <si>
    <t>1.60.21</t>
  </si>
  <si>
    <t>Pelota Tenis Punto Drb 1.60.21 - X 3 Un Verde</t>
  </si>
  <si>
    <t>1944512360955749</t>
  </si>
  <si>
    <t>MLC2733291668</t>
  </si>
  <si>
    <t>U2184193373</t>
  </si>
  <si>
    <t>1.60.22</t>
  </si>
  <si>
    <t>Pelota Tenis Punto Drb 1.60.22 - X 3 Un Naranj</t>
  </si>
  <si>
    <t>8526623188454599</t>
  </si>
  <si>
    <t>MLC2733291670</t>
  </si>
  <si>
    <t>U2184194575</t>
  </si>
  <si>
    <t>1.60.04</t>
  </si>
  <si>
    <t>Pelotas Tenis Drb 1.60.04 - Tarro Pro 3 Und</t>
  </si>
  <si>
    <t>1163239672516559</t>
  </si>
  <si>
    <t>MLC2733304460</t>
  </si>
  <si>
    <t>U2188782330</t>
  </si>
  <si>
    <t>1.60.10</t>
  </si>
  <si>
    <t>Pelota Tenis Penn Drb 1.60.10</t>
  </si>
  <si>
    <t>7993948828690539</t>
  </si>
  <si>
    <t>MLC2733316994</t>
  </si>
  <si>
    <t>U2183793001</t>
  </si>
  <si>
    <t>C.00.01</t>
  </si>
  <si>
    <t>Pala Pádel Nimbus Drb C.00.01 - Glass</t>
  </si>
  <si>
    <t>2754708311044353</t>
  </si>
  <si>
    <t>MLC2733317216</t>
  </si>
  <si>
    <t>U2184193365</t>
  </si>
  <si>
    <t>1.60.06</t>
  </si>
  <si>
    <t>Pelota Tenis Drb 1.60.06 - Sufix Championship 3 Und</t>
  </si>
  <si>
    <t>2132031825281417</t>
  </si>
  <si>
    <t>MLC2733342950</t>
  </si>
  <si>
    <t>U2184193361</t>
  </si>
  <si>
    <t>1.60.20</t>
  </si>
  <si>
    <t>Pelota Tenis Punto Drb 1.60.20 - X 48 Un Rojo</t>
  </si>
  <si>
    <t>7529642387692485</t>
  </si>
  <si>
    <t>MLC2733367898</t>
  </si>
  <si>
    <t>U2184194573</t>
  </si>
  <si>
    <t>1.60.05</t>
  </si>
  <si>
    <t>Pelotas Tenis Drb 1.60.05 - Sufix Practice 3 Und</t>
  </si>
  <si>
    <t>8120968952450241</t>
  </si>
  <si>
    <t>MLC2737393530</t>
  </si>
  <si>
    <t>U2289141272</t>
  </si>
  <si>
    <t>9.00.03</t>
  </si>
  <si>
    <t>Venda Dribbling Drb 9.00.03 10 Cm Clásica</t>
  </si>
  <si>
    <t>5512375959154991</t>
  </si>
  <si>
    <t>MLC2737393544</t>
  </si>
  <si>
    <t>U2289146242</t>
  </si>
  <si>
    <t>9.10.02-L</t>
  </si>
  <si>
    <t>Munequera Neoprene Drb 9.10.02 - Talla L</t>
  </si>
  <si>
    <t>1199573097205435</t>
  </si>
  <si>
    <t>MLC2737458014</t>
  </si>
  <si>
    <t>U2284502963</t>
  </si>
  <si>
    <t>9.00.08</t>
  </si>
  <si>
    <t>Venda Dribbling Drb 9.00.08 6 Cm X 120 Un</t>
  </si>
  <si>
    <t>1561896454788019</t>
  </si>
  <si>
    <t>MLC2737470250</t>
  </si>
  <si>
    <t>U2289148222</t>
  </si>
  <si>
    <t>9.00.02</t>
  </si>
  <si>
    <t>Venda Dribbling Drb 9.00.02 8 Cm Clásica</t>
  </si>
  <si>
    <t>289419929437733</t>
  </si>
  <si>
    <t>MLC2737470258</t>
  </si>
  <si>
    <t>U2289150698</t>
  </si>
  <si>
    <t>9.00.01</t>
  </si>
  <si>
    <t>Venda Dribbling Drb 9.00.01 6 Cm Clásica</t>
  </si>
  <si>
    <t>6423910868857028</t>
  </si>
  <si>
    <t>MLC2737557500</t>
  </si>
  <si>
    <t>U2289144734</t>
  </si>
  <si>
    <t>9.10.02-S</t>
  </si>
  <si>
    <t>Munequera Neoprene Drb 9.10.02 - Talla S</t>
  </si>
  <si>
    <t>4898794847261175</t>
  </si>
  <si>
    <t>MLC2737668204</t>
  </si>
  <si>
    <t>U2296906258</t>
  </si>
  <si>
    <t>3.00.44</t>
  </si>
  <si>
    <t>Balon Basquet Drb 3.00.44 - #5 Glow</t>
  </si>
  <si>
    <t>7025274228784042</t>
  </si>
  <si>
    <t>MLC2737866500</t>
  </si>
  <si>
    <t>U2296954338</t>
  </si>
  <si>
    <t>3.00.48</t>
  </si>
  <si>
    <t>Balon Basquet Drb 3.00.48 #7 Glow</t>
  </si>
  <si>
    <t>1910459988212226</t>
  </si>
  <si>
    <t>MLC2739399202</t>
  </si>
  <si>
    <t>U2312171211</t>
  </si>
  <si>
    <t>5.10.23-CEL</t>
  </si>
  <si>
    <t>Lente Odissey X 24 Un</t>
  </si>
  <si>
    <t>8001608379036585</t>
  </si>
  <si>
    <t>MLC2739412298</t>
  </si>
  <si>
    <t>U2316778430</t>
  </si>
  <si>
    <t>5.10.24-AZU</t>
  </si>
  <si>
    <t>Lente Generation X 24 Unid</t>
  </si>
  <si>
    <t>4124451691140059</t>
  </si>
  <si>
    <t>MLC2739412306</t>
  </si>
  <si>
    <t>U2312127535</t>
  </si>
  <si>
    <t>5.00.10</t>
  </si>
  <si>
    <t>Gorra Natacion Drb 5.00.10 - Poliflex</t>
  </si>
  <si>
    <t>5799226201719910</t>
  </si>
  <si>
    <t>MLC2739438156</t>
  </si>
  <si>
    <t>U2316825688</t>
  </si>
  <si>
    <t>5.10.25-NEG</t>
  </si>
  <si>
    <t>Lente Acuatic Gold</t>
  </si>
  <si>
    <t>1780011770477686</t>
  </si>
  <si>
    <t>MLC2739463940</t>
  </si>
  <si>
    <t>U2312126907</t>
  </si>
  <si>
    <t>5.10.53-CEL</t>
  </si>
  <si>
    <t>Lente Junior Champ Drb 5.10.53 - X 24 Unidades</t>
  </si>
  <si>
    <t>6923809214126008</t>
  </si>
  <si>
    <t>MLC2739476946</t>
  </si>
  <si>
    <t>U2312142017</t>
  </si>
  <si>
    <t>5.10.07-AZU</t>
  </si>
  <si>
    <t>Lente Generation</t>
  </si>
  <si>
    <t>4223094489821253</t>
  </si>
  <si>
    <t>MLC2739490392</t>
  </si>
  <si>
    <t>U2312317175</t>
  </si>
  <si>
    <t>5.00.25-AZU</t>
  </si>
  <si>
    <t>Gorra Natacion Lycra Nino X 24</t>
  </si>
  <si>
    <t>404330422496432</t>
  </si>
  <si>
    <t>MLC2740672306</t>
  </si>
  <si>
    <t>U2345047255</t>
  </si>
  <si>
    <t>R.40.01-BRR</t>
  </si>
  <si>
    <t>Bal Voley Reebok Royal 3</t>
  </si>
  <si>
    <t>8392252735589611</t>
  </si>
  <si>
    <t>MLC2755231256</t>
  </si>
  <si>
    <t>U2590463856</t>
  </si>
  <si>
    <t>1.80.00</t>
  </si>
  <si>
    <t>Grip Sufix Drb 1.80.00 - 3 Unidades</t>
  </si>
  <si>
    <t>4877166086725703</t>
  </si>
  <si>
    <t>MLC2756942302</t>
  </si>
  <si>
    <t>U2612658993</t>
  </si>
  <si>
    <t>A.00.10</t>
  </si>
  <si>
    <t>Balon Hand-ball Drb A.00.10 Grippest #1 C/</t>
  </si>
  <si>
    <t>5334012374081231</t>
  </si>
  <si>
    <t>MLC2757840674</t>
  </si>
  <si>
    <t>U2625746701</t>
  </si>
  <si>
    <t>6.00.61</t>
  </si>
  <si>
    <t>Palo Hockey Spirit Drb 6.00.61 - Talla 28</t>
  </si>
  <si>
    <t>2978182648513827</t>
  </si>
  <si>
    <t>MLC2757853654</t>
  </si>
  <si>
    <t>U2625846567</t>
  </si>
  <si>
    <t>6.00.37</t>
  </si>
  <si>
    <t>Palo Hockey Froze Simbra 6.00.37 - Talla 37,5</t>
  </si>
  <si>
    <t>833546893711238</t>
  </si>
  <si>
    <t>MLC2758106668</t>
  </si>
  <si>
    <t>U2631456042</t>
  </si>
  <si>
    <t>4.10.01</t>
  </si>
  <si>
    <t>Pizarra Drb 4.10.01 - Magnética Volley</t>
  </si>
  <si>
    <t>8992597439759715</t>
  </si>
  <si>
    <t>MLC2758111486</t>
  </si>
  <si>
    <t>U2627297275</t>
  </si>
  <si>
    <t>4.00.04</t>
  </si>
  <si>
    <t>Balon Volley Drb 4.00.04 Classic Italy</t>
  </si>
  <si>
    <t>8379742982856764</t>
  </si>
  <si>
    <t>MLC2758124244</t>
  </si>
  <si>
    <t>U2632196148</t>
  </si>
  <si>
    <t>4.00.03</t>
  </si>
  <si>
    <t>Balon Volley Drb 4.00.03 Classic 1.0 Az/am</t>
  </si>
  <si>
    <t>8405145833983670</t>
  </si>
  <si>
    <t>MLC2758234442</t>
  </si>
  <si>
    <t>U2637017458</t>
  </si>
  <si>
    <t>V.08.08-AM</t>
  </si>
  <si>
    <t>Cinturón Karate Drb Nivel Amarillo - V.08.08-am</t>
  </si>
  <si>
    <t>Amarillo Estándar</t>
  </si>
  <si>
    <t>6777818688041891</t>
  </si>
  <si>
    <t>MLC2758274672</t>
  </si>
  <si>
    <t>U2637027280</t>
  </si>
  <si>
    <t>V.06.14AM</t>
  </si>
  <si>
    <t>Venda Boxeo Drb V.06.14 - (par)</t>
  </si>
  <si>
    <t>MLC2764070468</t>
  </si>
  <si>
    <t>Pelota Mani Drb F.30.19 - 85 Cm</t>
  </si>
  <si>
    <t>182115263264</t>
  </si>
  <si>
    <t>F.30.19</t>
  </si>
  <si>
    <t>182115263266</t>
  </si>
  <si>
    <t>Violeta oscuro</t>
  </si>
  <si>
    <t>182115263268</t>
  </si>
  <si>
    <t>182115263270</t>
  </si>
  <si>
    <t>2503676313156450</t>
  </si>
  <si>
    <t>MLC2764083240</t>
  </si>
  <si>
    <t>U2705828398</t>
  </si>
  <si>
    <t>F.22.05</t>
  </si>
  <si>
    <t>Disco Fierro Drb F.22.05 - 5 Kg Caja 20 Kg</t>
  </si>
  <si>
    <t>1651786710235115</t>
  </si>
  <si>
    <t>MLC2764095648</t>
  </si>
  <si>
    <t>U2700923581</t>
  </si>
  <si>
    <t>F.22.09</t>
  </si>
  <si>
    <t>Disco Fierro Drb F.22.09 - 20 Kg Unid</t>
  </si>
  <si>
    <t>3776721294081334</t>
  </si>
  <si>
    <t>MLC2764108254</t>
  </si>
  <si>
    <t>U2705827146</t>
  </si>
  <si>
    <t>F.22.04</t>
  </si>
  <si>
    <t>Disco Fierro Drb F.22.04 - 4 Kg Caja 20 Kg</t>
  </si>
  <si>
    <t>4931091282739113</t>
  </si>
  <si>
    <t>MLC2764108590</t>
  </si>
  <si>
    <t>U2700937989</t>
  </si>
  <si>
    <t>F.30.52</t>
  </si>
  <si>
    <t>Power Band Drb F.30.52 - 22 × 4.5 × 2080 Mm</t>
  </si>
  <si>
    <t>2099106901253987</t>
  </si>
  <si>
    <t>MLC2764133368</t>
  </si>
  <si>
    <t>U2705827152</t>
  </si>
  <si>
    <t>F.22.01</t>
  </si>
  <si>
    <t>Disco Fierro Drb F.22.01 - 1 Kg Caja 20 Kg</t>
  </si>
  <si>
    <t>4615684407526941</t>
  </si>
  <si>
    <t>MLC2764133372</t>
  </si>
  <si>
    <t>U2705827202</t>
  </si>
  <si>
    <t>F.22.06</t>
  </si>
  <si>
    <t>Disco Fierro Drb F.22.06 - 7.5 Kg Caja 15 Kg</t>
  </si>
  <si>
    <t>4270335003197823</t>
  </si>
  <si>
    <t>MLC2764133508</t>
  </si>
  <si>
    <t>U2700923563</t>
  </si>
  <si>
    <t>F.22.08</t>
  </si>
  <si>
    <t>Disco Fierro Drb F.22.08 - 15 Kg Unid</t>
  </si>
  <si>
    <t>8872894451719977</t>
  </si>
  <si>
    <t>MLC2764158730</t>
  </si>
  <si>
    <t>U2705838402</t>
  </si>
  <si>
    <t>F.30.14</t>
  </si>
  <si>
    <t>Pelota Pilates Ecco Drb F.30.14 - 75 Cm</t>
  </si>
  <si>
    <t>3470095047275548</t>
  </si>
  <si>
    <t>MLC2766953782</t>
  </si>
  <si>
    <t>U2711597524</t>
  </si>
  <si>
    <t>9.70.15</t>
  </si>
  <si>
    <t>Protector Bucal Dama Drb 9.70.15 - Adulto × 48 Un</t>
  </si>
  <si>
    <t>1672771130407217</t>
  </si>
  <si>
    <t>MLC2767606236</t>
  </si>
  <si>
    <t>U2713528196</t>
  </si>
  <si>
    <t>D.00.11-NEG</t>
  </si>
  <si>
    <t>Tripack Media Negro</t>
  </si>
  <si>
    <t>4842245615666800</t>
  </si>
  <si>
    <t>MLC2767783824</t>
  </si>
  <si>
    <t>U2713965212</t>
  </si>
  <si>
    <t>5.10.06-AZ</t>
  </si>
  <si>
    <t>Lente Natacion Next</t>
  </si>
  <si>
    <t>2777721333847344</t>
  </si>
  <si>
    <t>MLC2767784112</t>
  </si>
  <si>
    <t>U2709047183</t>
  </si>
  <si>
    <t>5.10.14-AZ</t>
  </si>
  <si>
    <t>Lente Natacion Next X 24 Unid</t>
  </si>
  <si>
    <t>3601220735895328</t>
  </si>
  <si>
    <t>MLC2770278496</t>
  </si>
  <si>
    <t>U2712466617</t>
  </si>
  <si>
    <t>2.00.72</t>
  </si>
  <si>
    <t>Balon Baby Official Drb</t>
  </si>
  <si>
    <t>6945770200125007</t>
  </si>
  <si>
    <t>MLC2770291496</t>
  </si>
  <si>
    <t>U2717392314</t>
  </si>
  <si>
    <t>2.00.07</t>
  </si>
  <si>
    <t>Balon Futbolito Tornado #4</t>
  </si>
  <si>
    <t>7966821656190537</t>
  </si>
  <si>
    <t>MLC2770304328</t>
  </si>
  <si>
    <t>U2712466257</t>
  </si>
  <si>
    <t>2.00.17</t>
  </si>
  <si>
    <t>Balon Futbol Drb 2.00.17 - Polaris #5</t>
  </si>
  <si>
    <t>5947582894762868</t>
  </si>
  <si>
    <t>MLC2770317256</t>
  </si>
  <si>
    <t>U2712466601</t>
  </si>
  <si>
    <t>2.00.18</t>
  </si>
  <si>
    <t>Balon Futbol Drb 2.00.18 - Lynx #5</t>
  </si>
  <si>
    <t>MLC2770330092</t>
  </si>
  <si>
    <t>Balon Futbol Drb 2.00.03 Real #4</t>
  </si>
  <si>
    <t>182156390744</t>
  </si>
  <si>
    <t>2.00.03</t>
  </si>
  <si>
    <t>182156390746</t>
  </si>
  <si>
    <t>182156390748</t>
  </si>
  <si>
    <t>2812495481327954</t>
  </si>
  <si>
    <t>MLC2772733674</t>
  </si>
  <si>
    <t>U2729393597</t>
  </si>
  <si>
    <t>2.00.56</t>
  </si>
  <si>
    <t>Balon Futbol Drb 2.00.56 - Lic. Barcelona</t>
  </si>
  <si>
    <t>3856005117069802</t>
  </si>
  <si>
    <t>MLC2772733676</t>
  </si>
  <si>
    <t>U2729396705</t>
  </si>
  <si>
    <t>2.00.51</t>
  </si>
  <si>
    <t>Balon Futbol Drb 2.00.51 - Lic Manchester City</t>
  </si>
  <si>
    <t>3484516330450129</t>
  </si>
  <si>
    <t>MLC2772759402</t>
  </si>
  <si>
    <t>U2729397381</t>
  </si>
  <si>
    <t>2.00.55</t>
  </si>
  <si>
    <t>Balon Futbol Lic Juventus</t>
  </si>
  <si>
    <t>919366642966581</t>
  </si>
  <si>
    <t>MLC2772796998</t>
  </si>
  <si>
    <t>U2729395381</t>
  </si>
  <si>
    <t>2.00.15</t>
  </si>
  <si>
    <t>Balon Futbol Drb 2.00.15 - Chile #4</t>
  </si>
  <si>
    <t>7972577566044280</t>
  </si>
  <si>
    <t>MLC2773039960</t>
  </si>
  <si>
    <t>U2732078475</t>
  </si>
  <si>
    <t>2.80.46</t>
  </si>
  <si>
    <t>Canillera Drb 2.80.46 High Manchester    S</t>
  </si>
  <si>
    <t>424553078525276</t>
  </si>
  <si>
    <t>MLC2773152116</t>
  </si>
  <si>
    <t>U2736990644</t>
  </si>
  <si>
    <t>2.80.47</t>
  </si>
  <si>
    <t>Canillera Drb 2.80.47 High Manchester M</t>
  </si>
  <si>
    <t>8481703443426477</t>
  </si>
  <si>
    <t>MLC2774610310</t>
  </si>
  <si>
    <t>U2742312086</t>
  </si>
  <si>
    <t>2.80.73-XS</t>
  </si>
  <si>
    <t>Canillera Licencia Juventus Xs</t>
  </si>
  <si>
    <t>8659558993368896</t>
  </si>
  <si>
    <t>MLC2774648644</t>
  </si>
  <si>
    <t>U2742257174</t>
  </si>
  <si>
    <t>2.80.75-M</t>
  </si>
  <si>
    <t>Canillera Licencia Juventus M</t>
  </si>
  <si>
    <t>3495986514580763</t>
  </si>
  <si>
    <t>MLC2774674688</t>
  </si>
  <si>
    <t>U2737324501</t>
  </si>
  <si>
    <t>2.80.74-S</t>
  </si>
  <si>
    <t>Canillera Licencia Juventus S</t>
  </si>
  <si>
    <t>4117523954235851</t>
  </si>
  <si>
    <t>MLC2776605882</t>
  </si>
  <si>
    <t>U2752027030</t>
  </si>
  <si>
    <t>2.80.76</t>
  </si>
  <si>
    <t>Canillera Drb 2.80.76 - Qatar Classic</t>
  </si>
  <si>
    <t>8304219000227687</t>
  </si>
  <si>
    <t>MLC2777766568</t>
  </si>
  <si>
    <t>U2764385022</t>
  </si>
  <si>
    <t>2.20.01-BCO-AZL</t>
  </si>
  <si>
    <t>Media Adulto Comb Drb 2.20.01 Bco Azulin</t>
  </si>
  <si>
    <t>2368816477772409</t>
  </si>
  <si>
    <t>MLC2777771776</t>
  </si>
  <si>
    <t>U2764910776</t>
  </si>
  <si>
    <t>2.20.00-AM</t>
  </si>
  <si>
    <t>Media Adulto Drb 2.20.00 - Lisa Amarillo</t>
  </si>
  <si>
    <t>6732966852029678</t>
  </si>
  <si>
    <t>MLC2777792136</t>
  </si>
  <si>
    <t>U2759417423</t>
  </si>
  <si>
    <t>2.20.01-ROJ-BCO</t>
  </si>
  <si>
    <t>Media Adulto Comb Drb 2.20.01 Rojo Bco</t>
  </si>
  <si>
    <t>8565539375697460</t>
  </si>
  <si>
    <t>MLC2777792188</t>
  </si>
  <si>
    <t>U2759421381</t>
  </si>
  <si>
    <t>2.20.01-NE-BCO</t>
  </si>
  <si>
    <t>Media Adulto Comb Drb 2.20.01 Negro Bco</t>
  </si>
  <si>
    <t>2453385970039318</t>
  </si>
  <si>
    <t>MLC2777797300</t>
  </si>
  <si>
    <t>U2764912648</t>
  </si>
  <si>
    <t>2.20.00-BCO</t>
  </si>
  <si>
    <t>Media Adulto Drb 2.20.00 - Lisa Blanco</t>
  </si>
  <si>
    <t>1237292526404641</t>
  </si>
  <si>
    <t>MLC2777797302</t>
  </si>
  <si>
    <t>U2764910762</t>
  </si>
  <si>
    <t>2.20.00-AZL</t>
  </si>
  <si>
    <t>Media Adulto Drb 2.20.00 - Lisa Azulino</t>
  </si>
  <si>
    <t>6482741153180602</t>
  </si>
  <si>
    <t>MLC2777797304</t>
  </si>
  <si>
    <t>U2764912658</t>
  </si>
  <si>
    <t>2.20.00-NAR-NEON</t>
  </si>
  <si>
    <t>Media Adulto Drb 2.20.00 - Lisa Naranjo Neon</t>
  </si>
  <si>
    <t>2179321653609140</t>
  </si>
  <si>
    <t>MLC2777817090</t>
  </si>
  <si>
    <t>U2764912654</t>
  </si>
  <si>
    <t>2.20.00-NAR</t>
  </si>
  <si>
    <t>Media Adulto Drb 2.20.00 - Lisa Naranjo</t>
  </si>
  <si>
    <t>549505779676352</t>
  </si>
  <si>
    <t>MLC2777820410</t>
  </si>
  <si>
    <t>U2760305179</t>
  </si>
  <si>
    <t>2.20.00-VER-NEON</t>
  </si>
  <si>
    <t>Media Adulto Drb 2.20.00 - Lisa Verde Neon</t>
  </si>
  <si>
    <t>5570908386328288</t>
  </si>
  <si>
    <t>MLC2777820424</t>
  </si>
  <si>
    <t>U2765268380</t>
  </si>
  <si>
    <t>2.20.00-VER</t>
  </si>
  <si>
    <t>Media Adulto Drb 2.20.00 - Lisa Verde</t>
  </si>
  <si>
    <t>4412319045041896</t>
  </si>
  <si>
    <t>MLC2777823308</t>
  </si>
  <si>
    <t>U2760568105</t>
  </si>
  <si>
    <t>2.20.07-AZM</t>
  </si>
  <si>
    <t>Media Infantil Drb 2.20.07 - Lisa Azul Marin</t>
  </si>
  <si>
    <t>8242790346152860</t>
  </si>
  <si>
    <t>MLC2777830056</t>
  </si>
  <si>
    <t>U2764910772</t>
  </si>
  <si>
    <t>2.20.00-LL</t>
  </si>
  <si>
    <t>Media Adulto Drb 2.20.00 - Lisa Lila</t>
  </si>
  <si>
    <t>6377399429764536</t>
  </si>
  <si>
    <t>MLC2777833436</t>
  </si>
  <si>
    <t>U2760296845</t>
  </si>
  <si>
    <t>2.20.08-NE-BCO</t>
  </si>
  <si>
    <t>Media Infantil Comb Drb 2.20.08 Negro Bco</t>
  </si>
  <si>
    <t>6224157973354124</t>
  </si>
  <si>
    <t>MLC2777843202</t>
  </si>
  <si>
    <t>U2764910770</t>
  </si>
  <si>
    <t>2.20.00-FU-NEON</t>
  </si>
  <si>
    <t>Media Adulto Drb 2.20.00 - Lisa Fucsia Neon</t>
  </si>
  <si>
    <t>835196929806708</t>
  </si>
  <si>
    <t>MLC2777849428</t>
  </si>
  <si>
    <t>U2760568103</t>
  </si>
  <si>
    <t>2.20.07-NAR</t>
  </si>
  <si>
    <t>Media Infantil Drb 2.20.07 - Lisa Naranjo</t>
  </si>
  <si>
    <t>5077195497348534</t>
  </si>
  <si>
    <t>MLC2777905526</t>
  </si>
  <si>
    <t>U2764910764</t>
  </si>
  <si>
    <t>2.20.00-ROJ</t>
  </si>
  <si>
    <t>Media Adulto Drb 2.20.00 - Lisa Rojo</t>
  </si>
  <si>
    <t>8752684677867847</t>
  </si>
  <si>
    <t>MLC2777918436</t>
  </si>
  <si>
    <t>U2764912656</t>
  </si>
  <si>
    <t>2.20.00-NE</t>
  </si>
  <si>
    <t>Media Adulto Drb 2.20.00 - Lisa Negro</t>
  </si>
  <si>
    <t>2260505854274177</t>
  </si>
  <si>
    <t>MLC2777921646</t>
  </si>
  <si>
    <t>U2760300329</t>
  </si>
  <si>
    <t>2.20.08-VER-BCO</t>
  </si>
  <si>
    <t>Media Infantil Comb Drb 2.20.08 Verde Bco</t>
  </si>
  <si>
    <t>869465727915786</t>
  </si>
  <si>
    <t>MLC2777921658</t>
  </si>
  <si>
    <t>U2765262062</t>
  </si>
  <si>
    <t>2.20.08-AZL-BCO</t>
  </si>
  <si>
    <t>Media Infantil Comb Drb 2.20.08 Azuln Bco</t>
  </si>
  <si>
    <t>3038500521425823</t>
  </si>
  <si>
    <t>MLC2778132564</t>
  </si>
  <si>
    <t>U2764155513</t>
  </si>
  <si>
    <t>2.10.22</t>
  </si>
  <si>
    <t>Peto Deportivo Junior Drb 2.10.22 - C/elástico × 100 Un</t>
  </si>
  <si>
    <t>8410748359254891</t>
  </si>
  <si>
    <t>MLC2778772244</t>
  </si>
  <si>
    <t>U2773667049</t>
  </si>
  <si>
    <t>2.90.91</t>
  </si>
  <si>
    <t>Red Fútbol Drb 2.90.91 - Pe 2.7 Mm 035</t>
  </si>
  <si>
    <t>6907189993577680</t>
  </si>
  <si>
    <t>MLC2778785120</t>
  </si>
  <si>
    <t>U2778635748</t>
  </si>
  <si>
    <t>2.90.90</t>
  </si>
  <si>
    <t>Red Fútbol Drb 2.90.90 - Pe 2.0 Mm Hex 041</t>
  </si>
  <si>
    <t>5545450916862777</t>
  </si>
  <si>
    <t>MLC2778845762</t>
  </si>
  <si>
    <t>U2774011635</t>
  </si>
  <si>
    <t>2.90.00</t>
  </si>
  <si>
    <t>Tablero Drb 2.90.00 -  Sustitucion Simple</t>
  </si>
  <si>
    <t>MLC2780507406</t>
  </si>
  <si>
    <t>Short Dama C/lycra Negro</t>
  </si>
  <si>
    <t>182253077556</t>
  </si>
  <si>
    <t>2.40.38-NE-XL</t>
  </si>
  <si>
    <t>182253077550</t>
  </si>
  <si>
    <t>2.40.38-NE-L</t>
  </si>
  <si>
    <t>182253077552</t>
  </si>
  <si>
    <t>2.40.38-NE-M</t>
  </si>
  <si>
    <t>182253077554</t>
  </si>
  <si>
    <t>2.40.38-NE-S</t>
  </si>
  <si>
    <t>MLC2780545326</t>
  </si>
  <si>
    <t>Short Dama Drb 2.40.39 - Liso Negro</t>
  </si>
  <si>
    <t>182253017966</t>
  </si>
  <si>
    <t>2.40.39-NE-XL</t>
  </si>
  <si>
    <t>182253017964</t>
  </si>
  <si>
    <t>2.40.39-NE-S</t>
  </si>
  <si>
    <t>182253017962</t>
  </si>
  <si>
    <t>2.40.39-NE-M</t>
  </si>
  <si>
    <t>182253017960</t>
  </si>
  <si>
    <t>2.40.39-NE-L</t>
  </si>
  <si>
    <t>7320673142395050</t>
  </si>
  <si>
    <t>MLC2780767836</t>
  </si>
  <si>
    <t>U2803220503</t>
  </si>
  <si>
    <t>8.00.60</t>
  </si>
  <si>
    <t>Paleta Pp Drb 8.00.60 - 80053 Lapicero Entr.</t>
  </si>
  <si>
    <t>7179207173753849</t>
  </si>
  <si>
    <t>MLC2780792814</t>
  </si>
  <si>
    <t>U2803220499</t>
  </si>
  <si>
    <t>8.00.41</t>
  </si>
  <si>
    <t>Paleta Ping Pong Drb 8.00.41</t>
  </si>
  <si>
    <t>8424873367846533</t>
  </si>
  <si>
    <t>MLC2780792816</t>
  </si>
  <si>
    <t>U2808189618</t>
  </si>
  <si>
    <t>8.00.40-ROJ</t>
  </si>
  <si>
    <t>Paleta P.pong 80190 Entrenamiento</t>
  </si>
  <si>
    <t>Roja St (recto)</t>
  </si>
  <si>
    <t>8851588542111703</t>
  </si>
  <si>
    <t>MLC2780804550</t>
  </si>
  <si>
    <t>U2808189606</t>
  </si>
  <si>
    <t>8.00.50</t>
  </si>
  <si>
    <t>Paleta Pp Drb 8.00.50 - 20205 Competición</t>
  </si>
  <si>
    <t>587633802073138</t>
  </si>
  <si>
    <t>MLC2780817246</t>
  </si>
  <si>
    <t>U2803220501</t>
  </si>
  <si>
    <t>8.00.61-AMA</t>
  </si>
  <si>
    <t>Paleta P.pong 80054 Lapicero Comp.</t>
  </si>
  <si>
    <t>7248098808986279</t>
  </si>
  <si>
    <t>MLC2786239968</t>
  </si>
  <si>
    <t>U2841778689</t>
  </si>
  <si>
    <t>2.20.01</t>
  </si>
  <si>
    <t>Media Adulto Combinado</t>
  </si>
  <si>
    <t>MLC2791561694</t>
  </si>
  <si>
    <t>Paleta P.pong Sensei 3* Color Negro Tipo De Mango St (recto)</t>
  </si>
  <si>
    <t>1137339515714709</t>
  </si>
  <si>
    <t>MLC2793216046</t>
  </si>
  <si>
    <t>U2808190532</t>
  </si>
  <si>
    <t>8.00.32</t>
  </si>
  <si>
    <t>Paleta P.pong 80130 Recreacion Color Amarillo Tipo De Mango St (recto)</t>
  </si>
  <si>
    <t>6794995431044772</t>
  </si>
  <si>
    <t>MLC2837899054</t>
  </si>
  <si>
    <t>U2977493861</t>
  </si>
  <si>
    <t>2.90.84</t>
  </si>
  <si>
    <t>Red Baby-handbol Drb 2.90.84 - Pe 2.5 Mm 057</t>
  </si>
  <si>
    <t>MLC2840745128</t>
  </si>
  <si>
    <t>MLC2878394202</t>
  </si>
  <si>
    <t>MLC2949587120</t>
  </si>
  <si>
    <t>Pelota Mani 85 Cm.gris Gris</t>
  </si>
  <si>
    <t>MLC2954381366</t>
  </si>
  <si>
    <t>Pack Media Juvenil 2.20.17 Antideslizante</t>
  </si>
  <si>
    <t>188799412637</t>
  </si>
  <si>
    <t>PACK-2.20.17-AZM-AZ</t>
  </si>
  <si>
    <t>188799412639</t>
  </si>
  <si>
    <t>PACK-2.20.17-CE-NE</t>
  </si>
  <si>
    <t>188799412641</t>
  </si>
  <si>
    <t>PACK-2.20.17-RO-AZM</t>
  </si>
  <si>
    <t>rojo - azul marino</t>
  </si>
  <si>
    <t>4290206617713622</t>
  </si>
  <si>
    <t>MLC2956072474</t>
  </si>
  <si>
    <t>U3271261491</t>
  </si>
  <si>
    <t>CONJ-1.00.17-1.60.10</t>
  </si>
  <si>
    <t>Raqueta Tenis Sufix + Pelota 00.60 Conquer</t>
  </si>
  <si>
    <t>6860273960391311</t>
  </si>
  <si>
    <t>MLC2956085458</t>
  </si>
  <si>
    <t>U3277060478</t>
  </si>
  <si>
    <t>CONJ-8.00.00-8.10.21</t>
  </si>
  <si>
    <t>Paleta Pp Sensei #1 + Pelota Pp #1 00.10 X6u</t>
  </si>
  <si>
    <t>963817423511265</t>
  </si>
  <si>
    <t>MLC2956085460</t>
  </si>
  <si>
    <t>U3271261497</t>
  </si>
  <si>
    <t>CONJ-F.30.05-F.30.06</t>
  </si>
  <si>
    <t>Bandas Elásticas F.30 Resistencia Suave/media</t>
  </si>
  <si>
    <t>Amarilla-roja</t>
  </si>
  <si>
    <t>1234917318784706</t>
  </si>
  <si>
    <t>MLC2956110794</t>
  </si>
  <si>
    <t>U3277059030</t>
  </si>
  <si>
    <t>CONJ-1.00.92-1.60.10</t>
  </si>
  <si>
    <t>Raqueta Tenis Sufix + Pelota 00.60 Nano Tour</t>
  </si>
  <si>
    <t>MLC2956215886</t>
  </si>
  <si>
    <t>Tripack Media Adulto Drb 2.20.17 - Antideslizante Juv</t>
  </si>
  <si>
    <t>184166153252</t>
  </si>
  <si>
    <t>2.20.17-TRIPACK-CE-NE-AZ</t>
  </si>
  <si>
    <t>celeste - negro - azulino</t>
  </si>
  <si>
    <t>184166153250</t>
  </si>
  <si>
    <t>2.20.17-TRIPACK-AZM-AZL-RO</t>
  </si>
  <si>
    <t>184166153254</t>
  </si>
  <si>
    <t>2.20.17-TRIPACK-RO-AZM-NE</t>
  </si>
  <si>
    <t>rojo - azul marino - negro</t>
  </si>
  <si>
    <t>MLC2956291478</t>
  </si>
  <si>
    <t>Tripack Media Adulto Drb 2.20.16 - Antideslizante</t>
  </si>
  <si>
    <t>184166120636</t>
  </si>
  <si>
    <t>2.20.16-TRIPACK-NE-RO-AZ</t>
  </si>
  <si>
    <t>negro - rojo - azulino</t>
  </si>
  <si>
    <t>184166120632</t>
  </si>
  <si>
    <t>2.20.16-TRIPACK-AZM-AZL-BL</t>
  </si>
  <si>
    <t>azul marino - azulino - blanco</t>
  </si>
  <si>
    <t>184166120634</t>
  </si>
  <si>
    <t>2.20.16-TRIPACK-BL-CE-NE</t>
  </si>
  <si>
    <t>blanco - celeste - negro</t>
  </si>
  <si>
    <t>6889947238807761</t>
  </si>
  <si>
    <t>MLC2961892750</t>
  </si>
  <si>
    <t>U3278024707</t>
  </si>
  <si>
    <t>CONJ-4.00.03-2.90.11</t>
  </si>
  <si>
    <t>Balón Voley + Bombin Drb 00.90 Classic 1.0 Az/am</t>
  </si>
  <si>
    <t>2773750356635265</t>
  </si>
  <si>
    <t>MLC2961892752</t>
  </si>
  <si>
    <t>U3278024721</t>
  </si>
  <si>
    <t>CONJ-2.00.07-2.90.11</t>
  </si>
  <si>
    <t>Balón Futbolito + Bombin Drb 00.90 Tornado #4</t>
  </si>
  <si>
    <t>MLC2961892754</t>
  </si>
  <si>
    <t>Balón Basquet Drb + Bombín Drb 00.90 Pu #7</t>
  </si>
  <si>
    <t>2795665796069952</t>
  </si>
  <si>
    <t>MLC2961892758</t>
  </si>
  <si>
    <t>U3278022843</t>
  </si>
  <si>
    <t>CONJ-2.00.24-2.90.11</t>
  </si>
  <si>
    <t>Balón Futbol + Bombin Drb 00.90 Prime #5</t>
  </si>
  <si>
    <t>8614564467115621</t>
  </si>
  <si>
    <t>MLC2961892760</t>
  </si>
  <si>
    <t>U3283827306</t>
  </si>
  <si>
    <t>CONJ-4.00.04-2.90.11</t>
  </si>
  <si>
    <t>Balón Voley + Bombin Drb 00.90 Classic Italy</t>
  </si>
  <si>
    <t>MLC2961892764</t>
  </si>
  <si>
    <t>Conjunto Canillera Y Media Adulto 80.20 Psg</t>
  </si>
  <si>
    <t>184204420588</t>
  </si>
  <si>
    <t>CONJ-2.80.67-2.20.00AZM</t>
  </si>
  <si>
    <t>184204420590</t>
  </si>
  <si>
    <t>CONJ-2.80.66-2.20.00AZM</t>
  </si>
  <si>
    <t>184204420592</t>
  </si>
  <si>
    <t>CONJ-2.80.65-2.20.00AZM</t>
  </si>
  <si>
    <t>6926199550037568</t>
  </si>
  <si>
    <t>MLC2961905094</t>
  </si>
  <si>
    <t>U3278024711</t>
  </si>
  <si>
    <t>CONJ-2.00.11-2.90.12</t>
  </si>
  <si>
    <t>Balón Futbol + Bombin Drb 00.90 Star #3</t>
  </si>
  <si>
    <t>Blanco-amarillo</t>
  </si>
  <si>
    <t>MLC2961905096</t>
  </si>
  <si>
    <t>Conjunto Canillera Y Media Adulto 80.20 Barcelona</t>
  </si>
  <si>
    <t>184204431716</t>
  </si>
  <si>
    <t>CONJ-2.80.70-2.20.00AZL</t>
  </si>
  <si>
    <t>184204431718</t>
  </si>
  <si>
    <t>CONJ-2.80.69-2.20.00AZL</t>
  </si>
  <si>
    <t>184204431720</t>
  </si>
  <si>
    <t>CONJ-2.80.68-2.20.00AZL</t>
  </si>
  <si>
    <t>MLC2961905098</t>
  </si>
  <si>
    <t>Conjunto Canillera C/tobill Y Media Adulto 80.20 Eurostar</t>
  </si>
  <si>
    <t>184204431722</t>
  </si>
  <si>
    <t>CONJ-2.80.36-2.20.01BR</t>
  </si>
  <si>
    <t>184204431724</t>
  </si>
  <si>
    <t>CONJ-2.80.35-2.20.01BV</t>
  </si>
  <si>
    <t>XS / Negro</t>
  </si>
  <si>
    <t>MLC2961905100</t>
  </si>
  <si>
    <t>184204431726</t>
  </si>
  <si>
    <t>CONJ-2.80.31A-2.20.01BA</t>
  </si>
  <si>
    <t>184204431728</t>
  </si>
  <si>
    <t>CONJ-2.80.31R-2.20.01BA</t>
  </si>
  <si>
    <t>184204431730</t>
  </si>
  <si>
    <t>CONJ-2.80.31B-2.20.01BA</t>
  </si>
  <si>
    <t>MLC2961917604</t>
  </si>
  <si>
    <t>Conjunto Canillera Y Media Adulto 80.20 River</t>
  </si>
  <si>
    <t>184204442052</t>
  </si>
  <si>
    <t>CONJ-2.80.57-2.20.00BL</t>
  </si>
  <si>
    <t>184204442054</t>
  </si>
  <si>
    <t>CONJ-2.80.56-2.20.00CL</t>
  </si>
  <si>
    <t>184204442056</t>
  </si>
  <si>
    <t>CONJ.2.80.55-2.20.00BL</t>
  </si>
  <si>
    <t>XS / Blanco</t>
  </si>
  <si>
    <t>MLC2961917606</t>
  </si>
  <si>
    <t>Conjunto Canillera Y Media Adulto 80.20 Boca</t>
  </si>
  <si>
    <t>184204442058</t>
  </si>
  <si>
    <t>CONJ-2.80.52-2.20.00BL</t>
  </si>
  <si>
    <t>184204442060</t>
  </si>
  <si>
    <t>CONJ-2.80.51-2.20.00BL</t>
  </si>
  <si>
    <t>184204442062</t>
  </si>
  <si>
    <t>CONJ-2.80.50-2.20.00BL</t>
  </si>
  <si>
    <t>4521130552811198</t>
  </si>
  <si>
    <t>MLC2961930488</t>
  </si>
  <si>
    <t>U3283827288</t>
  </si>
  <si>
    <t>CONJ-2.00.04-2.90.11</t>
  </si>
  <si>
    <t>Balón Futbol + Bombin Drb 00.90 Real #5</t>
  </si>
  <si>
    <t>5962403090453214</t>
  </si>
  <si>
    <t>MLC2961930490</t>
  </si>
  <si>
    <t>U3278022827</t>
  </si>
  <si>
    <t>CONJ-2.00.52-2.90.11</t>
  </si>
  <si>
    <t>Balón Futbol + Bombin Drb 00.90 P.s.g Estadio</t>
  </si>
  <si>
    <t>MLC2961930494</t>
  </si>
  <si>
    <t>Balón Basquet Drb + Bombín Drb 00.90 #7 Goma</t>
  </si>
  <si>
    <t>MLC2961930496</t>
  </si>
  <si>
    <t>Balón Basquet Drb + Bombín Drb 00.90 #6 Goma</t>
  </si>
  <si>
    <t>6634174693805715</t>
  </si>
  <si>
    <t>MLC2961934862</t>
  </si>
  <si>
    <t>U3278026115</t>
  </si>
  <si>
    <t>CONJ-2.00.16-2.90.11</t>
  </si>
  <si>
    <t>Balón Futbol + Bombín Drb 00.90 Chile #5</t>
  </si>
  <si>
    <t>Blanco-azul-rojo</t>
  </si>
  <si>
    <t>3736201610753653</t>
  </si>
  <si>
    <t>MLC2961934864</t>
  </si>
  <si>
    <t>U3278022823</t>
  </si>
  <si>
    <t>CONJ-2.00.26-2.90.11</t>
  </si>
  <si>
    <t>Balón Futbol + Bombin Drb 00.90 Target #5</t>
  </si>
  <si>
    <t>594023312562220</t>
  </si>
  <si>
    <t>MLC2961934866</t>
  </si>
  <si>
    <t>U3283827300</t>
  </si>
  <si>
    <t>CONJ-2.00.35-2.90.11</t>
  </si>
  <si>
    <t>Balón Futbol + Bombin Drb 00.90 Galaxy #5</t>
  </si>
  <si>
    <t>930281527403512</t>
  </si>
  <si>
    <t>MLC2961946402</t>
  </si>
  <si>
    <t>U3278022817</t>
  </si>
  <si>
    <t>CONJ-M.30.02-G.10.01</t>
  </si>
  <si>
    <t>Balón Fútbol Americano + Bombín Drb 00.90 Juvenil</t>
  </si>
  <si>
    <t>6360565250690467</t>
  </si>
  <si>
    <t>MLC2961946408</t>
  </si>
  <si>
    <t>U3278022845</t>
  </si>
  <si>
    <t>CONJ-2.00.54-2.90.11</t>
  </si>
  <si>
    <t>Balón Futbol + Bombin Drb 00.90 River Estadio</t>
  </si>
  <si>
    <t>550594599004771</t>
  </si>
  <si>
    <t>MLC2961958172</t>
  </si>
  <si>
    <t>U3278024705</t>
  </si>
  <si>
    <t>CONJ-2.00.56-2.90.11</t>
  </si>
  <si>
    <t>Balón Futbol + Bombin Drb 00.90 Barce Estadio</t>
  </si>
  <si>
    <t>2436592986017977</t>
  </si>
  <si>
    <t>MLC2961958174</t>
  </si>
  <si>
    <t>U3283827296</t>
  </si>
  <si>
    <t>CONJ-2.00.71-2.90.12</t>
  </si>
  <si>
    <t>Balón Baby Drb + Bombín Drb 00.90 Prime</t>
  </si>
  <si>
    <t>MLC2961958178</t>
  </si>
  <si>
    <t>Conjunto Canillera Y Media Adulto 80.20 Manchester</t>
  </si>
  <si>
    <t>188890731005</t>
  </si>
  <si>
    <t>CONJ-2.80.62B-2.20.00CEL</t>
  </si>
  <si>
    <t>Celeste / M</t>
  </si>
  <si>
    <t>188890731007</t>
  </si>
  <si>
    <t>CONJ-2.80.61B-2.20.00CEL</t>
  </si>
  <si>
    <t>Celeste / S</t>
  </si>
  <si>
    <t>188890731009</t>
  </si>
  <si>
    <t>CONJ-2.80.60B-2.20.00CEL</t>
  </si>
  <si>
    <t>XS / Celeste</t>
  </si>
  <si>
    <t>4629043143010760</t>
  </si>
  <si>
    <t>MLC2961971146</t>
  </si>
  <si>
    <t>U3283827294</t>
  </si>
  <si>
    <t>CONJ-2.00.08-2.90.11</t>
  </si>
  <si>
    <t>Balón Futbolito + Bombin Drb 00.90 Tornado #5</t>
  </si>
  <si>
    <t>4238849580814069</t>
  </si>
  <si>
    <t>MLC2961971150</t>
  </si>
  <si>
    <t>U3278022833</t>
  </si>
  <si>
    <t>CONJ-2.00.70-2.90.12</t>
  </si>
  <si>
    <t>Balón Baby Drb + Bombín Drb 00.90 Liverpool</t>
  </si>
  <si>
    <t>8588825130534490</t>
  </si>
  <si>
    <t>MLC2961971152</t>
  </si>
  <si>
    <t>U3278024727</t>
  </si>
  <si>
    <t>CONJ-4.00.06-2.90.11</t>
  </si>
  <si>
    <t>Balón Voley + Bombin Drb 00.90 Classic Beach</t>
  </si>
  <si>
    <t>4923301995814628</t>
  </si>
  <si>
    <t>MLC2961971154</t>
  </si>
  <si>
    <t>U3278026121</t>
  </si>
  <si>
    <t>CONJ-2.00.01-2.90.11</t>
  </si>
  <si>
    <t>Balón Futbol + Bombin Drb 00.90 Oficial #4</t>
  </si>
  <si>
    <t>MLC2978147752</t>
  </si>
  <si>
    <t>Balón De Fútbol Talla 4 Drb Blanco Con Bombín Manual Cosida A Máquina</t>
  </si>
  <si>
    <t>MLC2978462668</t>
  </si>
  <si>
    <t>Balón Fútbol Drb Blanco Azul Rojo Talla 5 Cosido A Máquina Con Bombín</t>
  </si>
  <si>
    <t>MLC2980419228</t>
  </si>
  <si>
    <t>Balón De Fútbol Drb Tamaño 5 Con Bombín Para Inflar Blanco</t>
  </si>
  <si>
    <t>MLC2983297672</t>
  </si>
  <si>
    <t>Balón Voleibol Drb Classic 1.0 Indoor Cuero Sintético Azul Amarillo</t>
  </si>
  <si>
    <t>1842788431430777</t>
  </si>
  <si>
    <t>MLC3000113620</t>
  </si>
  <si>
    <t>U3330496187</t>
  </si>
  <si>
    <t>2.80.01</t>
  </si>
  <si>
    <t>Canillera Drb 2.80.01 - Cup</t>
  </si>
  <si>
    <t>1669465290289853</t>
  </si>
  <si>
    <t>MLC3000113624</t>
  </si>
  <si>
    <t>U3330496197</t>
  </si>
  <si>
    <t>2.80.82NEXS</t>
  </si>
  <si>
    <t>Canillera Drb 2.80.82 - Cup 2.0</t>
  </si>
  <si>
    <t>4718455848428394</t>
  </si>
  <si>
    <t>MLC3000399420</t>
  </si>
  <si>
    <t>U3336423708</t>
  </si>
  <si>
    <t>Canillera Drb 2.80.40 - Barcelona Metal</t>
  </si>
  <si>
    <t>MLC3006639246</t>
  </si>
  <si>
    <t>Balón Voley + Bombin Drb 00.90 Classic 1.0 Az/am Azul</t>
  </si>
  <si>
    <t>MLC3114471758</t>
  </si>
  <si>
    <t>Pack Sosten Microfibra Jockey Sport S-285c Con Soft Push-up</t>
  </si>
  <si>
    <t>180</t>
  </si>
  <si>
    <t>190346775513</t>
  </si>
  <si>
    <t>PACK-S-289-CA-CA-S</t>
  </si>
  <si>
    <t>CALIPSO - CALIPSO / Lisa / S</t>
  </si>
  <si>
    <t>190346775515</t>
  </si>
  <si>
    <t>PACK-S-289-CA-FU-S</t>
  </si>
  <si>
    <t>CALIPSO - FUCSIA / Lisa / S</t>
  </si>
  <si>
    <t>190346775517</t>
  </si>
  <si>
    <t>PACK-S-289-CA-NE-S</t>
  </si>
  <si>
    <t>CALIPSO - NEGRO / Lisa / S</t>
  </si>
  <si>
    <t>190346775519</t>
  </si>
  <si>
    <t>PACK-S-289-FU-FU-S</t>
  </si>
  <si>
    <t>Lisa / FUCSIA - FUCSIA / S</t>
  </si>
  <si>
    <t>190346775521</t>
  </si>
  <si>
    <t>PACK-S-289-FU-NE-S</t>
  </si>
  <si>
    <t>FUCSIA - NEGRO / Lisa / S</t>
  </si>
  <si>
    <t>190346775523</t>
  </si>
  <si>
    <t>PACK-S-289-NE-NE-S</t>
  </si>
  <si>
    <t>NEGRO - NEGRO / Lisa / S</t>
  </si>
  <si>
    <t>190346775525</t>
  </si>
  <si>
    <t>PACK-S-289-CA-CA-M</t>
  </si>
  <si>
    <t>CALIPSO - CALIPSO / M / Lisa</t>
  </si>
  <si>
    <t>190346775527</t>
  </si>
  <si>
    <t>PACK-S-289-CA-FU-M</t>
  </si>
  <si>
    <t>CALIPSO - FUCSIA / M / Lisa</t>
  </si>
  <si>
    <t>190346775529</t>
  </si>
  <si>
    <t>PACK-S-289-CA-NE-M</t>
  </si>
  <si>
    <t>CALIPSO - NEGRO / M / Lisa</t>
  </si>
  <si>
    <t>190346775531</t>
  </si>
  <si>
    <t>PACK-S-289-FU-FU-M</t>
  </si>
  <si>
    <t>M / Lisa / FUCSIA - FUCSIA</t>
  </si>
  <si>
    <t>190346775533</t>
  </si>
  <si>
    <t>PACK-S-289-FU-NE-M</t>
  </si>
  <si>
    <t>FUCSIA - NEGRO / M / Lisa</t>
  </si>
  <si>
    <t>190346775535</t>
  </si>
  <si>
    <t>PACK-S-289-NE-NE-M</t>
  </si>
  <si>
    <t>NEGRO - NEGRO / M / Lisa</t>
  </si>
  <si>
    <t>190346775537</t>
  </si>
  <si>
    <t>PACK-S-289-CA-CA-L</t>
  </si>
  <si>
    <t>L / CALIPSO - CALIPSO / Lisa</t>
  </si>
  <si>
    <t>190346775539</t>
  </si>
  <si>
    <t>PACK-S-289-CA-FU-L</t>
  </si>
  <si>
    <t>CALIPSO - FUCSIA / L / Lisa</t>
  </si>
  <si>
    <t>190346775541</t>
  </si>
  <si>
    <t>PACK-S-289-CA-NE-L</t>
  </si>
  <si>
    <t>CALIPSO - NEGRO / L / Lisa</t>
  </si>
  <si>
    <t>190346775543</t>
  </si>
  <si>
    <t>PACK-S-289-FU-FU-L</t>
  </si>
  <si>
    <t>L / Lisa / FUCSIA - FUCSIA</t>
  </si>
  <si>
    <t>190346775545</t>
  </si>
  <si>
    <t>PACK-S-289-FU-NE-L</t>
  </si>
  <si>
    <t>FUCSIA - NEGRO / L / Lisa</t>
  </si>
  <si>
    <t>190346775547</t>
  </si>
  <si>
    <t>PACK-S-289-NE-NE-L</t>
  </si>
  <si>
    <t>NEGRO - NEGRO / L / Lisa</t>
  </si>
  <si>
    <t>MLC3114549158</t>
  </si>
  <si>
    <t>Pack Top Mujer Lady Genny S-127 Cotton Spandex</t>
  </si>
  <si>
    <t>185128647490</t>
  </si>
  <si>
    <t>PACK-S-127-ME-ME-S</t>
  </si>
  <si>
    <t>MELANGE - MELANGE / Lisa / S</t>
  </si>
  <si>
    <t>185128647492</t>
  </si>
  <si>
    <t>PACK-S-127-ME-NE-S</t>
  </si>
  <si>
    <t>Lisa / MELANGE - NEGRO / S</t>
  </si>
  <si>
    <t>185128647494</t>
  </si>
  <si>
    <t>PACK-S-127-NE-NE-S</t>
  </si>
  <si>
    <t>185128647496</t>
  </si>
  <si>
    <t>PACK-S-127-ME-ME-M</t>
  </si>
  <si>
    <t>MELANGE - MELANGE / M / Lisa</t>
  </si>
  <si>
    <t>185128647498</t>
  </si>
  <si>
    <t>PACK-S-127-ME-NE-M</t>
  </si>
  <si>
    <t>M / Lisa / MELANGE - NEGRO</t>
  </si>
  <si>
    <t>185128647500</t>
  </si>
  <si>
    <t>PACK-S-127-NE-NE-M</t>
  </si>
  <si>
    <t>185128647502</t>
  </si>
  <si>
    <t>PACK-S-127-ME-ME-L</t>
  </si>
  <si>
    <t>MELANGE - MELANGE / L / Lisa</t>
  </si>
  <si>
    <t>185128647504</t>
  </si>
  <si>
    <t>PACK-S-127-ME-NE-L</t>
  </si>
  <si>
    <t>L / Lisa / MELANGE - NEGRO</t>
  </si>
  <si>
    <t>185128647506</t>
  </si>
  <si>
    <t>PACK-S-127-NE-NE-L</t>
  </si>
  <si>
    <t>185128647508</t>
  </si>
  <si>
    <t>PACK-S-127-ME-ME-XL</t>
  </si>
  <si>
    <t>MELANGE - MELANGE / Lisa / XL</t>
  </si>
  <si>
    <t>185128647510</t>
  </si>
  <si>
    <t>PACK-S-127-ME-NE-XL</t>
  </si>
  <si>
    <t>Lisa / XL / MELANGE - NEGRO</t>
  </si>
  <si>
    <t>185128647512</t>
  </si>
  <si>
    <t>PACK-S-127-NE-NE-XL</t>
  </si>
  <si>
    <t>NEGRO - NEGRO / Lisa / XL</t>
  </si>
  <si>
    <t>MLC3114588006</t>
  </si>
  <si>
    <t>Pack Top Mujer Lady Genny S-325 Seamless Encaje</t>
  </si>
  <si>
    <t>190347184195</t>
  </si>
  <si>
    <t>PACK-S-325-BL-BL-T/U</t>
  </si>
  <si>
    <t>BLANCO - BLANCO / TALLA UNICA</t>
  </si>
  <si>
    <t>190347184197</t>
  </si>
  <si>
    <t>PACK-S-325-DA-DA-T/U</t>
  </si>
  <si>
    <t>DAMASCO - DAMASCO / TALLA UNICA</t>
  </si>
  <si>
    <t>190347184199</t>
  </si>
  <si>
    <t>PACK-S-325-LA-LA-T/U</t>
  </si>
  <si>
    <t>LAVANDA - LAVANDA / TALLA UNICA</t>
  </si>
  <si>
    <t>190347184201</t>
  </si>
  <si>
    <t>PACK-S-325-NE-NE-T/U</t>
  </si>
  <si>
    <t>NEGRO - NEGRO / TALLA UNICA</t>
  </si>
  <si>
    <t>190347184203</t>
  </si>
  <si>
    <t>PACK-S-325-TU-TU-T/U</t>
  </si>
  <si>
    <t>TALLA UNICA / TURQUESA - TURQUESA</t>
  </si>
  <si>
    <t>190347184205</t>
  </si>
  <si>
    <t>PACK-S-325-BL-DA-T/U</t>
  </si>
  <si>
    <t>BLANCO - DAMASCO / TALLA UNICA</t>
  </si>
  <si>
    <t>190347184207</t>
  </si>
  <si>
    <t>PACK-S-325-BL-LA-T/U</t>
  </si>
  <si>
    <t>BLANCO - LAVANDA / TALLA UNICA</t>
  </si>
  <si>
    <t>190347184209</t>
  </si>
  <si>
    <t>PACK-S-325-BL-NE-T/U</t>
  </si>
  <si>
    <t>BLANCLO - NEGRO / TALLA UNICA</t>
  </si>
  <si>
    <t>190347184211</t>
  </si>
  <si>
    <t>PACK-S-325-BL-TU-T/U</t>
  </si>
  <si>
    <t>BLANCO - TURQUESA / TALLA UNICA</t>
  </si>
  <si>
    <t>190347184213</t>
  </si>
  <si>
    <t>PACK-S-325-DA-LA-T/U</t>
  </si>
  <si>
    <t>DAMASCO - LAVANDA / TALLA UNICA</t>
  </si>
  <si>
    <t>190347184215</t>
  </si>
  <si>
    <t>PACK-S-325-DA-NE-T/U</t>
  </si>
  <si>
    <t>DAMASCO - NEGRO / TALLA UNICA</t>
  </si>
  <si>
    <t>190347184217</t>
  </si>
  <si>
    <t>PACK-S-325-DA-TU-T/U</t>
  </si>
  <si>
    <t>TALLA UNICA / DAMASCO - TURQUESA</t>
  </si>
  <si>
    <t>190347184219</t>
  </si>
  <si>
    <t>PACK-S-325-LA-NE-T/U</t>
  </si>
  <si>
    <t>LAVANDA - NEGRO / TALLA UNICA</t>
  </si>
  <si>
    <t>190347184221</t>
  </si>
  <si>
    <t>PACK-S-325-LA-TU-T/U</t>
  </si>
  <si>
    <t>LAVANDA - TURQUESA / TALLA UNICA</t>
  </si>
  <si>
    <t>190347184223</t>
  </si>
  <si>
    <t>PACK-S-325-NE-TU-T/U</t>
  </si>
  <si>
    <t>NEGRO - TURQUESA / TALLA UNICA</t>
  </si>
  <si>
    <t>3130185013071494</t>
  </si>
  <si>
    <t>MLC3156470580</t>
  </si>
  <si>
    <t>U3429885884</t>
  </si>
  <si>
    <t>2.90.81</t>
  </si>
  <si>
    <t>Red De Baby Fútbol Y Handball Drb 2.5 Mm</t>
  </si>
  <si>
    <t>6876592972177781</t>
  </si>
  <si>
    <t>MLC3156470586</t>
  </si>
  <si>
    <t>U3423262783</t>
  </si>
  <si>
    <t>2.90.87</t>
  </si>
  <si>
    <t>Red Baby/handbol Par 059 Pp 2.0 Mm Hexagonal Drb</t>
  </si>
  <si>
    <t>7911679102422096</t>
  </si>
  <si>
    <t>MLC3156470752</t>
  </si>
  <si>
    <t>U3423282147</t>
  </si>
  <si>
    <t>9.70.13</t>
  </si>
  <si>
    <t>Protector Bucal Sabo­ri­zado Adulto Drb 9.70.13</t>
  </si>
  <si>
    <t>6500998337932601</t>
  </si>
  <si>
    <t>MLC3156496114</t>
  </si>
  <si>
    <t>U3423222161</t>
  </si>
  <si>
    <t>R.00.06</t>
  </si>
  <si>
    <t>Bal Futbol Reebok Zig #3 R.00.06 Blanc</t>
  </si>
  <si>
    <t>1808877562347918</t>
  </si>
  <si>
    <t>MLC3156496118</t>
  </si>
  <si>
    <t>U3429845248</t>
  </si>
  <si>
    <t>R.00.00</t>
  </si>
  <si>
    <t>Bal Futbol Reebok Zig #5 R.00.00 Amari</t>
  </si>
  <si>
    <t>3677733395615763</t>
  </si>
  <si>
    <t>MLC3156496460</t>
  </si>
  <si>
    <t>U3429885902</t>
  </si>
  <si>
    <t>4.10.02</t>
  </si>
  <si>
    <t>Pizarra Diseño Fútbol</t>
  </si>
  <si>
    <t>5442979881590827</t>
  </si>
  <si>
    <t>MLC3156496468</t>
  </si>
  <si>
    <t>U3423262793</t>
  </si>
  <si>
    <t>2.90.88</t>
  </si>
  <si>
    <t>Red Baby/handbol Par 060 Pp 2.5 Hexagonal Drb</t>
  </si>
  <si>
    <t>2940275284621695</t>
  </si>
  <si>
    <t>MLC3156561424</t>
  </si>
  <si>
    <t>U3429843752</t>
  </si>
  <si>
    <t>5.20.31-ML</t>
  </si>
  <si>
    <t>Aleta Drb 5.20.31 - Buceo/snorkel L</t>
  </si>
  <si>
    <t>4241785066624075</t>
  </si>
  <si>
    <t>MLC3156561622</t>
  </si>
  <si>
    <t>U3429862648</t>
  </si>
  <si>
    <t>A.00.01</t>
  </si>
  <si>
    <t xml:space="preserve">Balon Hand Ball Drb A.00.01 Goma 2  Force </t>
  </si>
  <si>
    <t>Blanco 2</t>
  </si>
  <si>
    <t>1093213854376286</t>
  </si>
  <si>
    <t>MLC3156592444</t>
  </si>
  <si>
    <t>U3430613342</t>
  </si>
  <si>
    <t>V.06.14-NE</t>
  </si>
  <si>
    <t>Venda Boxeo (par) Negro</t>
  </si>
  <si>
    <t>1365080393110344</t>
  </si>
  <si>
    <t>MLC3156600674</t>
  </si>
  <si>
    <t>U3429885874</t>
  </si>
  <si>
    <t>9.70.17</t>
  </si>
  <si>
    <t>Protector Bucal Sabo­ri­zado Adulto Drb 9.70.17 × 48 Un</t>
  </si>
  <si>
    <t>930664250964490</t>
  </si>
  <si>
    <t>MLC3156613618</t>
  </si>
  <si>
    <t>U3429885906</t>
  </si>
  <si>
    <t>9.55.02-L</t>
  </si>
  <si>
    <t>Rodillera Rotula Drb Cerrada Neoprene Negro</t>
  </si>
  <si>
    <t>6045193787252770</t>
  </si>
  <si>
    <t>MLC3156613764</t>
  </si>
  <si>
    <t>U3423278969</t>
  </si>
  <si>
    <t>9.70.12</t>
  </si>
  <si>
    <t>Protector Bucal Dama Junior Drb 9.70.12</t>
  </si>
  <si>
    <t>2016826107955841</t>
  </si>
  <si>
    <t>MLC3156626404</t>
  </si>
  <si>
    <t>U3423220497</t>
  </si>
  <si>
    <t>R.00.01</t>
  </si>
  <si>
    <t>Bal Futbol Reebok Zig #5 R.00.01 Blanc</t>
  </si>
  <si>
    <t>MLC3156626794</t>
  </si>
  <si>
    <t>9006572812114658</t>
  </si>
  <si>
    <t>MLC3156665712</t>
  </si>
  <si>
    <t>U3423265973</t>
  </si>
  <si>
    <t>A.10.01</t>
  </si>
  <si>
    <t>Pizarra Magnética Handball</t>
  </si>
  <si>
    <t>1313258064179231</t>
  </si>
  <si>
    <t>MLC3156678318</t>
  </si>
  <si>
    <t>U3423222163</t>
  </si>
  <si>
    <t>5.20.31-M</t>
  </si>
  <si>
    <t>Aleta Drb 5.20.31 - Buceo/snorkel S</t>
  </si>
  <si>
    <t>7156191476173533</t>
  </si>
  <si>
    <t>MLC3156730214</t>
  </si>
  <si>
    <t>U3429843758</t>
  </si>
  <si>
    <t>R.50.05</t>
  </si>
  <si>
    <t>Bal Basquet Reebok R.50.08 Game #7</t>
  </si>
  <si>
    <t>1772260086270359</t>
  </si>
  <si>
    <t>MLC3156730536</t>
  </si>
  <si>
    <t>U3423261059</t>
  </si>
  <si>
    <t>9.70.16</t>
  </si>
  <si>
    <t>Protector Bucal Dama Junior Drb 9.70.16 - Trans. × 48un</t>
  </si>
  <si>
    <t>1211403713102514</t>
  </si>
  <si>
    <t>MLC3173912276</t>
  </si>
  <si>
    <t>U3443700206</t>
  </si>
  <si>
    <t>2.20.20-NAR</t>
  </si>
  <si>
    <t>Media Sin Pie Adulto Naranjo Drb 2.20.20-nar</t>
  </si>
  <si>
    <t>8700293372904788</t>
  </si>
  <si>
    <t>MLC3173923266</t>
  </si>
  <si>
    <t>U3443350798</t>
  </si>
  <si>
    <t>F.30.08</t>
  </si>
  <si>
    <t>Banda Elastica Drb F.30.08 Set 3 Unidades</t>
  </si>
  <si>
    <t>5983667541451630</t>
  </si>
  <si>
    <t>MLC3173925278</t>
  </si>
  <si>
    <t>U3443697852</t>
  </si>
  <si>
    <t>2.20.17-LL</t>
  </si>
  <si>
    <t>Media Antideslizante Juv Lila  Drb 2.20.17-ll</t>
  </si>
  <si>
    <t>2130113884640550</t>
  </si>
  <si>
    <t>MLC3173951230</t>
  </si>
  <si>
    <t>U3443698690</t>
  </si>
  <si>
    <t>2.20.22-NAR</t>
  </si>
  <si>
    <t>Media Sin Pie Juvenil Naranjo Drb 2.20.22-nar</t>
  </si>
  <si>
    <t>7362020188289664</t>
  </si>
  <si>
    <t>MLC3173964042</t>
  </si>
  <si>
    <t>U3443697828</t>
  </si>
  <si>
    <t>2.20.17-NE</t>
  </si>
  <si>
    <t>Media Antideslizante Juv Negro Drb  Drb 2.20.17-ne</t>
  </si>
  <si>
    <t>1082081103253721</t>
  </si>
  <si>
    <t>MLC3173964046</t>
  </si>
  <si>
    <t>U3443698680</t>
  </si>
  <si>
    <t>2.20.17-AMA</t>
  </si>
  <si>
    <t>Media Antideslizante Juv Amarillo Drb 2.20.17-ama</t>
  </si>
  <si>
    <t>694918277158888</t>
  </si>
  <si>
    <t>MLC3173977102</t>
  </si>
  <si>
    <t>U3443697868</t>
  </si>
  <si>
    <t>2.20.05-BL-NE</t>
  </si>
  <si>
    <t>Media Juvenil Comb. Bco Negro Drb 2.20.05-bl-ne</t>
  </si>
  <si>
    <t>5197412549705380</t>
  </si>
  <si>
    <t>MLC3174003074</t>
  </si>
  <si>
    <t>U3443698702</t>
  </si>
  <si>
    <t>2.20.17-BCO</t>
  </si>
  <si>
    <t>Media Antideslizante Juv Blanco Drb 2.20.17-bco</t>
  </si>
  <si>
    <t>435227004360317</t>
  </si>
  <si>
    <t>MLC3174015832</t>
  </si>
  <si>
    <t>U3443698654</t>
  </si>
  <si>
    <t>2.20.05-AM-NE</t>
  </si>
  <si>
    <t>Media Juvenil Comb. Ama Negro Drb 2.20.05-am-ne</t>
  </si>
  <si>
    <t>865032318419402</t>
  </si>
  <si>
    <t>MLC3174015846</t>
  </si>
  <si>
    <t>U3443697854</t>
  </si>
  <si>
    <t>2.20.17-ROJ</t>
  </si>
  <si>
    <t>Media Antideslizante Juv Rojo  Drb 2.20.17-roj</t>
  </si>
  <si>
    <t>4176119031202215</t>
  </si>
  <si>
    <t>MLC3174054758</t>
  </si>
  <si>
    <t>U3443700210</t>
  </si>
  <si>
    <t>2.20.17-AZM</t>
  </si>
  <si>
    <t>Media Antideslizante Juv Az Marino  Drb 2.20.17-azm</t>
  </si>
  <si>
    <t>5835169832004973</t>
  </si>
  <si>
    <t>MLC3174067580</t>
  </si>
  <si>
    <t>U3443697824</t>
  </si>
  <si>
    <t>2.20.16-BCO</t>
  </si>
  <si>
    <t>Media Antideslizante Adu Blanco Drb 2.20.16-bco</t>
  </si>
  <si>
    <t>1477857332111934</t>
  </si>
  <si>
    <t>MLC3176473988</t>
  </si>
  <si>
    <t>U3445937194</t>
  </si>
  <si>
    <t>2.80.83-NAR-XS</t>
  </si>
  <si>
    <t>Canillera Drb 2.80.83-nar-xs Prime Naranjo Xs</t>
  </si>
  <si>
    <t>8186700231517815</t>
  </si>
  <si>
    <t>MLC3176484412</t>
  </si>
  <si>
    <t>U3445660966</t>
  </si>
  <si>
    <t>2.80.83-VER-S</t>
  </si>
  <si>
    <t>Canillera Drb 2.80.83-ver-s Prime Verde S</t>
  </si>
  <si>
    <t>8878971917292118</t>
  </si>
  <si>
    <t>MLC3176549242</t>
  </si>
  <si>
    <t>U3445659816</t>
  </si>
  <si>
    <t>2.80.82-NE-M</t>
  </si>
  <si>
    <t>Canillera Drb 2.80.82-ne-m Cup 2.0 Negro M</t>
  </si>
  <si>
    <t>M Negro</t>
  </si>
  <si>
    <t>2317913641144599</t>
  </si>
  <si>
    <t>MLC3176551806</t>
  </si>
  <si>
    <t>U3445939014</t>
  </si>
  <si>
    <t>2.80.02</t>
  </si>
  <si>
    <t>Canillera Drb 2.80.02 Cup- S</t>
  </si>
  <si>
    <t>7683108623937094</t>
  </si>
  <si>
    <t>MLC3176601072</t>
  </si>
  <si>
    <t>U3445662022</t>
  </si>
  <si>
    <t>2.80.00</t>
  </si>
  <si>
    <t>Canillera Drb 2.80.00 Cup- Xxs</t>
  </si>
  <si>
    <t>Xxs</t>
  </si>
  <si>
    <t>1373555293254032</t>
  </si>
  <si>
    <t>MLC3176642200</t>
  </si>
  <si>
    <t>U3445938990</t>
  </si>
  <si>
    <t>2.80.82-NE-S</t>
  </si>
  <si>
    <t>Canillera Drb 2.80.82-ne-s Cup 2.0 Negro S</t>
  </si>
  <si>
    <t>S Negro</t>
  </si>
  <si>
    <t>8168560950692792</t>
  </si>
  <si>
    <t>MLC3192970838</t>
  </si>
  <si>
    <t>U3454084109</t>
  </si>
  <si>
    <t>1.80.04</t>
  </si>
  <si>
    <t>Grip Sufix 1.80.04 X 24</t>
  </si>
  <si>
    <t>MLC3259569952</t>
  </si>
  <si>
    <t>Balon Hand-ball Grippest #2 C/ Blanco</t>
  </si>
  <si>
    <t>MLC3384994442</t>
  </si>
  <si>
    <t>Balón Fútbol Americano + Bombín Drb 00.90 Infantil Color Verde</t>
  </si>
  <si>
    <t>MLC3568059516</t>
  </si>
  <si>
    <t>Balón De Fútbol Americano Drb Azul Con Bombín, Para Juego Juvenil</t>
  </si>
  <si>
    <t>4073189947553210</t>
  </si>
  <si>
    <t>MLC1703894885</t>
  </si>
  <si>
    <t>U3436561995</t>
  </si>
  <si>
    <t>R.40.00</t>
  </si>
  <si>
    <t>Balon Voley Reebok R.40.00 Zig Generation</t>
  </si>
  <si>
    <t>14390</t>
  </si>
  <si>
    <t>6734690153179090</t>
  </si>
  <si>
    <t>MLC1542470097</t>
  </si>
  <si>
    <t>U2630570430</t>
  </si>
  <si>
    <t>6.00.54</t>
  </si>
  <si>
    <t>Palo Hockey Evo 10000 Drb 6.00.54 - Talla 37,5</t>
  </si>
  <si>
    <t>154590</t>
  </si>
  <si>
    <t>1019052126560865</t>
  </si>
  <si>
    <t>MLC1542584207</t>
  </si>
  <si>
    <t>U2633955840</t>
  </si>
  <si>
    <t>B.00.11</t>
  </si>
  <si>
    <t>Cinta Gimnasia Ritmica Drb B.00.11 - 6 Mts.</t>
  </si>
  <si>
    <t>7590</t>
  </si>
  <si>
    <t>5972392582147804</t>
  </si>
  <si>
    <t>MLC1542658127</t>
  </si>
  <si>
    <t>U2637230242</t>
  </si>
  <si>
    <t>1.00.20</t>
  </si>
  <si>
    <t>Raquet Tenis Drb 1.00.20 - Encounter</t>
  </si>
  <si>
    <t>49790</t>
  </si>
  <si>
    <t>5052496866180288</t>
  </si>
  <si>
    <t>MLC1545338847</t>
  </si>
  <si>
    <t>U2713415946</t>
  </si>
  <si>
    <t>D.00.05</t>
  </si>
  <si>
    <t>Tripack Alta Blanco</t>
  </si>
  <si>
    <t>11790</t>
  </si>
  <si>
    <t>8953416443454767</t>
  </si>
  <si>
    <t>MLC1545364115</t>
  </si>
  <si>
    <t>U2708498855</t>
  </si>
  <si>
    <t>D.00.06</t>
  </si>
  <si>
    <t>Tripack Alta Negro</t>
  </si>
  <si>
    <t>2302131617593263</t>
  </si>
  <si>
    <t>MLC1545408541</t>
  </si>
  <si>
    <t>U2713654962</t>
  </si>
  <si>
    <t>5.10.22</t>
  </si>
  <si>
    <t>Lente Champ Drb 5.10.22 - X 48 Unidades</t>
  </si>
  <si>
    <t>195690</t>
  </si>
  <si>
    <t>8812509725073999</t>
  </si>
  <si>
    <t>MLC1545480085</t>
  </si>
  <si>
    <t>U2714274564</t>
  </si>
  <si>
    <t>5.10.56-AZ</t>
  </si>
  <si>
    <t>Lente N. S.flex X 48 Antifog</t>
  </si>
  <si>
    <t>438190</t>
  </si>
  <si>
    <t>2279387757996385</t>
  </si>
  <si>
    <t>MLC1548363411</t>
  </si>
  <si>
    <t>U2768740386</t>
  </si>
  <si>
    <t>Peto Calado Drb 2.10.16 - C/elástico × 500 Un</t>
  </si>
  <si>
    <t>2219790</t>
  </si>
  <si>
    <t>4835740540953172</t>
  </si>
  <si>
    <t>MLC1548375947</t>
  </si>
  <si>
    <t>U2768739120</t>
  </si>
  <si>
    <t>2.10.02</t>
  </si>
  <si>
    <t>Peto Deportivo Drb 2.10.02 - C/elástico × 50 Un</t>
  </si>
  <si>
    <t>188190</t>
  </si>
  <si>
    <t>6794964924807407</t>
  </si>
  <si>
    <t>MLC1549609173</t>
  </si>
  <si>
    <t>U2803220507</t>
  </si>
  <si>
    <t>8.20.01</t>
  </si>
  <si>
    <t>Red Mesa Sensei 8.20.01 - Blister Cte</t>
  </si>
  <si>
    <t>5690</t>
  </si>
  <si>
    <t>MLC1607471943</t>
  </si>
  <si>
    <t>Pelota Pp Sensei 8.10.19 - X 6 Unid 1# Naranj</t>
  </si>
  <si>
    <t>4490</t>
  </si>
  <si>
    <t>MLC1638682925</t>
  </si>
  <si>
    <t>Pack Short Dama Drb 2.40.39 Liso</t>
  </si>
  <si>
    <t>160</t>
  </si>
  <si>
    <t>9090</t>
  </si>
  <si>
    <t>184145016258</t>
  </si>
  <si>
    <t>PACK-2.40.39.39-AZ-BL-S</t>
  </si>
  <si>
    <t>Lisa / S / Blanco - Azul</t>
  </si>
  <si>
    <t>184145016268</t>
  </si>
  <si>
    <t>PACK-2.40.39-39-NE-MO-M</t>
  </si>
  <si>
    <t>M / Lisa / Negro - Morado</t>
  </si>
  <si>
    <t>184145016278</t>
  </si>
  <si>
    <t>PACK-2.40.39-39-AZ-BL-XL</t>
  </si>
  <si>
    <t>184145016256</t>
  </si>
  <si>
    <t>PACK-2.40.39.39-FU-MO-S</t>
  </si>
  <si>
    <t>Fucsia - Blanco / Lisa / S</t>
  </si>
  <si>
    <t>184145016266</t>
  </si>
  <si>
    <t>PACK-2.40.39-39-FU-MO-M</t>
  </si>
  <si>
    <t>M / Lisa / Fucsia - Morado</t>
  </si>
  <si>
    <t>184145016276</t>
  </si>
  <si>
    <t>PACK-2.40.39-39-BL-NE-L</t>
  </si>
  <si>
    <t>Blanco - Negro / L / Lisa</t>
  </si>
  <si>
    <t>184145016254</t>
  </si>
  <si>
    <t>PACK-2.40.39.39-NE-MO-S</t>
  </si>
  <si>
    <t>Lisa / S / Negro - Morado</t>
  </si>
  <si>
    <t>184145016264</t>
  </si>
  <si>
    <t>PACK-2.40.39-39-CA-BL-M</t>
  </si>
  <si>
    <t>Blanco - Calipso / M / Lisa</t>
  </si>
  <si>
    <t>184145016274</t>
  </si>
  <si>
    <t>PACK-2.40.39-39-MO-NE-L</t>
  </si>
  <si>
    <t>L / Lisa / Negro - Morado</t>
  </si>
  <si>
    <t>184145016284</t>
  </si>
  <si>
    <t>PACK-2.40.39-39-NE-MO-XL</t>
  </si>
  <si>
    <t>Lisa / XL / Negro - Morado</t>
  </si>
  <si>
    <t>184145016262</t>
  </si>
  <si>
    <t>PACK-2.40.39-39-AZ-BL-M</t>
  </si>
  <si>
    <t>184145016272</t>
  </si>
  <si>
    <t>PACK-2.40.39-39-FU-CA-L</t>
  </si>
  <si>
    <t>L / Lisa / Fucsia - Calipso</t>
  </si>
  <si>
    <t>184145016282</t>
  </si>
  <si>
    <t>PACK-2.40.39-39-FU-MO-XL</t>
  </si>
  <si>
    <t>Lisa / XL / Fucsia - Morado</t>
  </si>
  <si>
    <t>184145016260</t>
  </si>
  <si>
    <t>PACK-2.40.39.39-CA-BL-S</t>
  </si>
  <si>
    <t>184145016270</t>
  </si>
  <si>
    <t>PACK-2.40.39-39-BL-CA-L</t>
  </si>
  <si>
    <t>L / Blanco - Calipso / Lisa</t>
  </si>
  <si>
    <t>184145016280</t>
  </si>
  <si>
    <t>PACK-2.40.39-39-CA-MO-XL</t>
  </si>
  <si>
    <t>Blanco - Calipso / Lisa / XL</t>
  </si>
  <si>
    <t>3935127885531194</t>
  </si>
  <si>
    <t>MLC1639631901</t>
  </si>
  <si>
    <t>U3277060476</t>
  </si>
  <si>
    <t>CONJ-1.00.15-1.60.10</t>
  </si>
  <si>
    <t>Raqueta Tenis Sufix + Pelota 00.60 Jr. Two</t>
  </si>
  <si>
    <t>31690</t>
  </si>
  <si>
    <t>4089033636362214</t>
  </si>
  <si>
    <t>MLC1639678017</t>
  </si>
  <si>
    <t>U3277060480</t>
  </si>
  <si>
    <t>CONJ-1.00.10-1.60.10</t>
  </si>
  <si>
    <t>Raqueta Tenis Sufix + Pelota 00.60 Junior One</t>
  </si>
  <si>
    <t>30790</t>
  </si>
  <si>
    <t>4254527468099603</t>
  </si>
  <si>
    <t>MLC1639716553</t>
  </si>
  <si>
    <t>U3271261485</t>
  </si>
  <si>
    <t>CONJ-8.00.61-8.10.25</t>
  </si>
  <si>
    <t>Paleta Pp Lapicero Comp + Pelota Pp #3 00.10 X6u</t>
  </si>
  <si>
    <t>Negro Y Rojo Lapicero</t>
  </si>
  <si>
    <t>29490</t>
  </si>
  <si>
    <t>2944158599460714</t>
  </si>
  <si>
    <t>MLC1639843819</t>
  </si>
  <si>
    <t>U3277809658</t>
  </si>
  <si>
    <t>2.40.38-TRIPACK-AZ-BL-NE.XL</t>
  </si>
  <si>
    <t>Az-bl-ne Lisa Xl</t>
  </si>
  <si>
    <t>28990</t>
  </si>
  <si>
    <t>5392483218437382</t>
  </si>
  <si>
    <t>MLC1698719123</t>
  </si>
  <si>
    <t>U3427363794</t>
  </si>
  <si>
    <t>8.10.21</t>
  </si>
  <si>
    <t>4390</t>
  </si>
  <si>
    <t>492258528390841</t>
  </si>
  <si>
    <t>MLC1703843013</t>
  </si>
  <si>
    <t>U3443238648</t>
  </si>
  <si>
    <t>R.40.02</t>
  </si>
  <si>
    <t>Balon Voley Reebok R.40.02 Classic Game</t>
  </si>
  <si>
    <t>38690</t>
  </si>
  <si>
    <t>814913589724038</t>
  </si>
  <si>
    <t>MLC1703843015</t>
  </si>
  <si>
    <t>U3443236714</t>
  </si>
  <si>
    <t>Balon Volley Classic 2.0 Drb 4.00.05</t>
  </si>
  <si>
    <t>3866543700136405</t>
  </si>
  <si>
    <t>MLC1706252255</t>
  </si>
  <si>
    <t>U3448801926</t>
  </si>
  <si>
    <t>2.60.00</t>
  </si>
  <si>
    <t>Estoperoles Drb 2.60.00 Nylon Negro</t>
  </si>
  <si>
    <t>6290</t>
  </si>
  <si>
    <t>4801385821807848</t>
  </si>
  <si>
    <t>MLC1710636803</t>
  </si>
  <si>
    <t>U3453545419</t>
  </si>
  <si>
    <t>6.00.38</t>
  </si>
  <si>
    <t>Palo  Hockey Froze 32  Simbra 6.00.38</t>
  </si>
  <si>
    <t>44190</t>
  </si>
  <si>
    <t>8272788991901905</t>
  </si>
  <si>
    <t>MLC1710648897</t>
  </si>
  <si>
    <t>U3460253328</t>
  </si>
  <si>
    <t>2.90.96</t>
  </si>
  <si>
    <t>Malla Para Balon 25 Un 4 Gram Drb 2.90.96</t>
  </si>
  <si>
    <t>11190</t>
  </si>
  <si>
    <t>2039749279271786</t>
  </si>
  <si>
    <t>MLC1710661589</t>
  </si>
  <si>
    <t>U3460253272</t>
  </si>
  <si>
    <t>5.10.44-CE-AM</t>
  </si>
  <si>
    <t>Lente Mask 21 Junior Cel Amarillo Hydro 5.10.44</t>
  </si>
  <si>
    <t>6890</t>
  </si>
  <si>
    <t>5886196799728856</t>
  </si>
  <si>
    <t>MLC1710674879</t>
  </si>
  <si>
    <t>U3460253280</t>
  </si>
  <si>
    <t>5.10.40-NE-VE</t>
  </si>
  <si>
    <t>Lente Vaikan Negro Verde Hydro 5.10.40</t>
  </si>
  <si>
    <t>7790</t>
  </si>
  <si>
    <t>8795913782434952</t>
  </si>
  <si>
    <t>MLC1710674883</t>
  </si>
  <si>
    <t>U3460251858</t>
  </si>
  <si>
    <t>5.10.40-AJ</t>
  </si>
  <si>
    <t>Lente Vaikan Azul Naranjo Hydro 5.10.40</t>
  </si>
  <si>
    <t>8890</t>
  </si>
  <si>
    <t>8329275009748524</t>
  </si>
  <si>
    <t>MLC1710701331</t>
  </si>
  <si>
    <t>U3453546991</t>
  </si>
  <si>
    <t>6.00.19</t>
  </si>
  <si>
    <t>Palo  Hockey Glassy 34  Simbra 6.00.19</t>
  </si>
  <si>
    <t>30590</t>
  </si>
  <si>
    <t>619184505458819</t>
  </si>
  <si>
    <t>MLC1710701333</t>
  </si>
  <si>
    <t>U3453546993</t>
  </si>
  <si>
    <t>6.00.21</t>
  </si>
  <si>
    <t>Palo  Hockey Glassy 37  Simbra 6.00.21</t>
  </si>
  <si>
    <t>37 "</t>
  </si>
  <si>
    <t>28390</t>
  </si>
  <si>
    <t>7078689670530842</t>
  </si>
  <si>
    <t>MLC1710739583</t>
  </si>
  <si>
    <t>U3460253276</t>
  </si>
  <si>
    <t>5.10.43-AG</t>
  </si>
  <si>
    <t>Lente Mask 21 Adulto Amarillo Gris Hydro 5.10.43</t>
  </si>
  <si>
    <t>Amarillo/gris</t>
  </si>
  <si>
    <t>8190</t>
  </si>
  <si>
    <t>3935467728633389</t>
  </si>
  <si>
    <t>MLC1710739599</t>
  </si>
  <si>
    <t>U3460251852</t>
  </si>
  <si>
    <t>5.10.40-ZA</t>
  </si>
  <si>
    <t>Lente Vaikan Azul Amarillo Hydro 5.10.40</t>
  </si>
  <si>
    <t>4514478218508599</t>
  </si>
  <si>
    <t>MLC1710740209</t>
  </si>
  <si>
    <t>U3453545407</t>
  </si>
  <si>
    <t>6.00.20</t>
  </si>
  <si>
    <t>Palo  Hockey Glassy 36  Simbra 6.00.20</t>
  </si>
  <si>
    <t>36 "</t>
  </si>
  <si>
    <t>4606466729695535</t>
  </si>
  <si>
    <t>MLC1710765601</t>
  </si>
  <si>
    <t>U3460251850</t>
  </si>
  <si>
    <t>5.10.54</t>
  </si>
  <si>
    <t>Lente  Champ X 24 Unid Hydro 5.10.54</t>
  </si>
  <si>
    <t>105890</t>
  </si>
  <si>
    <t>5321624984591793</t>
  </si>
  <si>
    <t>MLC1710779343</t>
  </si>
  <si>
    <t>U3453548547</t>
  </si>
  <si>
    <t>6.00.01</t>
  </si>
  <si>
    <t>Palo Hockey School 28  Simbra 6.00.01</t>
  </si>
  <si>
    <t>Azul - Talla 36 28 "</t>
  </si>
  <si>
    <t>17290</t>
  </si>
  <si>
    <t>4890990405751529</t>
  </si>
  <si>
    <t>MLC1710791571</t>
  </si>
  <si>
    <t>U3460251854</t>
  </si>
  <si>
    <t>5.10.42-BL</t>
  </si>
  <si>
    <t>Lente Unibody 21 Adulto Blanco Hydro 5.10.42</t>
  </si>
  <si>
    <t>8290</t>
  </si>
  <si>
    <t>409033934360945</t>
  </si>
  <si>
    <t>MLC1710791573</t>
  </si>
  <si>
    <t>U3453511775</t>
  </si>
  <si>
    <t>5.10.43-ZB</t>
  </si>
  <si>
    <t>Lente Mask 21 Adulto Azul Blanco Hydro 5.10.43</t>
  </si>
  <si>
    <t>3893895074976697</t>
  </si>
  <si>
    <t>MLC1710805075</t>
  </si>
  <si>
    <t>U3453545411</t>
  </si>
  <si>
    <t>6.00.60</t>
  </si>
  <si>
    <t>Palo Hockey Spirit 26  Simbra 6.00.60</t>
  </si>
  <si>
    <t xml:space="preserve">26  </t>
  </si>
  <si>
    <t>11890</t>
  </si>
  <si>
    <t>364866854715553</t>
  </si>
  <si>
    <t>MLC2733253732</t>
  </si>
  <si>
    <t>U2183802821</t>
  </si>
  <si>
    <t>C.00.06-NAR</t>
  </si>
  <si>
    <t>Pala Pádel Diamond 21 Sixzero® - 3 Capas 100% Fibra Vidrio</t>
  </si>
  <si>
    <t>Negro/naranja</t>
  </si>
  <si>
    <t>84490</t>
  </si>
  <si>
    <t>3343677675568159</t>
  </si>
  <si>
    <t>MLC2737356274</t>
  </si>
  <si>
    <t>U2287494690</t>
  </si>
  <si>
    <t>M.10.19</t>
  </si>
  <si>
    <t>Vara Plástica Drb M.10.19 1.5 Mt</t>
  </si>
  <si>
    <t>5590</t>
  </si>
  <si>
    <t>4052155273345914</t>
  </si>
  <si>
    <t>MLC2737458020</t>
  </si>
  <si>
    <t>U2284506229</t>
  </si>
  <si>
    <t>9.65.02.L</t>
  </si>
  <si>
    <t>Tobillera Neoprene Dribbling 9.65.02 - Talla L</t>
  </si>
  <si>
    <t>7142584363344152</t>
  </si>
  <si>
    <t>MLC2737462354</t>
  </si>
  <si>
    <t>U2282852171</t>
  </si>
  <si>
    <t>M.10.14</t>
  </si>
  <si>
    <t>Valla Drb M.10.14 - Multi Altura Plegable</t>
  </si>
  <si>
    <t>10190</t>
  </si>
  <si>
    <t>6021214004030217</t>
  </si>
  <si>
    <t>MLC2737475380</t>
  </si>
  <si>
    <t>U2287489280</t>
  </si>
  <si>
    <t>M.10.18</t>
  </si>
  <si>
    <t>Vara Plástica Drb M.10.18 1 Mt</t>
  </si>
  <si>
    <t>4590</t>
  </si>
  <si>
    <t>2197564042908080</t>
  </si>
  <si>
    <t>MLC2737533002</t>
  </si>
  <si>
    <t>U2284504361</t>
  </si>
  <si>
    <t>Venda Nylastic Drb 9.00.27 10 Cm</t>
  </si>
  <si>
    <t>2490</t>
  </si>
  <si>
    <t>2134257270517129</t>
  </si>
  <si>
    <t>MLC2737533044</t>
  </si>
  <si>
    <t>U2289150968</t>
  </si>
  <si>
    <t>9.65.02.M</t>
  </si>
  <si>
    <t>Tobillera Neoprene Dribbling 9.65.02 - Talla M</t>
  </si>
  <si>
    <t>2792579565987565</t>
  </si>
  <si>
    <t>MLC2737557474</t>
  </si>
  <si>
    <t>U2284499529</t>
  </si>
  <si>
    <t>9.65.02.S</t>
  </si>
  <si>
    <t>Tobillera Neoprene Dribbling 9.65.02 - Talla S</t>
  </si>
  <si>
    <t>2629293414075045</t>
  </si>
  <si>
    <t>MLC2739399038</t>
  </si>
  <si>
    <t>U2311925475</t>
  </si>
  <si>
    <t>2.90.11</t>
  </si>
  <si>
    <t>Bombin Dribbling 2.90.11 Doble Accion</t>
  </si>
  <si>
    <t>11590</t>
  </si>
  <si>
    <t>1529638553631602</t>
  </si>
  <si>
    <t>MLC2739425386</t>
  </si>
  <si>
    <t>U2316967786</t>
  </si>
  <si>
    <t>5.00.08</t>
  </si>
  <si>
    <t>Gorra Natacion Drb 5.00.08 - Lycra Adulto X 24</t>
  </si>
  <si>
    <t>82990</t>
  </si>
  <si>
    <t>4665246065042110</t>
  </si>
  <si>
    <t>MLC2739451422</t>
  </si>
  <si>
    <t>U2312320233</t>
  </si>
  <si>
    <t>5.00.37-AZL</t>
  </si>
  <si>
    <t>Gorra Natacion Drb 5.00.37azl - Silicona Azul</t>
  </si>
  <si>
    <t>6790</t>
  </si>
  <si>
    <t>6487143372359880</t>
  </si>
  <si>
    <t>MLC2739463946</t>
  </si>
  <si>
    <t>U2312132175</t>
  </si>
  <si>
    <t>5.10.45-AZ</t>
  </si>
  <si>
    <t>Lente Odyssey 21 Drb 5.10.45</t>
  </si>
  <si>
    <t>7807127326940912</t>
  </si>
  <si>
    <t>MLC2756942304</t>
  </si>
  <si>
    <t>U2617534948</t>
  </si>
  <si>
    <t>A.00.15</t>
  </si>
  <si>
    <t>Balon Hand-ball Drb A.00.15 Pro # 2</t>
  </si>
  <si>
    <t>Naranja 2</t>
  </si>
  <si>
    <t>33190</t>
  </si>
  <si>
    <t>167292576802891</t>
  </si>
  <si>
    <t>MLC2757840664</t>
  </si>
  <si>
    <t>U2625746393</t>
  </si>
  <si>
    <t>6.00.00</t>
  </si>
  <si>
    <t>Palo Hockey School Drb 6.00.00 - Talla 30</t>
  </si>
  <si>
    <t>Azul - Talla 32</t>
  </si>
  <si>
    <t>17490</t>
  </si>
  <si>
    <t>6597261110921366</t>
  </si>
  <si>
    <t>MLC2757852056</t>
  </si>
  <si>
    <t>U2630516578</t>
  </si>
  <si>
    <t>6.00.52</t>
  </si>
  <si>
    <t>Palo Hockey Evo 8000 Drb 6.00.52 - Talla 37,5</t>
  </si>
  <si>
    <t>132490</t>
  </si>
  <si>
    <t>4890396890170825</t>
  </si>
  <si>
    <t>MLC2757903504</t>
  </si>
  <si>
    <t>U2625680013</t>
  </si>
  <si>
    <t>6.00.53</t>
  </si>
  <si>
    <t>Palo Hockey Evo 10000 Drb 6.00.53 - Talla 36,5</t>
  </si>
  <si>
    <t>8272183314525010</t>
  </si>
  <si>
    <t>MLC2758300052</t>
  </si>
  <si>
    <t>U2632331197</t>
  </si>
  <si>
    <t>1.00.10</t>
  </si>
  <si>
    <t>Raquet Tenis Sufix 1.00.10 - Junior One</t>
  </si>
  <si>
    <t>26290</t>
  </si>
  <si>
    <t>4027419697010066</t>
  </si>
  <si>
    <t>MLC2764070470</t>
  </si>
  <si>
    <t>U2700923553</t>
  </si>
  <si>
    <t>F.20.21</t>
  </si>
  <si>
    <t>Balon Medicinal Drb F.20.21 Goma 2 Kg</t>
  </si>
  <si>
    <t>36990</t>
  </si>
  <si>
    <t>2941781117445930</t>
  </si>
  <si>
    <t>MLC2765168386</t>
  </si>
  <si>
    <t>U2703056531</t>
  </si>
  <si>
    <t>F.30.56</t>
  </si>
  <si>
    <t>Power Band Drb F.30.56 - 45 × 4.5 × 2080 Mm</t>
  </si>
  <si>
    <t>32490</t>
  </si>
  <si>
    <t>5160315706697580</t>
  </si>
  <si>
    <t>MLC2772733672</t>
  </si>
  <si>
    <t>U2729393595</t>
  </si>
  <si>
    <t>2.00.73</t>
  </si>
  <si>
    <t>Balon Baby/futsal Drb 2.00.73 - Mars 3.0</t>
  </si>
  <si>
    <t>35890</t>
  </si>
  <si>
    <t>5692316447180572</t>
  </si>
  <si>
    <t>MLC2778058182</t>
  </si>
  <si>
    <t>U2768740388</t>
  </si>
  <si>
    <t>2.10.04</t>
  </si>
  <si>
    <t>Peto Deportivo Drb 2.10.04 - C/elástico × 100 Un</t>
  </si>
  <si>
    <t>347990</t>
  </si>
  <si>
    <t>4868704022893469</t>
  </si>
  <si>
    <t>MLC2778058184</t>
  </si>
  <si>
    <t>U2763776027</t>
  </si>
  <si>
    <t>Peto Calado Drb 2.10.12 - C/elástico × 50 Un</t>
  </si>
  <si>
    <t>275990</t>
  </si>
  <si>
    <t>5618321637907582</t>
  </si>
  <si>
    <t>MLC2778070986</t>
  </si>
  <si>
    <t>U2768742142</t>
  </si>
  <si>
    <t>2.10.06</t>
  </si>
  <si>
    <t>Peto Deportivo Drb 2.10.06 - C/elástico × 250 Un</t>
  </si>
  <si>
    <t>806790</t>
  </si>
  <si>
    <t>1557659447975562</t>
  </si>
  <si>
    <t>MLC2778116810</t>
  </si>
  <si>
    <t>U2768740380</t>
  </si>
  <si>
    <t>2.10.08</t>
  </si>
  <si>
    <t>Peto Deportivo Drb 2.10.08 - C/elástico × 500 Un</t>
  </si>
  <si>
    <t>1492190</t>
  </si>
  <si>
    <t>3563386121149939</t>
  </si>
  <si>
    <t>MLC2778129742</t>
  </si>
  <si>
    <t>U2768740382</t>
  </si>
  <si>
    <t>Peto Calado Drb 2.10.14 - C/elástico × 100 Un</t>
  </si>
  <si>
    <t>515290</t>
  </si>
  <si>
    <t>8892810787431480</t>
  </si>
  <si>
    <t>MLC2778155266</t>
  </si>
  <si>
    <t>U2768742138</t>
  </si>
  <si>
    <t>Peto Calado Drb 2.10.15 - C/elástico × 250 Un</t>
  </si>
  <si>
    <t>1192390</t>
  </si>
  <si>
    <t>8238116487240095</t>
  </si>
  <si>
    <t>MLC2778165892</t>
  </si>
  <si>
    <t>U2763776025</t>
  </si>
  <si>
    <t>Peto Calado Drb 2.10.10 - C/elástico × 10 Un</t>
  </si>
  <si>
    <t>59890</t>
  </si>
  <si>
    <t>6136666168603568</t>
  </si>
  <si>
    <t>MLC2778845758</t>
  </si>
  <si>
    <t>U2778979334</t>
  </si>
  <si>
    <t>2.90.01</t>
  </si>
  <si>
    <t>Tablero Drb 2.90.01 - Sustitucion Doble</t>
  </si>
  <si>
    <t>45390</t>
  </si>
  <si>
    <t>MLC2780449238</t>
  </si>
  <si>
    <t>Short Futbol Niño Negro</t>
  </si>
  <si>
    <t>9690</t>
  </si>
  <si>
    <t>186089549143</t>
  </si>
  <si>
    <t>2.40.36NE.XS</t>
  </si>
  <si>
    <t>186089549145</t>
  </si>
  <si>
    <t>2.40.36NE.XXS</t>
  </si>
  <si>
    <t>Negro / XXS</t>
  </si>
  <si>
    <t>MLC2954342884</t>
  </si>
  <si>
    <t>Pack Media Juvenil 2.20.04 Lisa</t>
  </si>
  <si>
    <t>7690</t>
  </si>
  <si>
    <t>188799401185</t>
  </si>
  <si>
    <t>PACK-2.20.04-AM-BL</t>
  </si>
  <si>
    <t>blanco - azul marino</t>
  </si>
  <si>
    <t>188799401187</t>
  </si>
  <si>
    <t>PACK-2.20.04-AZ-NE</t>
  </si>
  <si>
    <t>azulino - negro</t>
  </si>
  <si>
    <t>188799401189</t>
  </si>
  <si>
    <t>PACK-2.20.04-RO-VE</t>
  </si>
  <si>
    <t>8385023512550927</t>
  </si>
  <si>
    <t>MLC2961892748</t>
  </si>
  <si>
    <t>U3278022813</t>
  </si>
  <si>
    <t>CONJ-M.30.00-G.10.01</t>
  </si>
  <si>
    <t>Balón Fútbol Americano + Bombín Drb 00.90 Adulto</t>
  </si>
  <si>
    <t>1</t>
  </si>
  <si>
    <t>30190</t>
  </si>
  <si>
    <t>7881591603113943</t>
  </si>
  <si>
    <t>MLC2961917600</t>
  </si>
  <si>
    <t>U3278022815</t>
  </si>
  <si>
    <t>CONJ-2.00.53-2.90.11</t>
  </si>
  <si>
    <t>Balón Futbol + Bombin Drb 00.90 Boca Estadio</t>
  </si>
  <si>
    <t>26490</t>
  </si>
  <si>
    <t>6673501318080148</t>
  </si>
  <si>
    <t>MLC2961917602</t>
  </si>
  <si>
    <t>U3278022819</t>
  </si>
  <si>
    <t>CONJ-4.00.05-2.90.11</t>
  </si>
  <si>
    <t>Balón Voley + Bombin Drb 00.90 Classic 2.0</t>
  </si>
  <si>
    <t>24490</t>
  </si>
  <si>
    <t>6578453161382567</t>
  </si>
  <si>
    <t>MLC2961930492</t>
  </si>
  <si>
    <t>U3278024709</t>
  </si>
  <si>
    <t>CONJ-B.00.00-2.90.12</t>
  </si>
  <si>
    <t xml:space="preserve">Balón Ritmica + Bombin Drb 00.90 Clasico 6 </t>
  </si>
  <si>
    <t>27190</t>
  </si>
  <si>
    <t>8647706724991381</t>
  </si>
  <si>
    <t>MLC2961958176</t>
  </si>
  <si>
    <t>U3278024729</t>
  </si>
  <si>
    <t>CONJ-4.00.09-2.90.11</t>
  </si>
  <si>
    <t>Balón Voley + Bombin Drb 00.90 Touch 3.0 Italy</t>
  </si>
  <si>
    <t>26890</t>
  </si>
  <si>
    <t>6024793951527218</t>
  </si>
  <si>
    <t>MLC2961971144</t>
  </si>
  <si>
    <t>U3278026113</t>
  </si>
  <si>
    <t>CONJ-B.00.06-2.90.12</t>
  </si>
  <si>
    <t xml:space="preserve">Balón Ritmica + Bombin Drb 00.90 Lisa 400 Grs 7 </t>
  </si>
  <si>
    <t>34090</t>
  </si>
  <si>
    <t>2720677727057116</t>
  </si>
  <si>
    <t>MLC2961971148</t>
  </si>
  <si>
    <t>U3278024725</t>
  </si>
  <si>
    <t>CONJ-B.00.04-E.90.12</t>
  </si>
  <si>
    <t xml:space="preserve">Balón Ritmica + Bombin Drb 00.90 Lisa 300 Grs 6 </t>
  </si>
  <si>
    <t>27390</t>
  </si>
  <si>
    <t>MLC3067327848</t>
  </si>
  <si>
    <t>13590</t>
  </si>
  <si>
    <t>184833344160</t>
  </si>
  <si>
    <t>MELANGE - MELANGE / M</t>
  </si>
  <si>
    <t>184833344154</t>
  </si>
  <si>
    <t>MELANGE - MELANGE / S</t>
  </si>
  <si>
    <t>184833344156</t>
  </si>
  <si>
    <t>MELANGE - NEGRO / S</t>
  </si>
  <si>
    <t>184833344158</t>
  </si>
  <si>
    <t>184833344162</t>
  </si>
  <si>
    <t>M / MELANGE - NEGRO</t>
  </si>
  <si>
    <t>184833344164</t>
  </si>
  <si>
    <t>184833344166</t>
  </si>
  <si>
    <t>MELANGE - MELANGE / L</t>
  </si>
  <si>
    <t>184833344168</t>
  </si>
  <si>
    <t>L / MELANGE - NEGRO</t>
  </si>
  <si>
    <t>184833344170</t>
  </si>
  <si>
    <t>184833344172</t>
  </si>
  <si>
    <t>MELANGE - MELANGE / XL</t>
  </si>
  <si>
    <t>184833344174</t>
  </si>
  <si>
    <t>XL / MELANGE - NEGRO</t>
  </si>
  <si>
    <t>184833344176</t>
  </si>
  <si>
    <t>MLC3067340830</t>
  </si>
  <si>
    <t>150</t>
  </si>
  <si>
    <t>189921154473</t>
  </si>
  <si>
    <t>189921154475</t>
  </si>
  <si>
    <t>189921154477</t>
  </si>
  <si>
    <t>189921154479</t>
  </si>
  <si>
    <t>189921154481</t>
  </si>
  <si>
    <t>189921154483</t>
  </si>
  <si>
    <t>189921154485</t>
  </si>
  <si>
    <t>189921154487</t>
  </si>
  <si>
    <t>189921154489</t>
  </si>
  <si>
    <t>189921154491</t>
  </si>
  <si>
    <t>189921154493</t>
  </si>
  <si>
    <t>189921154495</t>
  </si>
  <si>
    <t>189921154497</t>
  </si>
  <si>
    <t>189921154499</t>
  </si>
  <si>
    <t>189921154501</t>
  </si>
  <si>
    <t>959962768412135</t>
  </si>
  <si>
    <t>MLC3152215904</t>
  </si>
  <si>
    <t>U3420754401</t>
  </si>
  <si>
    <t>5190</t>
  </si>
  <si>
    <t>5431017419887768</t>
  </si>
  <si>
    <t>MLC3156470578</t>
  </si>
  <si>
    <t>U3423262693</t>
  </si>
  <si>
    <t>9.55.15-L</t>
  </si>
  <si>
    <t>Rodillera Universal Drb Protect 9.55.15-l - Negro</t>
  </si>
  <si>
    <t>10490</t>
  </si>
  <si>
    <t>2085652066849667</t>
  </si>
  <si>
    <t>MLC3156470582</t>
  </si>
  <si>
    <t>U3423262739</t>
  </si>
  <si>
    <t>4.70.25-M</t>
  </si>
  <si>
    <t>Rodillera Volley High Density - Drb 4.70.25-m</t>
  </si>
  <si>
    <t>13090</t>
  </si>
  <si>
    <t>4328730875014163</t>
  </si>
  <si>
    <t>MLC3156483732</t>
  </si>
  <si>
    <t>U3423261065</t>
  </si>
  <si>
    <t>4.70.25-S</t>
  </si>
  <si>
    <t>Rodillera Volley High Density - Drb 4.70.25-s</t>
  </si>
  <si>
    <t>1477211240190077</t>
  </si>
  <si>
    <t>MLC3156483868</t>
  </si>
  <si>
    <t>U3423278965</t>
  </si>
  <si>
    <t>9.70.01</t>
  </si>
  <si>
    <t>Protector Bucal Simple Drb 9.70.01 - Transparente</t>
  </si>
  <si>
    <t>5890</t>
  </si>
  <si>
    <t>763162052957390</t>
  </si>
  <si>
    <t>MLC3156496462</t>
  </si>
  <si>
    <t>U3423264423</t>
  </si>
  <si>
    <t>9.55.03-S</t>
  </si>
  <si>
    <t>Rodillera Barra Neoprene Drb 9.55.03-s</t>
  </si>
  <si>
    <t>8381067882442080</t>
  </si>
  <si>
    <t>MLC3156561812</t>
  </si>
  <si>
    <t>U3429885878</t>
  </si>
  <si>
    <t>4.70.01</t>
  </si>
  <si>
    <t>Rodillera Drb 4.70.01 - Voley Clasica - L</t>
  </si>
  <si>
    <t>10590</t>
  </si>
  <si>
    <t>MLC3156574488</t>
  </si>
  <si>
    <t>185503337798</t>
  </si>
  <si>
    <t>2.40.36-NE-XS</t>
  </si>
  <si>
    <t>185503337800</t>
  </si>
  <si>
    <t>2.40.36-NE-XXS</t>
  </si>
  <si>
    <t>6260155341683622</t>
  </si>
  <si>
    <t>MLC3156574490</t>
  </si>
  <si>
    <t>U3423262701</t>
  </si>
  <si>
    <t>9.55.15-M</t>
  </si>
  <si>
    <t>Rodillera Universal Drb Protect 9.55.15-m - Negro</t>
  </si>
  <si>
    <t>2082748673640301</t>
  </si>
  <si>
    <t>MLC3156587582</t>
  </si>
  <si>
    <t>U3423264403</t>
  </si>
  <si>
    <t>9.55.00-L</t>
  </si>
  <si>
    <t>Rodillera Elastica Drb 9.50.00-l - Blanco</t>
  </si>
  <si>
    <t>2667906124932366</t>
  </si>
  <si>
    <t>MLC3156587584</t>
  </si>
  <si>
    <t>U3423261073</t>
  </si>
  <si>
    <t>9.55.00-M</t>
  </si>
  <si>
    <t>Rodillera Elastica Drb 9.50.00-m - Blanco</t>
  </si>
  <si>
    <t>6133522973127594</t>
  </si>
  <si>
    <t>MLC3156600676</t>
  </si>
  <si>
    <t>U3429885880</t>
  </si>
  <si>
    <t>9.55.03-XL</t>
  </si>
  <si>
    <t>Rodillera Barra Neoprene Drb 9.55.03-xl</t>
  </si>
  <si>
    <t>38390</t>
  </si>
  <si>
    <t>3718740475769638</t>
  </si>
  <si>
    <t>MLC3156605492</t>
  </si>
  <si>
    <t>U3430614318</t>
  </si>
  <si>
    <t>Silbato Fox40 Sharx 2.90.78 - Gris/blanco</t>
  </si>
  <si>
    <t>7990</t>
  </si>
  <si>
    <t>8959995327069194</t>
  </si>
  <si>
    <t>MLC3156665708</t>
  </si>
  <si>
    <t>U3423262697</t>
  </si>
  <si>
    <t>9.55.00-S</t>
  </si>
  <si>
    <t>Rodillera Elastica Drb 9.50.00-s - Blanco</t>
  </si>
  <si>
    <t>5063756652806489</t>
  </si>
  <si>
    <t>MLC3156665710</t>
  </si>
  <si>
    <t>U3423261095</t>
  </si>
  <si>
    <t>4.70.03</t>
  </si>
  <si>
    <t>Rodillera Drb 4.70.03 - Voley Clasica - S</t>
  </si>
  <si>
    <t>7112916842015969</t>
  </si>
  <si>
    <t>MLC3156678732</t>
  </si>
  <si>
    <t>U3423261099</t>
  </si>
  <si>
    <t>4.70.00</t>
  </si>
  <si>
    <t>Rodillera Drb 4.70.00 - Voley Clasica - M</t>
  </si>
  <si>
    <t>7391773827842790</t>
  </si>
  <si>
    <t>MLC3156730538</t>
  </si>
  <si>
    <t>U3423262699</t>
  </si>
  <si>
    <t>9.55.03-L</t>
  </si>
  <si>
    <t>Rodillera Barra Neoprene Drb 9.55.03-l</t>
  </si>
  <si>
    <t>8861883909624755</t>
  </si>
  <si>
    <t>MLC3156730542</t>
  </si>
  <si>
    <t>U3423261071</t>
  </si>
  <si>
    <t>4.70.25-L</t>
  </si>
  <si>
    <t>Rodillera Volley High Density - Drb 4.70.25-l</t>
  </si>
  <si>
    <t>8126703491983650</t>
  </si>
  <si>
    <t>MLC3156730544</t>
  </si>
  <si>
    <t>U3429885900</t>
  </si>
  <si>
    <t>9.55.03-M</t>
  </si>
  <si>
    <t>Rodillera Barra Neoprene Drb 9.55.03-m</t>
  </si>
  <si>
    <t>2787922558981636</t>
  </si>
  <si>
    <t>MLC3174067366</t>
  </si>
  <si>
    <t>U3443661234</t>
  </si>
  <si>
    <t>8.00.51</t>
  </si>
  <si>
    <t>Paleta  Pp Yashima 80310 Goma Xr7 Comp 8.00.51</t>
  </si>
  <si>
    <t>34590</t>
  </si>
  <si>
    <t>3874856310141234</t>
  </si>
  <si>
    <t>MLC3192970846</t>
  </si>
  <si>
    <t>U3454081623</t>
  </si>
  <si>
    <t>5.00.34-NE</t>
  </si>
  <si>
    <t>Gorra Hydro Natacion Lycra Jr. Negro</t>
  </si>
  <si>
    <t>Negro Liso</t>
  </si>
  <si>
    <t>5271436875511711</t>
  </si>
  <si>
    <t>MLC3192970848</t>
  </si>
  <si>
    <t>U3454082553</t>
  </si>
  <si>
    <t>5.00.33-NE</t>
  </si>
  <si>
    <t>Gorra Hydro Natacion Lycra Adul Negr</t>
  </si>
  <si>
    <t>5990</t>
  </si>
  <si>
    <t>a86dc25c-45f2-44af-881b-5f2175569813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</si>
</sst>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u/>
      <sz val="10.0"/>
      <color rgb="FF1155CC"/>
      <name val="Arial"/>
    </font>
    <font>
      <sz val="10.0"/>
      <color rgb="FF000000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b/>
      <sz val="14.0"/>
      <color rgb="FF000000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0.0"/>
      <color theme="1"/>
      <name val="Arial"/>
    </font>
    <font>
      <b/>
      <i/>
      <sz val="10.0"/>
      <color rgb="FF781A13"/>
      <name val="Arial"/>
    </font>
    <font>
      <b/>
      <i/>
      <sz val="10.0"/>
      <color rgb="FF000000"/>
      <name val="Arial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EAEAEA"/>
      </patternFill>
    </fill>
    <fill>
      <patternFill patternType="solid">
        <fgColor rgb="FFEEEEEE"/>
        <bgColor rgb="FFEEEEEE"/>
      </patternFill>
    </fill>
    <fill>
      <patternFill patternType="solid">
        <fgColor rgb="FFF5D29F"/>
        <bgColor rgb="FFF5D29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8CCA4"/>
        <bgColor rgb="FFF8CCA4"/>
      </patternFill>
    </fill>
    <fill>
      <patternFill patternType="solid">
        <fgColor rgb="FFF3F3F3"/>
        <bgColor rgb="FFF3F3F3"/>
      </patternFill>
    </fill>
  </fills>
  <borders count="69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dotted">
        <color rgb="FF999999"/>
      </left>
      <top style="dotted">
        <color rgb="FF999999"/>
      </top>
      <bottom style="hair">
        <color rgb="FFD6D6D6"/>
      </bottom>
    </border>
    <border>
      <top style="dotted">
        <color rgb="FF999999"/>
      </top>
      <bottom style="hair">
        <color rgb="FFD6D6D6"/>
      </bottom>
    </border>
    <border>
      <right style="hair">
        <color rgb="FFD6D6D6"/>
      </right>
      <top style="dotted">
        <color rgb="FF999999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top style="medium">
        <color rgb="FFF9F9F9"/>
      </top>
      <bottom style="medium">
        <color rgb="FFF9F9F9"/>
      </bottom>
    </border>
    <border>
      <right style="thin">
        <color rgb="FFD9D9D9"/>
      </right>
      <bottom style="medium">
        <color rgb="FFF5F5F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49" applyAlignment="1" applyFont="1" applyNumberFormat="1"/>
  </cellStyleXfs>
  <cellXfs count="116">
    <xf borderId="0" fillId="0" fontId="0" numFmtId="49" xfId="0" applyAlignment="1" applyFont="1" applyNumberForma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wrapText="0"/>
    </xf>
    <xf borderId="31" fillId="0" fontId="3" numFmtId="0" xfId="0" applyBorder="1" applyFont="1"/>
    <xf borderId="26" fillId="0" fontId="3" numFmtId="0" xfId="0" applyBorder="1" applyFont="1"/>
    <xf borderId="29" fillId="5" fontId="10" numFmtId="0" xfId="0" applyAlignment="1" applyBorder="1" applyFont="1">
      <alignment horizontal="left" shrinkToFit="0" vertical="center" wrapText="0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1" numFmtId="0" xfId="0" applyBorder="1" applyFont="1"/>
    <xf borderId="27" fillId="5" fontId="11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2" numFmtId="0" xfId="0" applyAlignment="1" applyBorder="1" applyFill="1" applyFont="1">
      <alignment horizontal="center" shrinkToFit="0" vertical="center" wrapText="0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63" fillId="9" fontId="12" numFmtId="0" xfId="0" applyAlignment="1" applyBorder="1" applyFill="1" applyFont="1">
      <alignment horizontal="center" vertical="center"/>
    </xf>
    <xf borderId="64" fillId="0" fontId="3" numFmtId="0" xfId="0" applyBorder="1" applyFont="1"/>
    <xf borderId="65" fillId="0" fontId="3" numFmtId="0" xfId="0" applyBorder="1" applyFont="1"/>
    <xf borderId="40" fillId="5" fontId="13" numFmtId="0" xfId="0" applyAlignment="1" applyBorder="1" applyFont="1">
      <alignment horizontal="left" vertical="center"/>
    </xf>
    <xf borderId="66" fillId="0" fontId="3" numFmtId="0" xfId="0" applyBorder="1" applyFont="1"/>
    <xf borderId="32" fillId="0" fontId="3" numFmtId="0" xfId="0" applyBorder="1" applyFont="1"/>
    <xf borderId="0" fillId="5" fontId="14" numFmtId="0" xfId="0" applyAlignment="1" applyFont="1">
      <alignment shrinkToFit="0" wrapText="0"/>
    </xf>
    <xf borderId="0" fillId="5" fontId="10" numFmtId="0" xfId="0" applyAlignment="1" applyFont="1">
      <alignment shrinkToFit="0" vertical="center" wrapText="1"/>
    </xf>
    <xf borderId="37" fillId="0" fontId="3" numFmtId="0" xfId="0" applyBorder="1" applyFont="1"/>
    <xf borderId="67" fillId="0" fontId="3" numFmtId="0" xfId="0" applyBorder="1" applyFont="1"/>
    <xf borderId="0" fillId="0" fontId="15" numFmtId="0" xfId="0" applyAlignment="1" applyFont="1">
      <alignment shrinkToFit="0" wrapText="0"/>
    </xf>
    <xf borderId="0" fillId="7" fontId="16" numFmtId="0" xfId="0" applyAlignment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11" fontId="17" numFmtId="0" xfId="0" applyAlignment="1" applyFill="1" applyFont="1">
      <alignment horizontal="center" shrinkToFit="0" vertical="center" wrapText="1"/>
    </xf>
    <xf borderId="0" fillId="12" fontId="17" numFmtId="0" xfId="0" applyAlignment="1" applyFill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13" fontId="17" numFmtId="0" xfId="0" applyAlignment="1" applyFill="1" applyFont="1">
      <alignment horizontal="center" shrinkToFit="0" vertical="center" wrapText="1"/>
    </xf>
    <xf borderId="0" fillId="14" fontId="17" numFmtId="0" xfId="0" applyAlignment="1" applyFill="1" applyFont="1">
      <alignment horizontal="center" shrinkToFit="0" vertical="center" wrapText="1"/>
    </xf>
    <xf borderId="0" fillId="15" fontId="17" numFmtId="0" xfId="0" applyAlignment="1" applyFill="1" applyFont="1">
      <alignment horizontal="center" shrinkToFit="0" vertical="center" wrapText="1"/>
    </xf>
    <xf borderId="68" fillId="16" fontId="18" numFmtId="0" xfId="0" applyAlignment="1" applyBorder="1" applyFill="1" applyFont="1">
      <alignment horizontal="center" shrinkToFit="0" vertical="center" wrapText="0"/>
    </xf>
    <xf borderId="68" fillId="16" fontId="19" numFmtId="0" xfId="0" applyAlignment="1" applyBorder="1" applyFont="1">
      <alignment horizontal="center" shrinkToFit="0" vertical="center" wrapText="0"/>
    </xf>
    <xf borderId="68" fillId="8" fontId="12" numFmtId="0" xfId="0" applyAlignment="1" applyBorder="1" applyFont="1">
      <alignment horizontal="center" shrinkToFit="0" vertical="center" wrapText="0"/>
    </xf>
    <xf borderId="68" fillId="7" fontId="10" numFmtId="0" xfId="0" applyAlignment="1" applyBorder="1" applyFont="1">
      <alignment horizontal="left" shrinkToFit="0" vertical="center" wrapText="0"/>
    </xf>
    <xf borderId="68" fillId="7" fontId="10" numFmtId="0" xfId="0" applyAlignment="1" applyBorder="1" applyFont="1">
      <alignment horizontal="center" shrinkToFit="0" vertical="center" wrapText="0"/>
    </xf>
    <xf borderId="68" fillId="0" fontId="15" numFmtId="0" xfId="0" applyAlignment="1" applyBorder="1" applyFont="1">
      <alignment horizontal="center" shrinkToFit="0" vertical="center" wrapText="0"/>
    </xf>
    <xf borderId="68" fillId="7" fontId="10" numFmtId="0" xfId="0" applyAlignment="1" applyBorder="1" applyFont="1">
      <alignment horizontal="left" shrinkToFit="0" vertical="center" wrapText="1"/>
    </xf>
    <xf borderId="0" fillId="0" fontId="20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l/publicaciones/edicion-en-excel/uploa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6.25"/>
    <col customWidth="1" min="3" max="3" width="1.25"/>
    <col customWidth="1" min="4" max="4" width="32.0"/>
    <col customWidth="1" min="5" max="7" width="6.13"/>
    <col customWidth="1" min="8" max="10" width="7.63"/>
    <col customWidth="1" min="11" max="11" width="1.88"/>
    <col customWidth="1" min="12" max="14" width="14.38"/>
    <col customWidth="1" min="15" max="15" width="12.13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40" t="s">
        <v>5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43" t="s">
        <v>6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7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8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9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10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11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12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84" t="s">
        <v>13</v>
      </c>
      <c r="I29" s="85"/>
      <c r="J29" s="86"/>
      <c r="K29" s="59"/>
      <c r="L29" s="87" t="s">
        <v>14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hidden="1" customHeight="1">
      <c r="A31" s="26"/>
      <c r="B31" s="33"/>
      <c r="C31" s="33"/>
      <c r="D31" s="33"/>
      <c r="E31" s="20"/>
      <c r="F31" s="21"/>
      <c r="G31" s="53"/>
      <c r="H31" s="89" t="s">
        <v>15</v>
      </c>
      <c r="I31" s="90"/>
      <c r="J31" s="91"/>
      <c r="K31" s="59"/>
      <c r="L31" s="87" t="s">
        <v>14</v>
      </c>
      <c r="M31" s="31"/>
      <c r="N31" s="52"/>
      <c r="O31" s="25"/>
    </row>
    <row r="32" ht="18.75" hidden="1" customHeight="1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hidden="1" customHeight="1">
      <c r="A33" s="26"/>
      <c r="B33" s="33"/>
      <c r="C33" s="33"/>
      <c r="D33" s="33"/>
      <c r="E33" s="20"/>
      <c r="F33" s="21"/>
      <c r="G33" s="25"/>
      <c r="H33" s="25"/>
      <c r="I33" s="92"/>
      <c r="J33" s="93"/>
      <c r="K33" s="93"/>
      <c r="L33" s="93"/>
      <c r="M33" s="93"/>
      <c r="N33" s="94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5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96" t="s">
        <v>17</v>
      </c>
      <c r="O36" s="21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41"/>
      <c r="J37" s="41"/>
      <c r="K37" s="41"/>
      <c r="L37" s="41"/>
      <c r="M37" s="41"/>
      <c r="N37" s="41"/>
      <c r="O37" s="97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8"/>
      <c r="F40" s="97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:id="rId1" ref="I1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3" width="17.63"/>
    <col customWidth="1" hidden="1" min="4" max="4" width="17.63"/>
    <col customWidth="1" min="5" max="5" width="17.63"/>
    <col customWidth="1" min="6" max="6" width="58.63"/>
    <col customWidth="1" min="7" max="7" width="17.63"/>
    <col customWidth="1" min="8" max="9" width="23.5"/>
    <col customWidth="1" min="10" max="11" width="17.63"/>
    <col customWidth="1" min="12" max="21" width="31.25"/>
    <col customWidth="1" min="22" max="22" width="21.5"/>
    <col customWidth="1" min="23" max="23" width="17.63"/>
  </cols>
  <sheetData>
    <row r="1" customHeight="1">
      <c r="A1" s="99" t="s">
        <v>18</v>
      </c>
      <c r="B1" s="99" t="s">
        <v>19</v>
      </c>
      <c r="C1" s="99" t="s">
        <v>20</v>
      </c>
      <c r="D1" s="99" t="s">
        <v>21</v>
      </c>
      <c r="E1" s="99" t="s">
        <v>22</v>
      </c>
      <c r="F1" s="99" t="s">
        <v>23</v>
      </c>
      <c r="G1" s="99" t="s">
        <v>24</v>
      </c>
      <c r="H1" s="99" t="s">
        <v>25</v>
      </c>
      <c r="I1" s="99" t="s">
        <v>26</v>
      </c>
      <c r="J1" s="99" t="s">
        <v>27</v>
      </c>
      <c r="K1" s="99" t="s">
        <v>28</v>
      </c>
      <c r="L1" s="99" t="s">
        <v>29</v>
      </c>
      <c r="M1" s="99" t="s">
        <v>30</v>
      </c>
      <c r="N1" s="99" t="s">
        <v>31</v>
      </c>
      <c r="O1" s="99" t="s">
        <v>32</v>
      </c>
      <c r="P1" s="99" t="s">
        <v>33</v>
      </c>
      <c r="Q1" s="99" t="s">
        <v>34</v>
      </c>
      <c r="R1" s="99" t="s">
        <v>35</v>
      </c>
      <c r="S1" s="99" t="s">
        <v>36</v>
      </c>
      <c r="T1" s="99" t="s">
        <v>37</v>
      </c>
      <c r="U1" s="99" t="s">
        <v>38</v>
      </c>
      <c r="V1" s="99" t="s">
        <v>39</v>
      </c>
      <c r="W1" s="99" t="s">
        <v>40</v>
      </c>
    </row>
    <row r="2" ht="42.0" customHeight="1">
      <c r="A2" s="100" t="s">
        <v>2</v>
      </c>
      <c r="H2" s="101" t="s">
        <v>41</v>
      </c>
      <c r="J2" s="102" t="s">
        <v>42</v>
      </c>
      <c r="W2" s="103" t="s">
        <v>43</v>
      </c>
    </row>
    <row r="3" ht="42.0" customHeight="1">
      <c r="A3" s="104" t="s">
        <v>44</v>
      </c>
      <c r="B3" s="104" t="s">
        <v>45</v>
      </c>
      <c r="C3" s="104" t="s">
        <v>46</v>
      </c>
      <c r="D3" s="104" t="s">
        <v>47</v>
      </c>
      <c r="E3" s="104" t="s">
        <v>22</v>
      </c>
      <c r="F3" s="104" t="s">
        <v>48</v>
      </c>
      <c r="G3" s="104" t="s">
        <v>49</v>
      </c>
      <c r="H3" s="101" t="s">
        <v>50</v>
      </c>
      <c r="I3" s="101" t="s">
        <v>51</v>
      </c>
      <c r="J3" s="105" t="s">
        <v>52</v>
      </c>
      <c r="K3" s="105" t="s">
        <v>53</v>
      </c>
      <c r="L3" s="105" t="s">
        <v>54</v>
      </c>
      <c r="N3" s="105" t="s">
        <v>55</v>
      </c>
      <c r="P3" s="105" t="s">
        <v>56</v>
      </c>
      <c r="R3" s="105" t="s">
        <v>57</v>
      </c>
      <c r="T3" s="105" t="s">
        <v>58</v>
      </c>
      <c r="V3" s="105" t="s">
        <v>59</v>
      </c>
      <c r="W3" s="106" t="s">
        <v>60</v>
      </c>
    </row>
    <row r="4" ht="37.5" customHeight="1">
      <c r="L4" s="107" t="s">
        <v>61</v>
      </c>
      <c r="M4" s="107" t="s">
        <v>62</v>
      </c>
      <c r="N4" s="107" t="s">
        <v>61</v>
      </c>
      <c r="O4" s="107" t="s">
        <v>62</v>
      </c>
      <c r="P4" s="107" t="s">
        <v>61</v>
      </c>
      <c r="Q4" s="107" t="s">
        <v>62</v>
      </c>
      <c r="R4" s="107" t="s">
        <v>61</v>
      </c>
      <c r="S4" s="107" t="s">
        <v>62</v>
      </c>
      <c r="T4" s="107" t="s">
        <v>61</v>
      </c>
      <c r="U4" s="107" t="s">
        <v>62</v>
      </c>
    </row>
    <row r="5" ht="15.0" customHeight="1">
      <c r="A5" s="108" t="s">
        <v>63</v>
      </c>
      <c r="B5" s="108" t="s">
        <v>63</v>
      </c>
      <c r="C5" s="108" t="s">
        <v>63</v>
      </c>
      <c r="D5" s="108" t="s">
        <v>63</v>
      </c>
      <c r="E5" s="108" t="s">
        <v>63</v>
      </c>
      <c r="F5" s="109" t="s">
        <v>63</v>
      </c>
      <c r="G5" s="108" t="s">
        <v>63</v>
      </c>
      <c r="H5" s="108" t="s">
        <v>64</v>
      </c>
      <c r="I5" s="108" t="s">
        <v>63</v>
      </c>
      <c r="J5" s="108" t="s">
        <v>64</v>
      </c>
      <c r="K5" s="108" t="s">
        <v>64</v>
      </c>
      <c r="L5" s="108" t="s">
        <v>63</v>
      </c>
      <c r="M5" s="108" t="s">
        <v>63</v>
      </c>
      <c r="N5" s="108" t="s">
        <v>63</v>
      </c>
      <c r="O5" s="108" t="s">
        <v>63</v>
      </c>
      <c r="P5" s="108" t="s">
        <v>63</v>
      </c>
      <c r="Q5" s="108" t="s">
        <v>63</v>
      </c>
      <c r="R5" s="108" t="s">
        <v>63</v>
      </c>
      <c r="S5" s="108" t="s">
        <v>63</v>
      </c>
      <c r="T5" s="108" t="s">
        <v>63</v>
      </c>
      <c r="U5" s="108" t="s">
        <v>63</v>
      </c>
      <c r="V5" s="108" t="s">
        <v>64</v>
      </c>
      <c r="W5" s="108" t="s">
        <v>63</v>
      </c>
    </row>
    <row r="6" ht="49.5" customHeight="1">
      <c r="A6" s="110" t="s">
        <v>65</v>
      </c>
      <c r="B6" s="110" t="s">
        <v>66</v>
      </c>
      <c r="C6" s="110" t="s">
        <v>67</v>
      </c>
      <c r="D6" s="110"/>
      <c r="E6" s="111" t="s">
        <v>68</v>
      </c>
      <c r="F6" s="112" t="s">
        <v>69</v>
      </c>
      <c r="G6" s="110" t="s">
        <v>70</v>
      </c>
      <c r="H6" s="113">
        <v>28.0</v>
      </c>
      <c r="I6" s="110" t="s">
        <v>70</v>
      </c>
      <c r="J6" s="112">
        <v>17690.0</v>
      </c>
      <c r="K6" s="113" t="s">
        <v>71</v>
      </c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0" t="s">
        <v>72</v>
      </c>
      <c r="W6" s="112" t="s">
        <v>73</v>
      </c>
    </row>
    <row r="7" ht="49.5" customHeight="1">
      <c r="A7" s="110" t="s">
        <v>74</v>
      </c>
      <c r="B7" s="110" t="s">
        <v>75</v>
      </c>
      <c r="C7" s="110" t="s">
        <v>76</v>
      </c>
      <c r="D7" s="110"/>
      <c r="E7" s="111" t="s">
        <v>77</v>
      </c>
      <c r="F7" s="112" t="s">
        <v>78</v>
      </c>
      <c r="G7" s="110" t="s">
        <v>79</v>
      </c>
      <c r="H7" s="113">
        <v>28.0</v>
      </c>
      <c r="I7" s="110" t="s">
        <v>70</v>
      </c>
      <c r="J7" s="112">
        <v>7990.0</v>
      </c>
      <c r="K7" s="113" t="s">
        <v>71</v>
      </c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 t="s">
        <v>72</v>
      </c>
      <c r="W7" s="112" t="s">
        <v>73</v>
      </c>
    </row>
    <row r="8" ht="49.5" customHeight="1">
      <c r="A8" s="110" t="s">
        <v>80</v>
      </c>
      <c r="B8" s="110" t="s">
        <v>81</v>
      </c>
      <c r="C8" s="110" t="s">
        <v>82</v>
      </c>
      <c r="D8" s="110"/>
      <c r="E8" s="111" t="s">
        <v>77</v>
      </c>
      <c r="F8" s="112" t="s">
        <v>83</v>
      </c>
      <c r="G8" s="110" t="s">
        <v>84</v>
      </c>
      <c r="H8" s="113">
        <v>29.0</v>
      </c>
      <c r="I8" s="110" t="s">
        <v>70</v>
      </c>
      <c r="J8" s="112" t="s">
        <v>63</v>
      </c>
      <c r="K8" s="113" t="s">
        <v>71</v>
      </c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 t="s">
        <v>72</v>
      </c>
      <c r="W8" s="112" t="s">
        <v>73</v>
      </c>
    </row>
    <row r="9" ht="49.5" customHeight="1">
      <c r="A9" s="110" t="s">
        <v>85</v>
      </c>
      <c r="B9" s="110" t="s">
        <v>86</v>
      </c>
      <c r="C9" s="110" t="s">
        <v>87</v>
      </c>
      <c r="D9" s="110"/>
      <c r="E9" s="111" t="s">
        <v>88</v>
      </c>
      <c r="F9" s="112" t="s">
        <v>89</v>
      </c>
      <c r="G9" s="110" t="s">
        <v>90</v>
      </c>
      <c r="H9" s="113">
        <v>30.0</v>
      </c>
      <c r="I9" s="110" t="s">
        <v>70</v>
      </c>
      <c r="J9" s="112">
        <v>4890.0</v>
      </c>
      <c r="K9" s="113" t="s">
        <v>71</v>
      </c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 t="s">
        <v>72</v>
      </c>
      <c r="W9" s="112" t="s">
        <v>73</v>
      </c>
    </row>
    <row r="10" ht="49.5" customHeight="1">
      <c r="A10" s="110" t="s">
        <v>91</v>
      </c>
      <c r="B10" s="110" t="s">
        <v>92</v>
      </c>
      <c r="C10" s="110" t="s">
        <v>93</v>
      </c>
      <c r="D10" s="110"/>
      <c r="E10" s="111" t="s">
        <v>94</v>
      </c>
      <c r="F10" s="112" t="s">
        <v>95</v>
      </c>
      <c r="G10" s="110" t="s">
        <v>70</v>
      </c>
      <c r="H10" s="113">
        <v>28.0</v>
      </c>
      <c r="I10" s="110" t="s">
        <v>70</v>
      </c>
      <c r="J10" s="112">
        <v>18290.0</v>
      </c>
      <c r="K10" s="113" t="s">
        <v>71</v>
      </c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0" t="s">
        <v>72</v>
      </c>
      <c r="W10" s="112" t="s">
        <v>73</v>
      </c>
    </row>
    <row r="11" ht="49.5" customHeight="1">
      <c r="A11" s="110" t="s">
        <v>63</v>
      </c>
      <c r="B11" s="110" t="s">
        <v>96</v>
      </c>
      <c r="C11" s="110"/>
      <c r="D11" s="110"/>
      <c r="E11" s="112" t="s">
        <v>96</v>
      </c>
      <c r="F11" s="112" t="s">
        <v>97</v>
      </c>
      <c r="G11" s="110" t="s">
        <v>70</v>
      </c>
      <c r="H11" s="110" t="s">
        <v>98</v>
      </c>
      <c r="I11" s="110" t="s">
        <v>70</v>
      </c>
      <c r="J11" s="112">
        <v>24590.0</v>
      </c>
      <c r="K11" s="113" t="s">
        <v>71</v>
      </c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 t="s">
        <v>72</v>
      </c>
      <c r="W11" s="112" t="s">
        <v>73</v>
      </c>
    </row>
    <row r="12" ht="49.5" customHeight="1">
      <c r="A12" s="110" t="s">
        <v>63</v>
      </c>
      <c r="B12" s="110" t="s">
        <v>96</v>
      </c>
      <c r="C12" s="110" t="s">
        <v>99</v>
      </c>
      <c r="D12" s="110" t="s">
        <v>99</v>
      </c>
      <c r="E12" s="111" t="s">
        <v>100</v>
      </c>
      <c r="F12" s="114" t="str">
        <f>"     "&amp;F11</f>
        <v>     Sostén Mujer Jockey Sport S-249 Deportivo Cotton Spandex</v>
      </c>
      <c r="G12" s="110" t="s">
        <v>101</v>
      </c>
      <c r="H12" s="113">
        <v>30.0</v>
      </c>
      <c r="I12" s="110" t="s">
        <v>70</v>
      </c>
      <c r="J12" s="112">
        <f>J11</f>
        <v>24590</v>
      </c>
      <c r="K12" s="110" t="str">
        <f>K11&amp;"     "</f>
        <v>$     </v>
      </c>
      <c r="L12" s="110" t="str">
        <f t="shared" ref="L12:U12" si="1">L11</f>
        <v/>
      </c>
      <c r="M12" s="110" t="str">
        <f t="shared" si="1"/>
        <v/>
      </c>
      <c r="N12" s="110" t="str">
        <f t="shared" si="1"/>
        <v/>
      </c>
      <c r="O12" s="110" t="str">
        <f t="shared" si="1"/>
        <v/>
      </c>
      <c r="P12" s="110" t="str">
        <f t="shared" si="1"/>
        <v/>
      </c>
      <c r="Q12" s="110" t="str">
        <f t="shared" si="1"/>
        <v/>
      </c>
      <c r="R12" s="110" t="str">
        <f t="shared" si="1"/>
        <v/>
      </c>
      <c r="S12" s="110" t="str">
        <f t="shared" si="1"/>
        <v/>
      </c>
      <c r="T12" s="110" t="str">
        <f t="shared" si="1"/>
        <v/>
      </c>
      <c r="U12" s="110" t="str">
        <f t="shared" si="1"/>
        <v/>
      </c>
      <c r="V12" s="110" t="str">
        <f t="shared" ref="V12:W12" si="2">V11&amp;"     "</f>
        <v>Nuevo     </v>
      </c>
      <c r="W12" s="112" t="str">
        <f t="shared" si="2"/>
        <v>Activa     </v>
      </c>
    </row>
    <row r="13" ht="49.5" customHeight="1">
      <c r="A13" s="110" t="s">
        <v>63</v>
      </c>
      <c r="B13" s="110" t="s">
        <v>96</v>
      </c>
      <c r="C13" s="110" t="s">
        <v>102</v>
      </c>
      <c r="D13" s="110" t="s">
        <v>102</v>
      </c>
      <c r="E13" s="111" t="s">
        <v>103</v>
      </c>
      <c r="F13" s="114" t="str">
        <f>"     "&amp;F11</f>
        <v>     Sostén Mujer Jockey Sport S-249 Deportivo Cotton Spandex</v>
      </c>
      <c r="G13" s="110" t="s">
        <v>104</v>
      </c>
      <c r="H13" s="113">
        <v>29.0</v>
      </c>
      <c r="I13" s="110" t="s">
        <v>70</v>
      </c>
      <c r="J13" s="112">
        <f>J11</f>
        <v>24590</v>
      </c>
      <c r="K13" s="110" t="str">
        <f>K11&amp;"     "</f>
        <v>$     </v>
      </c>
      <c r="L13" s="110" t="str">
        <f t="shared" ref="L13:U13" si="3">L11</f>
        <v/>
      </c>
      <c r="M13" s="110" t="str">
        <f t="shared" si="3"/>
        <v/>
      </c>
      <c r="N13" s="110" t="str">
        <f t="shared" si="3"/>
        <v/>
      </c>
      <c r="O13" s="110" t="str">
        <f t="shared" si="3"/>
        <v/>
      </c>
      <c r="P13" s="110" t="str">
        <f t="shared" si="3"/>
        <v/>
      </c>
      <c r="Q13" s="110" t="str">
        <f t="shared" si="3"/>
        <v/>
      </c>
      <c r="R13" s="110" t="str">
        <f t="shared" si="3"/>
        <v/>
      </c>
      <c r="S13" s="110" t="str">
        <f t="shared" si="3"/>
        <v/>
      </c>
      <c r="T13" s="110" t="str">
        <f t="shared" si="3"/>
        <v/>
      </c>
      <c r="U13" s="110" t="str">
        <f t="shared" si="3"/>
        <v/>
      </c>
      <c r="V13" s="110" t="str">
        <f t="shared" ref="V13:W13" si="4">V11&amp;"     "</f>
        <v>Nuevo     </v>
      </c>
      <c r="W13" s="112" t="str">
        <f t="shared" si="4"/>
        <v>Activa     </v>
      </c>
    </row>
    <row r="14" ht="49.5" customHeight="1">
      <c r="A14" s="110" t="s">
        <v>63</v>
      </c>
      <c r="B14" s="110" t="s">
        <v>96</v>
      </c>
      <c r="C14" s="110" t="s">
        <v>105</v>
      </c>
      <c r="D14" s="110" t="s">
        <v>105</v>
      </c>
      <c r="E14" s="111" t="s">
        <v>106</v>
      </c>
      <c r="F14" s="114" t="str">
        <f>"     "&amp;F11</f>
        <v>     Sostén Mujer Jockey Sport S-249 Deportivo Cotton Spandex</v>
      </c>
      <c r="G14" s="110" t="s">
        <v>107</v>
      </c>
      <c r="H14" s="113">
        <v>30.0</v>
      </c>
      <c r="I14" s="110" t="s">
        <v>70</v>
      </c>
      <c r="J14" s="112">
        <f>J11</f>
        <v>24590</v>
      </c>
      <c r="K14" s="110" t="str">
        <f>K11&amp;"     "</f>
        <v>$     </v>
      </c>
      <c r="L14" s="110" t="str">
        <f t="shared" ref="L14:U14" si="5">L11</f>
        <v/>
      </c>
      <c r="M14" s="110" t="str">
        <f t="shared" si="5"/>
        <v/>
      </c>
      <c r="N14" s="110" t="str">
        <f t="shared" si="5"/>
        <v/>
      </c>
      <c r="O14" s="110" t="str">
        <f t="shared" si="5"/>
        <v/>
      </c>
      <c r="P14" s="110" t="str">
        <f t="shared" si="5"/>
        <v/>
      </c>
      <c r="Q14" s="110" t="str">
        <f t="shared" si="5"/>
        <v/>
      </c>
      <c r="R14" s="110" t="str">
        <f t="shared" si="5"/>
        <v/>
      </c>
      <c r="S14" s="110" t="str">
        <f t="shared" si="5"/>
        <v/>
      </c>
      <c r="T14" s="110" t="str">
        <f t="shared" si="5"/>
        <v/>
      </c>
      <c r="U14" s="110" t="str">
        <f t="shared" si="5"/>
        <v/>
      </c>
      <c r="V14" s="110" t="str">
        <f t="shared" ref="V14:W14" si="6">V11&amp;"     "</f>
        <v>Nuevo     </v>
      </c>
      <c r="W14" s="112" t="str">
        <f t="shared" si="6"/>
        <v>Activa     </v>
      </c>
    </row>
    <row r="15" ht="49.5" customHeight="1">
      <c r="A15" s="110" t="s">
        <v>63</v>
      </c>
      <c r="B15" s="110" t="s">
        <v>96</v>
      </c>
      <c r="C15" s="110" t="s">
        <v>108</v>
      </c>
      <c r="D15" s="110" t="s">
        <v>108</v>
      </c>
      <c r="E15" s="111" t="s">
        <v>109</v>
      </c>
      <c r="F15" s="114" t="str">
        <f>"     "&amp;F11</f>
        <v>     Sostén Mujer Jockey Sport S-249 Deportivo Cotton Spandex</v>
      </c>
      <c r="G15" s="110" t="s">
        <v>110</v>
      </c>
      <c r="H15" s="113">
        <v>30.0</v>
      </c>
      <c r="I15" s="110" t="s">
        <v>70</v>
      </c>
      <c r="J15" s="112">
        <f>J11</f>
        <v>24590</v>
      </c>
      <c r="K15" s="110" t="str">
        <f>K11&amp;"     "</f>
        <v>$     </v>
      </c>
      <c r="L15" s="110" t="str">
        <f t="shared" ref="L15:U15" si="7">L11</f>
        <v/>
      </c>
      <c r="M15" s="110" t="str">
        <f t="shared" si="7"/>
        <v/>
      </c>
      <c r="N15" s="110" t="str">
        <f t="shared" si="7"/>
        <v/>
      </c>
      <c r="O15" s="110" t="str">
        <f t="shared" si="7"/>
        <v/>
      </c>
      <c r="P15" s="110" t="str">
        <f t="shared" si="7"/>
        <v/>
      </c>
      <c r="Q15" s="110" t="str">
        <f t="shared" si="7"/>
        <v/>
      </c>
      <c r="R15" s="110" t="str">
        <f t="shared" si="7"/>
        <v/>
      </c>
      <c r="S15" s="110" t="str">
        <f t="shared" si="7"/>
        <v/>
      </c>
      <c r="T15" s="110" t="str">
        <f t="shared" si="7"/>
        <v/>
      </c>
      <c r="U15" s="110" t="str">
        <f t="shared" si="7"/>
        <v/>
      </c>
      <c r="V15" s="110" t="str">
        <f t="shared" ref="V15:W15" si="8">V11&amp;"     "</f>
        <v>Nuevo     </v>
      </c>
      <c r="W15" s="112" t="str">
        <f t="shared" si="8"/>
        <v>Activa     </v>
      </c>
    </row>
    <row r="16" ht="49.5" customHeight="1">
      <c r="A16" s="110" t="s">
        <v>63</v>
      </c>
      <c r="B16" s="110" t="s">
        <v>96</v>
      </c>
      <c r="C16" s="110" t="s">
        <v>111</v>
      </c>
      <c r="D16" s="110" t="s">
        <v>111</v>
      </c>
      <c r="E16" s="111" t="s">
        <v>112</v>
      </c>
      <c r="F16" s="114" t="str">
        <f>"     "&amp;F11</f>
        <v>     Sostén Mujer Jockey Sport S-249 Deportivo Cotton Spandex</v>
      </c>
      <c r="G16" s="110" t="s">
        <v>113</v>
      </c>
      <c r="H16" s="113">
        <v>30.0</v>
      </c>
      <c r="I16" s="110" t="s">
        <v>70</v>
      </c>
      <c r="J16" s="112">
        <f>J11</f>
        <v>24590</v>
      </c>
      <c r="K16" s="110" t="str">
        <f>K11&amp;"     "</f>
        <v>$     </v>
      </c>
      <c r="L16" s="110" t="str">
        <f t="shared" ref="L16:U16" si="9">L11</f>
        <v/>
      </c>
      <c r="M16" s="110" t="str">
        <f t="shared" si="9"/>
        <v/>
      </c>
      <c r="N16" s="110" t="str">
        <f t="shared" si="9"/>
        <v/>
      </c>
      <c r="O16" s="110" t="str">
        <f t="shared" si="9"/>
        <v/>
      </c>
      <c r="P16" s="110" t="str">
        <f t="shared" si="9"/>
        <v/>
      </c>
      <c r="Q16" s="110" t="str">
        <f t="shared" si="9"/>
        <v/>
      </c>
      <c r="R16" s="110" t="str">
        <f t="shared" si="9"/>
        <v/>
      </c>
      <c r="S16" s="110" t="str">
        <f t="shared" si="9"/>
        <v/>
      </c>
      <c r="T16" s="110" t="str">
        <f t="shared" si="9"/>
        <v/>
      </c>
      <c r="U16" s="110" t="str">
        <f t="shared" si="9"/>
        <v/>
      </c>
      <c r="V16" s="110" t="str">
        <f t="shared" ref="V16:W16" si="10">V11&amp;"     "</f>
        <v>Nuevo     </v>
      </c>
      <c r="W16" s="112" t="str">
        <f t="shared" si="10"/>
        <v>Activa     </v>
      </c>
    </row>
    <row r="17" ht="49.5" customHeight="1">
      <c r="A17" s="110" t="s">
        <v>63</v>
      </c>
      <c r="B17" s="110" t="s">
        <v>96</v>
      </c>
      <c r="C17" s="110" t="s">
        <v>114</v>
      </c>
      <c r="D17" s="110" t="s">
        <v>114</v>
      </c>
      <c r="E17" s="111" t="s">
        <v>115</v>
      </c>
      <c r="F17" s="114" t="str">
        <f>"     "&amp;F11</f>
        <v>     Sostén Mujer Jockey Sport S-249 Deportivo Cotton Spandex</v>
      </c>
      <c r="G17" s="110" t="s">
        <v>116</v>
      </c>
      <c r="H17" s="113">
        <v>29.0</v>
      </c>
      <c r="I17" s="110" t="s">
        <v>70</v>
      </c>
      <c r="J17" s="112">
        <f>J11</f>
        <v>24590</v>
      </c>
      <c r="K17" s="110" t="str">
        <f>K11&amp;"     "</f>
        <v>$     </v>
      </c>
      <c r="L17" s="110" t="str">
        <f t="shared" ref="L17:U17" si="11">L11</f>
        <v/>
      </c>
      <c r="M17" s="110" t="str">
        <f t="shared" si="11"/>
        <v/>
      </c>
      <c r="N17" s="110" t="str">
        <f t="shared" si="11"/>
        <v/>
      </c>
      <c r="O17" s="110" t="str">
        <f t="shared" si="11"/>
        <v/>
      </c>
      <c r="P17" s="110" t="str">
        <f t="shared" si="11"/>
        <v/>
      </c>
      <c r="Q17" s="110" t="str">
        <f t="shared" si="11"/>
        <v/>
      </c>
      <c r="R17" s="110" t="str">
        <f t="shared" si="11"/>
        <v/>
      </c>
      <c r="S17" s="110" t="str">
        <f t="shared" si="11"/>
        <v/>
      </c>
      <c r="T17" s="110" t="str">
        <f t="shared" si="11"/>
        <v/>
      </c>
      <c r="U17" s="110" t="str">
        <f t="shared" si="11"/>
        <v/>
      </c>
      <c r="V17" s="110" t="str">
        <f t="shared" ref="V17:W17" si="12">V11&amp;"     "</f>
        <v>Nuevo     </v>
      </c>
      <c r="W17" s="112" t="str">
        <f t="shared" si="12"/>
        <v>Activa     </v>
      </c>
    </row>
    <row r="18" ht="49.5" customHeight="1">
      <c r="A18" s="110" t="s">
        <v>63</v>
      </c>
      <c r="B18" s="110" t="s">
        <v>96</v>
      </c>
      <c r="C18" s="110" t="s">
        <v>117</v>
      </c>
      <c r="D18" s="110" t="s">
        <v>117</v>
      </c>
      <c r="E18" s="111" t="s">
        <v>118</v>
      </c>
      <c r="F18" s="114" t="str">
        <f>"     "&amp;F11</f>
        <v>     Sostén Mujer Jockey Sport S-249 Deportivo Cotton Spandex</v>
      </c>
      <c r="G18" s="110" t="s">
        <v>119</v>
      </c>
      <c r="H18" s="113">
        <v>30.0</v>
      </c>
      <c r="I18" s="110" t="s">
        <v>70</v>
      </c>
      <c r="J18" s="112">
        <f>J11</f>
        <v>24590</v>
      </c>
      <c r="K18" s="110" t="str">
        <f>K11&amp;"     "</f>
        <v>$     </v>
      </c>
      <c r="L18" s="110" t="str">
        <f t="shared" ref="L18:U18" si="13">L11</f>
        <v/>
      </c>
      <c r="M18" s="110" t="str">
        <f t="shared" si="13"/>
        <v/>
      </c>
      <c r="N18" s="110" t="str">
        <f t="shared" si="13"/>
        <v/>
      </c>
      <c r="O18" s="110" t="str">
        <f t="shared" si="13"/>
        <v/>
      </c>
      <c r="P18" s="110" t="str">
        <f t="shared" si="13"/>
        <v/>
      </c>
      <c r="Q18" s="110" t="str">
        <f t="shared" si="13"/>
        <v/>
      </c>
      <c r="R18" s="110" t="str">
        <f t="shared" si="13"/>
        <v/>
      </c>
      <c r="S18" s="110" t="str">
        <f t="shared" si="13"/>
        <v/>
      </c>
      <c r="T18" s="110" t="str">
        <f t="shared" si="13"/>
        <v/>
      </c>
      <c r="U18" s="110" t="str">
        <f t="shared" si="13"/>
        <v/>
      </c>
      <c r="V18" s="110" t="str">
        <f t="shared" ref="V18:W18" si="14">V11&amp;"     "</f>
        <v>Nuevo     </v>
      </c>
      <c r="W18" s="112" t="str">
        <f t="shared" si="14"/>
        <v>Activa     </v>
      </c>
    </row>
    <row r="19" ht="49.5" customHeight="1">
      <c r="A19" s="110" t="s">
        <v>63</v>
      </c>
      <c r="B19" s="110" t="s">
        <v>96</v>
      </c>
      <c r="C19" s="110" t="s">
        <v>120</v>
      </c>
      <c r="D19" s="110" t="s">
        <v>120</v>
      </c>
      <c r="E19" s="111" t="s">
        <v>121</v>
      </c>
      <c r="F19" s="114" t="str">
        <f>"     "&amp;F11</f>
        <v>     Sostén Mujer Jockey Sport S-249 Deportivo Cotton Spandex</v>
      </c>
      <c r="G19" s="110" t="s">
        <v>122</v>
      </c>
      <c r="H19" s="113">
        <v>30.0</v>
      </c>
      <c r="I19" s="110" t="s">
        <v>70</v>
      </c>
      <c r="J19" s="112">
        <f>J11</f>
        <v>24590</v>
      </c>
      <c r="K19" s="110" t="str">
        <f>K11&amp;"     "</f>
        <v>$     </v>
      </c>
      <c r="L19" s="110" t="str">
        <f t="shared" ref="L19:U19" si="15">L11</f>
        <v/>
      </c>
      <c r="M19" s="110" t="str">
        <f t="shared" si="15"/>
        <v/>
      </c>
      <c r="N19" s="110" t="str">
        <f t="shared" si="15"/>
        <v/>
      </c>
      <c r="O19" s="110" t="str">
        <f t="shared" si="15"/>
        <v/>
      </c>
      <c r="P19" s="110" t="str">
        <f t="shared" si="15"/>
        <v/>
      </c>
      <c r="Q19" s="110" t="str">
        <f t="shared" si="15"/>
        <v/>
      </c>
      <c r="R19" s="110" t="str">
        <f t="shared" si="15"/>
        <v/>
      </c>
      <c r="S19" s="110" t="str">
        <f t="shared" si="15"/>
        <v/>
      </c>
      <c r="T19" s="110" t="str">
        <f t="shared" si="15"/>
        <v/>
      </c>
      <c r="U19" s="110" t="str">
        <f t="shared" si="15"/>
        <v/>
      </c>
      <c r="V19" s="110" t="str">
        <f t="shared" ref="V19:W19" si="16">V11&amp;"     "</f>
        <v>Nuevo     </v>
      </c>
      <c r="W19" s="112" t="str">
        <f t="shared" si="16"/>
        <v>Activa     </v>
      </c>
    </row>
    <row r="20" ht="49.5" customHeight="1">
      <c r="A20" s="110" t="s">
        <v>123</v>
      </c>
      <c r="B20" s="110" t="s">
        <v>124</v>
      </c>
      <c r="C20" s="110" t="s">
        <v>125</v>
      </c>
      <c r="D20" s="110"/>
      <c r="E20" s="111" t="s">
        <v>126</v>
      </c>
      <c r="F20" s="112" t="s">
        <v>127</v>
      </c>
      <c r="G20" s="110" t="s">
        <v>127</v>
      </c>
      <c r="H20" s="113">
        <v>30.0</v>
      </c>
      <c r="I20" s="110" t="s">
        <v>70</v>
      </c>
      <c r="J20" s="112">
        <v>2790.0</v>
      </c>
      <c r="K20" s="113" t="s">
        <v>71</v>
      </c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 t="s">
        <v>72</v>
      </c>
      <c r="W20" s="112" t="s">
        <v>73</v>
      </c>
    </row>
    <row r="21" ht="49.5" customHeight="1">
      <c r="A21" s="110" t="s">
        <v>128</v>
      </c>
      <c r="B21" s="110" t="s">
        <v>129</v>
      </c>
      <c r="C21" s="110" t="s">
        <v>130</v>
      </c>
      <c r="D21" s="110"/>
      <c r="E21" s="111" t="s">
        <v>131</v>
      </c>
      <c r="F21" s="112" t="s">
        <v>132</v>
      </c>
      <c r="G21" s="110" t="s">
        <v>70</v>
      </c>
      <c r="H21" s="113">
        <v>7.0</v>
      </c>
      <c r="I21" s="110" t="s">
        <v>70</v>
      </c>
      <c r="J21" s="112">
        <v>18090.0</v>
      </c>
      <c r="K21" s="113" t="s">
        <v>71</v>
      </c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0" t="s">
        <v>72</v>
      </c>
      <c r="W21" s="112" t="s">
        <v>73</v>
      </c>
    </row>
    <row r="22" ht="49.5" customHeight="1">
      <c r="A22" s="110" t="s">
        <v>133</v>
      </c>
      <c r="B22" s="110" t="s">
        <v>134</v>
      </c>
      <c r="C22" s="110" t="s">
        <v>135</v>
      </c>
      <c r="D22" s="110"/>
      <c r="E22" s="111" t="s">
        <v>136</v>
      </c>
      <c r="F22" s="112" t="s">
        <v>137</v>
      </c>
      <c r="G22" s="110" t="s">
        <v>138</v>
      </c>
      <c r="H22" s="113">
        <v>29.0</v>
      </c>
      <c r="I22" s="110" t="s">
        <v>70</v>
      </c>
      <c r="J22" s="112">
        <v>5990.0</v>
      </c>
      <c r="K22" s="113" t="s">
        <v>71</v>
      </c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 t="s">
        <v>72</v>
      </c>
      <c r="W22" s="112" t="s">
        <v>73</v>
      </c>
    </row>
    <row r="23" ht="49.5" customHeight="1">
      <c r="A23" s="110" t="s">
        <v>139</v>
      </c>
      <c r="B23" s="110" t="s">
        <v>140</v>
      </c>
      <c r="C23" s="110" t="s">
        <v>141</v>
      </c>
      <c r="D23" s="110"/>
      <c r="E23" s="111" t="s">
        <v>142</v>
      </c>
      <c r="F23" s="112" t="s">
        <v>143</v>
      </c>
      <c r="G23" s="110" t="s">
        <v>144</v>
      </c>
      <c r="H23" s="113">
        <v>30.0</v>
      </c>
      <c r="I23" s="110" t="s">
        <v>70</v>
      </c>
      <c r="J23" s="112">
        <v>5990.0</v>
      </c>
      <c r="K23" s="113" t="s">
        <v>71</v>
      </c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 t="s">
        <v>72</v>
      </c>
      <c r="W23" s="112" t="s">
        <v>73</v>
      </c>
    </row>
    <row r="24" ht="49.5" customHeight="1">
      <c r="A24" s="110" t="s">
        <v>145</v>
      </c>
      <c r="B24" s="110" t="s">
        <v>146</v>
      </c>
      <c r="C24" s="110" t="s">
        <v>147</v>
      </c>
      <c r="D24" s="110"/>
      <c r="E24" s="111" t="s">
        <v>148</v>
      </c>
      <c r="F24" s="112" t="s">
        <v>149</v>
      </c>
      <c r="G24" s="110" t="s">
        <v>150</v>
      </c>
      <c r="H24" s="113">
        <v>30.0</v>
      </c>
      <c r="I24" s="110" t="s">
        <v>70</v>
      </c>
      <c r="J24" s="112">
        <v>15090.0</v>
      </c>
      <c r="K24" s="113" t="s">
        <v>71</v>
      </c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 t="s">
        <v>72</v>
      </c>
      <c r="W24" s="112" t="s">
        <v>73</v>
      </c>
    </row>
    <row r="25" ht="49.5" customHeight="1">
      <c r="A25" s="110" t="s">
        <v>63</v>
      </c>
      <c r="B25" s="110" t="s">
        <v>151</v>
      </c>
      <c r="C25" s="110"/>
      <c r="D25" s="110"/>
      <c r="E25" s="112" t="s">
        <v>151</v>
      </c>
      <c r="F25" s="112" t="s">
        <v>152</v>
      </c>
      <c r="G25" s="110" t="s">
        <v>70</v>
      </c>
      <c r="H25" s="110" t="s">
        <v>153</v>
      </c>
      <c r="I25" s="110" t="s">
        <v>70</v>
      </c>
      <c r="J25" s="112">
        <v>5490.0</v>
      </c>
      <c r="K25" s="113" t="s">
        <v>71</v>
      </c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 t="s">
        <v>72</v>
      </c>
      <c r="W25" s="112" t="s">
        <v>73</v>
      </c>
    </row>
    <row r="26" ht="49.5" customHeight="1">
      <c r="A26" s="110" t="s">
        <v>63</v>
      </c>
      <c r="B26" s="110" t="s">
        <v>151</v>
      </c>
      <c r="C26" s="110" t="s">
        <v>154</v>
      </c>
      <c r="D26" s="110" t="s">
        <v>154</v>
      </c>
      <c r="E26" s="111" t="s">
        <v>155</v>
      </c>
      <c r="F26" s="114" t="str">
        <f>"     "&amp;F25</f>
        <v>     Short Futbol Niño Drb 2.40.36 - Azulino</v>
      </c>
      <c r="G26" s="110" t="s">
        <v>156</v>
      </c>
      <c r="H26" s="113">
        <v>10.0</v>
      </c>
      <c r="I26" s="110" t="s">
        <v>70</v>
      </c>
      <c r="J26" s="112">
        <f>J25</f>
        <v>5490</v>
      </c>
      <c r="K26" s="110" t="str">
        <f>K25&amp;"     "</f>
        <v>$     </v>
      </c>
      <c r="L26" s="110" t="str">
        <f t="shared" ref="L26:U26" si="17">L25</f>
        <v/>
      </c>
      <c r="M26" s="110" t="str">
        <f t="shared" si="17"/>
        <v/>
      </c>
      <c r="N26" s="110" t="str">
        <f t="shared" si="17"/>
        <v/>
      </c>
      <c r="O26" s="110" t="str">
        <f t="shared" si="17"/>
        <v/>
      </c>
      <c r="P26" s="110" t="str">
        <f t="shared" si="17"/>
        <v/>
      </c>
      <c r="Q26" s="110" t="str">
        <f t="shared" si="17"/>
        <v/>
      </c>
      <c r="R26" s="110" t="str">
        <f t="shared" si="17"/>
        <v/>
      </c>
      <c r="S26" s="110" t="str">
        <f t="shared" si="17"/>
        <v/>
      </c>
      <c r="T26" s="110" t="str">
        <f t="shared" si="17"/>
        <v/>
      </c>
      <c r="U26" s="110" t="str">
        <f t="shared" si="17"/>
        <v/>
      </c>
      <c r="V26" s="110" t="str">
        <f t="shared" ref="V26:W26" si="18">V25&amp;"     "</f>
        <v>Nuevo     </v>
      </c>
      <c r="W26" s="112" t="str">
        <f t="shared" si="18"/>
        <v>Activa     </v>
      </c>
    </row>
    <row r="27" ht="49.5" customHeight="1">
      <c r="A27" s="110" t="s">
        <v>63</v>
      </c>
      <c r="B27" s="110" t="s">
        <v>151</v>
      </c>
      <c r="C27" s="110" t="s">
        <v>157</v>
      </c>
      <c r="D27" s="110" t="s">
        <v>157</v>
      </c>
      <c r="E27" s="111" t="s">
        <v>158</v>
      </c>
      <c r="F27" s="114" t="str">
        <f>"     "&amp;F25</f>
        <v>     Short Futbol Niño Drb 2.40.36 - Azulino</v>
      </c>
      <c r="G27" s="110" t="s">
        <v>159</v>
      </c>
      <c r="H27" s="113">
        <v>8.0</v>
      </c>
      <c r="I27" s="110" t="s">
        <v>70</v>
      </c>
      <c r="J27" s="112">
        <f>J25</f>
        <v>5490</v>
      </c>
      <c r="K27" s="110" t="str">
        <f>K25&amp;"     "</f>
        <v>$     </v>
      </c>
      <c r="L27" s="110" t="str">
        <f t="shared" ref="L27:U27" si="19">L25</f>
        <v/>
      </c>
      <c r="M27" s="110" t="str">
        <f t="shared" si="19"/>
        <v/>
      </c>
      <c r="N27" s="110" t="str">
        <f t="shared" si="19"/>
        <v/>
      </c>
      <c r="O27" s="110" t="str">
        <f t="shared" si="19"/>
        <v/>
      </c>
      <c r="P27" s="110" t="str">
        <f t="shared" si="19"/>
        <v/>
      </c>
      <c r="Q27" s="110" t="str">
        <f t="shared" si="19"/>
        <v/>
      </c>
      <c r="R27" s="110" t="str">
        <f t="shared" si="19"/>
        <v/>
      </c>
      <c r="S27" s="110" t="str">
        <f t="shared" si="19"/>
        <v/>
      </c>
      <c r="T27" s="110" t="str">
        <f t="shared" si="19"/>
        <v/>
      </c>
      <c r="U27" s="110" t="str">
        <f t="shared" si="19"/>
        <v/>
      </c>
      <c r="V27" s="110" t="str">
        <f t="shared" ref="V27:W27" si="20">V25&amp;"     "</f>
        <v>Nuevo     </v>
      </c>
      <c r="W27" s="112" t="str">
        <f t="shared" si="20"/>
        <v>Activa     </v>
      </c>
    </row>
    <row r="28" ht="49.5" customHeight="1">
      <c r="A28" s="110" t="s">
        <v>160</v>
      </c>
      <c r="B28" s="110" t="s">
        <v>161</v>
      </c>
      <c r="C28" s="110" t="s">
        <v>162</v>
      </c>
      <c r="D28" s="110"/>
      <c r="E28" s="111" t="s">
        <v>163</v>
      </c>
      <c r="F28" s="112" t="s">
        <v>164</v>
      </c>
      <c r="G28" s="110" t="s">
        <v>165</v>
      </c>
      <c r="H28" s="113">
        <v>30.0</v>
      </c>
      <c r="I28" s="110" t="s">
        <v>70</v>
      </c>
      <c r="J28" s="112">
        <v>5790.0</v>
      </c>
      <c r="K28" s="113" t="s">
        <v>71</v>
      </c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 t="s">
        <v>72</v>
      </c>
      <c r="W28" s="112" t="s">
        <v>73</v>
      </c>
    </row>
    <row r="29" ht="49.5" customHeight="1">
      <c r="A29" s="110" t="s">
        <v>166</v>
      </c>
      <c r="B29" s="110" t="s">
        <v>167</v>
      </c>
      <c r="C29" s="110" t="s">
        <v>168</v>
      </c>
      <c r="D29" s="110"/>
      <c r="E29" s="111" t="s">
        <v>169</v>
      </c>
      <c r="F29" s="112" t="s">
        <v>170</v>
      </c>
      <c r="G29" s="110" t="s">
        <v>170</v>
      </c>
      <c r="H29" s="113">
        <v>30.0</v>
      </c>
      <c r="I29" s="110" t="s">
        <v>70</v>
      </c>
      <c r="J29" s="112">
        <v>18190.0</v>
      </c>
      <c r="K29" s="113" t="s">
        <v>71</v>
      </c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 t="s">
        <v>72</v>
      </c>
      <c r="W29" s="112" t="s">
        <v>73</v>
      </c>
    </row>
    <row r="30" ht="49.5" customHeight="1">
      <c r="A30" s="110" t="s">
        <v>171</v>
      </c>
      <c r="B30" s="110" t="s">
        <v>172</v>
      </c>
      <c r="C30" s="110" t="s">
        <v>173</v>
      </c>
      <c r="D30" s="110"/>
      <c r="E30" s="111" t="s">
        <v>174</v>
      </c>
      <c r="F30" s="112" t="s">
        <v>175</v>
      </c>
      <c r="G30" s="110" t="s">
        <v>176</v>
      </c>
      <c r="H30" s="113">
        <v>30.0</v>
      </c>
      <c r="I30" s="110" t="s">
        <v>70</v>
      </c>
      <c r="J30" s="112">
        <v>7790.0</v>
      </c>
      <c r="K30" s="113" t="s">
        <v>71</v>
      </c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 t="s">
        <v>72</v>
      </c>
      <c r="W30" s="112" t="s">
        <v>73</v>
      </c>
    </row>
    <row r="31" ht="49.5" customHeight="1">
      <c r="A31" s="110" t="s">
        <v>177</v>
      </c>
      <c r="B31" s="110" t="s">
        <v>178</v>
      </c>
      <c r="C31" s="110" t="s">
        <v>179</v>
      </c>
      <c r="D31" s="110"/>
      <c r="E31" s="111" t="s">
        <v>180</v>
      </c>
      <c r="F31" s="112" t="s">
        <v>181</v>
      </c>
      <c r="G31" s="110" t="s">
        <v>182</v>
      </c>
      <c r="H31" s="113">
        <v>29.0</v>
      </c>
      <c r="I31" s="110" t="s">
        <v>70</v>
      </c>
      <c r="J31" s="112">
        <v>13790.0</v>
      </c>
      <c r="K31" s="113" t="s">
        <v>71</v>
      </c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 t="s">
        <v>72</v>
      </c>
      <c r="W31" s="112" t="s">
        <v>73</v>
      </c>
    </row>
    <row r="32" ht="49.5" customHeight="1">
      <c r="A32" s="110" t="s">
        <v>183</v>
      </c>
      <c r="B32" s="110" t="s">
        <v>184</v>
      </c>
      <c r="C32" s="110" t="s">
        <v>185</v>
      </c>
      <c r="D32" s="110"/>
      <c r="E32" s="111" t="s">
        <v>186</v>
      </c>
      <c r="F32" s="112" t="s">
        <v>187</v>
      </c>
      <c r="G32" s="110" t="s">
        <v>165</v>
      </c>
      <c r="H32" s="113">
        <v>9.0</v>
      </c>
      <c r="I32" s="110" t="s">
        <v>70</v>
      </c>
      <c r="J32" s="112">
        <v>73590.0</v>
      </c>
      <c r="K32" s="113" t="s">
        <v>71</v>
      </c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 t="s">
        <v>72</v>
      </c>
      <c r="W32" s="112" t="s">
        <v>73</v>
      </c>
    </row>
    <row r="33" ht="49.5" customHeight="1">
      <c r="A33" s="110" t="s">
        <v>63</v>
      </c>
      <c r="B33" s="110" t="s">
        <v>188</v>
      </c>
      <c r="C33" s="110"/>
      <c r="D33" s="110"/>
      <c r="E33" s="112" t="s">
        <v>188</v>
      </c>
      <c r="F33" s="112" t="s">
        <v>189</v>
      </c>
      <c r="G33" s="110" t="s">
        <v>70</v>
      </c>
      <c r="H33" s="110" t="s">
        <v>190</v>
      </c>
      <c r="I33" s="110" t="s">
        <v>70</v>
      </c>
      <c r="J33" s="112">
        <v>7690.0</v>
      </c>
      <c r="K33" s="113" t="s">
        <v>71</v>
      </c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 t="s">
        <v>72</v>
      </c>
      <c r="W33" s="112" t="s">
        <v>73</v>
      </c>
    </row>
    <row r="34" ht="49.5" customHeight="1">
      <c r="A34" s="110" t="s">
        <v>63</v>
      </c>
      <c r="B34" s="110" t="s">
        <v>188</v>
      </c>
      <c r="C34" s="110" t="s">
        <v>191</v>
      </c>
      <c r="D34" s="110" t="s">
        <v>191</v>
      </c>
      <c r="E34" s="111" t="s">
        <v>192</v>
      </c>
      <c r="F34" s="114" t="str">
        <f>"     "&amp;F33</f>
        <v>     Short Futbol Drb 2.40.32 Liso Azulino</v>
      </c>
      <c r="G34" s="110" t="s">
        <v>193</v>
      </c>
      <c r="H34" s="113">
        <v>9.0</v>
      </c>
      <c r="I34" s="110" t="s">
        <v>70</v>
      </c>
      <c r="J34" s="112">
        <f>J33</f>
        <v>7690</v>
      </c>
      <c r="K34" s="110" t="str">
        <f>K33&amp;"     "</f>
        <v>$     </v>
      </c>
      <c r="L34" s="110" t="str">
        <f t="shared" ref="L34:U34" si="21">L33</f>
        <v/>
      </c>
      <c r="M34" s="110" t="str">
        <f t="shared" si="21"/>
        <v/>
      </c>
      <c r="N34" s="110" t="str">
        <f t="shared" si="21"/>
        <v/>
      </c>
      <c r="O34" s="110" t="str">
        <f t="shared" si="21"/>
        <v/>
      </c>
      <c r="P34" s="110" t="str">
        <f t="shared" si="21"/>
        <v/>
      </c>
      <c r="Q34" s="110" t="str">
        <f t="shared" si="21"/>
        <v/>
      </c>
      <c r="R34" s="110" t="str">
        <f t="shared" si="21"/>
        <v/>
      </c>
      <c r="S34" s="110" t="str">
        <f t="shared" si="21"/>
        <v/>
      </c>
      <c r="T34" s="110" t="str">
        <f t="shared" si="21"/>
        <v/>
      </c>
      <c r="U34" s="110" t="str">
        <f t="shared" si="21"/>
        <v/>
      </c>
      <c r="V34" s="110" t="str">
        <f t="shared" ref="V34:W34" si="22">V33&amp;"     "</f>
        <v>Nuevo     </v>
      </c>
      <c r="W34" s="112" t="str">
        <f t="shared" si="22"/>
        <v>Activa     </v>
      </c>
    </row>
    <row r="35" ht="49.5" customHeight="1">
      <c r="A35" s="110" t="s">
        <v>63</v>
      </c>
      <c r="B35" s="110" t="s">
        <v>188</v>
      </c>
      <c r="C35" s="110" t="s">
        <v>194</v>
      </c>
      <c r="D35" s="110" t="s">
        <v>194</v>
      </c>
      <c r="E35" s="111" t="s">
        <v>195</v>
      </c>
      <c r="F35" s="114" t="str">
        <f>"     "&amp;F33</f>
        <v>     Short Futbol Drb 2.40.32 Liso Azulino</v>
      </c>
      <c r="G35" s="110" t="s">
        <v>196</v>
      </c>
      <c r="H35" s="113">
        <v>0.0</v>
      </c>
      <c r="I35" s="110" t="s">
        <v>70</v>
      </c>
      <c r="J35" s="112">
        <f>J33</f>
        <v>7690</v>
      </c>
      <c r="K35" s="110" t="str">
        <f>K33&amp;"     "</f>
        <v>$     </v>
      </c>
      <c r="L35" s="110" t="str">
        <f t="shared" ref="L35:U35" si="23">L33</f>
        <v/>
      </c>
      <c r="M35" s="110" t="str">
        <f t="shared" si="23"/>
        <v/>
      </c>
      <c r="N35" s="110" t="str">
        <f t="shared" si="23"/>
        <v/>
      </c>
      <c r="O35" s="110" t="str">
        <f t="shared" si="23"/>
        <v/>
      </c>
      <c r="P35" s="110" t="str">
        <f t="shared" si="23"/>
        <v/>
      </c>
      <c r="Q35" s="110" t="str">
        <f t="shared" si="23"/>
        <v/>
      </c>
      <c r="R35" s="110" t="str">
        <f t="shared" si="23"/>
        <v/>
      </c>
      <c r="S35" s="110" t="str">
        <f t="shared" si="23"/>
        <v/>
      </c>
      <c r="T35" s="110" t="str">
        <f t="shared" si="23"/>
        <v/>
      </c>
      <c r="U35" s="110" t="str">
        <f t="shared" si="23"/>
        <v/>
      </c>
      <c r="V35" s="110" t="str">
        <f t="shared" ref="V35:W35" si="24">V33&amp;"     "</f>
        <v>Nuevo     </v>
      </c>
      <c r="W35" s="112" t="str">
        <f t="shared" si="24"/>
        <v>Activa     </v>
      </c>
    </row>
    <row r="36" ht="49.5" customHeight="1">
      <c r="A36" s="110" t="s">
        <v>63</v>
      </c>
      <c r="B36" s="110" t="s">
        <v>188</v>
      </c>
      <c r="C36" s="110" t="s">
        <v>197</v>
      </c>
      <c r="D36" s="110" t="s">
        <v>197</v>
      </c>
      <c r="E36" s="111" t="s">
        <v>198</v>
      </c>
      <c r="F36" s="114" t="str">
        <f>"     "&amp;F33</f>
        <v>     Short Futbol Drb 2.40.32 Liso Azulino</v>
      </c>
      <c r="G36" s="110" t="s">
        <v>199</v>
      </c>
      <c r="H36" s="113">
        <v>10.0</v>
      </c>
      <c r="I36" s="110" t="s">
        <v>70</v>
      </c>
      <c r="J36" s="112">
        <f>J33</f>
        <v>7690</v>
      </c>
      <c r="K36" s="110" t="str">
        <f>K33&amp;"     "</f>
        <v>$     </v>
      </c>
      <c r="L36" s="110" t="str">
        <f t="shared" ref="L36:U36" si="25">L33</f>
        <v/>
      </c>
      <c r="M36" s="110" t="str">
        <f t="shared" si="25"/>
        <v/>
      </c>
      <c r="N36" s="110" t="str">
        <f t="shared" si="25"/>
        <v/>
      </c>
      <c r="O36" s="110" t="str">
        <f t="shared" si="25"/>
        <v/>
      </c>
      <c r="P36" s="110" t="str">
        <f t="shared" si="25"/>
        <v/>
      </c>
      <c r="Q36" s="110" t="str">
        <f t="shared" si="25"/>
        <v/>
      </c>
      <c r="R36" s="110" t="str">
        <f t="shared" si="25"/>
        <v/>
      </c>
      <c r="S36" s="110" t="str">
        <f t="shared" si="25"/>
        <v/>
      </c>
      <c r="T36" s="110" t="str">
        <f t="shared" si="25"/>
        <v/>
      </c>
      <c r="U36" s="110" t="str">
        <f t="shared" si="25"/>
        <v/>
      </c>
      <c r="V36" s="110" t="str">
        <f t="shared" ref="V36:W36" si="26">V33&amp;"     "</f>
        <v>Nuevo     </v>
      </c>
      <c r="W36" s="112" t="str">
        <f t="shared" si="26"/>
        <v>Activa     </v>
      </c>
    </row>
    <row r="37" ht="49.5" customHeight="1">
      <c r="A37" s="110" t="s">
        <v>63</v>
      </c>
      <c r="B37" s="110" t="s">
        <v>188</v>
      </c>
      <c r="C37" s="110" t="s">
        <v>200</v>
      </c>
      <c r="D37" s="110" t="s">
        <v>200</v>
      </c>
      <c r="E37" s="111" t="s">
        <v>201</v>
      </c>
      <c r="F37" s="114" t="str">
        <f>"     "&amp;F33</f>
        <v>     Short Futbol Drb 2.40.32 Liso Azulino</v>
      </c>
      <c r="G37" s="110" t="s">
        <v>202</v>
      </c>
      <c r="H37" s="113">
        <v>0.0</v>
      </c>
      <c r="I37" s="110" t="s">
        <v>70</v>
      </c>
      <c r="J37" s="112">
        <f>J33</f>
        <v>7690</v>
      </c>
      <c r="K37" s="110" t="str">
        <f>K33&amp;"     "</f>
        <v>$     </v>
      </c>
      <c r="L37" s="110" t="str">
        <f t="shared" ref="L37:U37" si="27">L33</f>
        <v/>
      </c>
      <c r="M37" s="110" t="str">
        <f t="shared" si="27"/>
        <v/>
      </c>
      <c r="N37" s="110" t="str">
        <f t="shared" si="27"/>
        <v/>
      </c>
      <c r="O37" s="110" t="str">
        <f t="shared" si="27"/>
        <v/>
      </c>
      <c r="P37" s="110" t="str">
        <f t="shared" si="27"/>
        <v/>
      </c>
      <c r="Q37" s="110" t="str">
        <f t="shared" si="27"/>
        <v/>
      </c>
      <c r="R37" s="110" t="str">
        <f t="shared" si="27"/>
        <v/>
      </c>
      <c r="S37" s="110" t="str">
        <f t="shared" si="27"/>
        <v/>
      </c>
      <c r="T37" s="110" t="str">
        <f t="shared" si="27"/>
        <v/>
      </c>
      <c r="U37" s="110" t="str">
        <f t="shared" si="27"/>
        <v/>
      </c>
      <c r="V37" s="110" t="str">
        <f t="shared" ref="V37:W37" si="28">V33&amp;"     "</f>
        <v>Nuevo     </v>
      </c>
      <c r="W37" s="112" t="str">
        <f t="shared" si="28"/>
        <v>Activa     </v>
      </c>
    </row>
    <row r="38" ht="49.5" customHeight="1">
      <c r="A38" s="110" t="s">
        <v>203</v>
      </c>
      <c r="B38" s="110" t="s">
        <v>204</v>
      </c>
      <c r="C38" s="110" t="s">
        <v>205</v>
      </c>
      <c r="D38" s="110"/>
      <c r="E38" s="111" t="s">
        <v>206</v>
      </c>
      <c r="F38" s="112" t="s">
        <v>207</v>
      </c>
      <c r="G38" s="110" t="s">
        <v>70</v>
      </c>
      <c r="H38" s="113">
        <v>30.0</v>
      </c>
      <c r="I38" s="110" t="s">
        <v>70</v>
      </c>
      <c r="J38" s="112">
        <v>10690.0</v>
      </c>
      <c r="K38" s="113" t="s">
        <v>71</v>
      </c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0" t="s">
        <v>72</v>
      </c>
      <c r="W38" s="112" t="s">
        <v>73</v>
      </c>
    </row>
    <row r="39" ht="49.5" customHeight="1">
      <c r="A39" s="110" t="s">
        <v>208</v>
      </c>
      <c r="B39" s="110" t="s">
        <v>209</v>
      </c>
      <c r="C39" s="110" t="s">
        <v>210</v>
      </c>
      <c r="D39" s="110"/>
      <c r="E39" s="111" t="s">
        <v>211</v>
      </c>
      <c r="F39" s="112" t="s">
        <v>212</v>
      </c>
      <c r="G39" s="110" t="s">
        <v>213</v>
      </c>
      <c r="H39" s="113">
        <v>30.0</v>
      </c>
      <c r="I39" s="110" t="s">
        <v>70</v>
      </c>
      <c r="J39" s="112">
        <v>9390.0</v>
      </c>
      <c r="K39" s="113" t="s">
        <v>71</v>
      </c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 t="s">
        <v>72</v>
      </c>
      <c r="W39" s="112" t="s">
        <v>73</v>
      </c>
    </row>
    <row r="40" ht="49.5" customHeight="1">
      <c r="A40" s="110" t="s">
        <v>63</v>
      </c>
      <c r="B40" s="110" t="s">
        <v>214</v>
      </c>
      <c r="C40" s="110"/>
      <c r="D40" s="110"/>
      <c r="E40" s="112" t="s">
        <v>63</v>
      </c>
      <c r="F40" s="112" t="s">
        <v>215</v>
      </c>
      <c r="G40" s="110" t="s">
        <v>70</v>
      </c>
      <c r="H40" s="110" t="s">
        <v>216</v>
      </c>
      <c r="I40" s="110" t="s">
        <v>70</v>
      </c>
      <c r="J40" s="112">
        <v>17690.0</v>
      </c>
      <c r="K40" s="113" t="s">
        <v>71</v>
      </c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 t="s">
        <v>72</v>
      </c>
      <c r="W40" s="112" t="s">
        <v>73</v>
      </c>
    </row>
    <row r="41" ht="49.5" customHeight="1">
      <c r="A41" s="110" t="s">
        <v>63</v>
      </c>
      <c r="B41" s="110" t="s">
        <v>214</v>
      </c>
      <c r="C41" s="110" t="s">
        <v>217</v>
      </c>
      <c r="D41" s="110" t="s">
        <v>217</v>
      </c>
      <c r="E41" s="111" t="s">
        <v>218</v>
      </c>
      <c r="F41" s="114" t="str">
        <f>"     "&amp;F40</f>
        <v>     Pack Sosten Mujer Lady Genny S-125b Cotton Spandex Deportivo</v>
      </c>
      <c r="G41" s="110" t="s">
        <v>219</v>
      </c>
      <c r="H41" s="113">
        <v>10.0</v>
      </c>
      <c r="I41" s="110" t="s">
        <v>70</v>
      </c>
      <c r="J41" s="112">
        <f>J40</f>
        <v>17690</v>
      </c>
      <c r="K41" s="110" t="str">
        <f>K40&amp;"     "</f>
        <v>$     </v>
      </c>
      <c r="L41" s="110" t="str">
        <f t="shared" ref="L41:U41" si="29">L40</f>
        <v/>
      </c>
      <c r="M41" s="110" t="str">
        <f t="shared" si="29"/>
        <v/>
      </c>
      <c r="N41" s="110" t="str">
        <f t="shared" si="29"/>
        <v/>
      </c>
      <c r="O41" s="110" t="str">
        <f t="shared" si="29"/>
        <v/>
      </c>
      <c r="P41" s="110" t="str">
        <f t="shared" si="29"/>
        <v/>
      </c>
      <c r="Q41" s="110" t="str">
        <f t="shared" si="29"/>
        <v/>
      </c>
      <c r="R41" s="110" t="str">
        <f t="shared" si="29"/>
        <v/>
      </c>
      <c r="S41" s="110" t="str">
        <f t="shared" si="29"/>
        <v/>
      </c>
      <c r="T41" s="110" t="str">
        <f t="shared" si="29"/>
        <v/>
      </c>
      <c r="U41" s="110" t="str">
        <f t="shared" si="29"/>
        <v/>
      </c>
      <c r="V41" s="110" t="str">
        <f t="shared" ref="V41:W41" si="30">V40&amp;"     "</f>
        <v>Nuevo     </v>
      </c>
      <c r="W41" s="112" t="str">
        <f t="shared" si="30"/>
        <v>Activa     </v>
      </c>
    </row>
    <row r="42" ht="49.5" customHeight="1">
      <c r="A42" s="110" t="s">
        <v>63</v>
      </c>
      <c r="B42" s="110" t="s">
        <v>214</v>
      </c>
      <c r="C42" s="110" t="s">
        <v>220</v>
      </c>
      <c r="D42" s="110" t="s">
        <v>220</v>
      </c>
      <c r="E42" s="111" t="s">
        <v>221</v>
      </c>
      <c r="F42" s="114" t="str">
        <f>"     "&amp;F40</f>
        <v>     Pack Sosten Mujer Lady Genny S-125b Cotton Spandex Deportivo</v>
      </c>
      <c r="G42" s="110" t="s">
        <v>222</v>
      </c>
      <c r="H42" s="113">
        <v>10.0</v>
      </c>
      <c r="I42" s="110" t="s">
        <v>70</v>
      </c>
      <c r="J42" s="112">
        <f>J40</f>
        <v>17690</v>
      </c>
      <c r="K42" s="110" t="str">
        <f>K40&amp;"     "</f>
        <v>$     </v>
      </c>
      <c r="L42" s="110" t="str">
        <f t="shared" ref="L42:U42" si="31">L40</f>
        <v/>
      </c>
      <c r="M42" s="110" t="str">
        <f t="shared" si="31"/>
        <v/>
      </c>
      <c r="N42" s="110" t="str">
        <f t="shared" si="31"/>
        <v/>
      </c>
      <c r="O42" s="110" t="str">
        <f t="shared" si="31"/>
        <v/>
      </c>
      <c r="P42" s="110" t="str">
        <f t="shared" si="31"/>
        <v/>
      </c>
      <c r="Q42" s="110" t="str">
        <f t="shared" si="31"/>
        <v/>
      </c>
      <c r="R42" s="110" t="str">
        <f t="shared" si="31"/>
        <v/>
      </c>
      <c r="S42" s="110" t="str">
        <f t="shared" si="31"/>
        <v/>
      </c>
      <c r="T42" s="110" t="str">
        <f t="shared" si="31"/>
        <v/>
      </c>
      <c r="U42" s="110" t="str">
        <f t="shared" si="31"/>
        <v/>
      </c>
      <c r="V42" s="110" t="str">
        <f t="shared" ref="V42:W42" si="32">V40&amp;"     "</f>
        <v>Nuevo     </v>
      </c>
      <c r="W42" s="112" t="str">
        <f t="shared" si="32"/>
        <v>Activa     </v>
      </c>
    </row>
    <row r="43" ht="49.5" customHeight="1">
      <c r="A43" s="110" t="s">
        <v>63</v>
      </c>
      <c r="B43" s="110" t="s">
        <v>214</v>
      </c>
      <c r="C43" s="110" t="s">
        <v>223</v>
      </c>
      <c r="D43" s="110" t="s">
        <v>223</v>
      </c>
      <c r="E43" s="111" t="s">
        <v>224</v>
      </c>
      <c r="F43" s="114" t="str">
        <f>"     "&amp;F40</f>
        <v>     Pack Sosten Mujer Lady Genny S-125b Cotton Spandex Deportivo</v>
      </c>
      <c r="G43" s="110" t="s">
        <v>225</v>
      </c>
      <c r="H43" s="113">
        <v>10.0</v>
      </c>
      <c r="I43" s="110" t="s">
        <v>70</v>
      </c>
      <c r="J43" s="112">
        <f>J40</f>
        <v>17690</v>
      </c>
      <c r="K43" s="110" t="str">
        <f>K40&amp;"     "</f>
        <v>$     </v>
      </c>
      <c r="L43" s="110" t="str">
        <f t="shared" ref="L43:U43" si="33">L40</f>
        <v/>
      </c>
      <c r="M43" s="110" t="str">
        <f t="shared" si="33"/>
        <v/>
      </c>
      <c r="N43" s="110" t="str">
        <f t="shared" si="33"/>
        <v/>
      </c>
      <c r="O43" s="110" t="str">
        <f t="shared" si="33"/>
        <v/>
      </c>
      <c r="P43" s="110" t="str">
        <f t="shared" si="33"/>
        <v/>
      </c>
      <c r="Q43" s="110" t="str">
        <f t="shared" si="33"/>
        <v/>
      </c>
      <c r="R43" s="110" t="str">
        <f t="shared" si="33"/>
        <v/>
      </c>
      <c r="S43" s="110" t="str">
        <f t="shared" si="33"/>
        <v/>
      </c>
      <c r="T43" s="110" t="str">
        <f t="shared" si="33"/>
        <v/>
      </c>
      <c r="U43" s="110" t="str">
        <f t="shared" si="33"/>
        <v/>
      </c>
      <c r="V43" s="110" t="str">
        <f t="shared" ref="V43:W43" si="34">V40&amp;"     "</f>
        <v>Nuevo     </v>
      </c>
      <c r="W43" s="112" t="str">
        <f t="shared" si="34"/>
        <v>Activa     </v>
      </c>
    </row>
    <row r="44" ht="49.5" customHeight="1">
      <c r="A44" s="110" t="s">
        <v>63</v>
      </c>
      <c r="B44" s="110" t="s">
        <v>214</v>
      </c>
      <c r="C44" s="110" t="s">
        <v>226</v>
      </c>
      <c r="D44" s="110" t="s">
        <v>226</v>
      </c>
      <c r="E44" s="111" t="s">
        <v>227</v>
      </c>
      <c r="F44" s="114" t="str">
        <f>"     "&amp;F40</f>
        <v>     Pack Sosten Mujer Lady Genny S-125b Cotton Spandex Deportivo</v>
      </c>
      <c r="G44" s="110" t="s">
        <v>228</v>
      </c>
      <c r="H44" s="113">
        <v>10.0</v>
      </c>
      <c r="I44" s="110" t="s">
        <v>70</v>
      </c>
      <c r="J44" s="112">
        <f>J40</f>
        <v>17690</v>
      </c>
      <c r="K44" s="110" t="str">
        <f>K40&amp;"     "</f>
        <v>$     </v>
      </c>
      <c r="L44" s="110" t="str">
        <f t="shared" ref="L44:U44" si="35">L40</f>
        <v/>
      </c>
      <c r="M44" s="110" t="str">
        <f t="shared" si="35"/>
        <v/>
      </c>
      <c r="N44" s="110" t="str">
        <f t="shared" si="35"/>
        <v/>
      </c>
      <c r="O44" s="110" t="str">
        <f t="shared" si="35"/>
        <v/>
      </c>
      <c r="P44" s="110" t="str">
        <f t="shared" si="35"/>
        <v/>
      </c>
      <c r="Q44" s="110" t="str">
        <f t="shared" si="35"/>
        <v/>
      </c>
      <c r="R44" s="110" t="str">
        <f t="shared" si="35"/>
        <v/>
      </c>
      <c r="S44" s="110" t="str">
        <f t="shared" si="35"/>
        <v/>
      </c>
      <c r="T44" s="110" t="str">
        <f t="shared" si="35"/>
        <v/>
      </c>
      <c r="U44" s="110" t="str">
        <f t="shared" si="35"/>
        <v/>
      </c>
      <c r="V44" s="110" t="str">
        <f t="shared" ref="V44:W44" si="36">V40&amp;"     "</f>
        <v>Nuevo     </v>
      </c>
      <c r="W44" s="112" t="str">
        <f t="shared" si="36"/>
        <v>Activa     </v>
      </c>
    </row>
    <row r="45" ht="49.5" customHeight="1">
      <c r="A45" s="110" t="s">
        <v>63</v>
      </c>
      <c r="B45" s="110" t="s">
        <v>214</v>
      </c>
      <c r="C45" s="110" t="s">
        <v>229</v>
      </c>
      <c r="D45" s="110" t="s">
        <v>229</v>
      </c>
      <c r="E45" s="111" t="s">
        <v>230</v>
      </c>
      <c r="F45" s="114" t="str">
        <f>"     "&amp;F40</f>
        <v>     Pack Sosten Mujer Lady Genny S-125b Cotton Spandex Deportivo</v>
      </c>
      <c r="G45" s="110" t="s">
        <v>231</v>
      </c>
      <c r="H45" s="113">
        <v>9.0</v>
      </c>
      <c r="I45" s="110" t="s">
        <v>70</v>
      </c>
      <c r="J45" s="112">
        <f>J40</f>
        <v>17690</v>
      </c>
      <c r="K45" s="110" t="str">
        <f>K40&amp;"     "</f>
        <v>$     </v>
      </c>
      <c r="L45" s="110" t="str">
        <f t="shared" ref="L45:U45" si="37">L40</f>
        <v/>
      </c>
      <c r="M45" s="110" t="str">
        <f t="shared" si="37"/>
        <v/>
      </c>
      <c r="N45" s="110" t="str">
        <f t="shared" si="37"/>
        <v/>
      </c>
      <c r="O45" s="110" t="str">
        <f t="shared" si="37"/>
        <v/>
      </c>
      <c r="P45" s="110" t="str">
        <f t="shared" si="37"/>
        <v/>
      </c>
      <c r="Q45" s="110" t="str">
        <f t="shared" si="37"/>
        <v/>
      </c>
      <c r="R45" s="110" t="str">
        <f t="shared" si="37"/>
        <v/>
      </c>
      <c r="S45" s="110" t="str">
        <f t="shared" si="37"/>
        <v/>
      </c>
      <c r="T45" s="110" t="str">
        <f t="shared" si="37"/>
        <v/>
      </c>
      <c r="U45" s="110" t="str">
        <f t="shared" si="37"/>
        <v/>
      </c>
      <c r="V45" s="110" t="str">
        <f t="shared" ref="V45:W45" si="38">V40&amp;"     "</f>
        <v>Nuevo     </v>
      </c>
      <c r="W45" s="112" t="str">
        <f t="shared" si="38"/>
        <v>Activa     </v>
      </c>
    </row>
    <row r="46" ht="49.5" customHeight="1">
      <c r="A46" s="110" t="s">
        <v>63</v>
      </c>
      <c r="B46" s="110" t="s">
        <v>214</v>
      </c>
      <c r="C46" s="110" t="s">
        <v>232</v>
      </c>
      <c r="D46" s="110" t="s">
        <v>232</v>
      </c>
      <c r="E46" s="111" t="s">
        <v>233</v>
      </c>
      <c r="F46" s="114" t="str">
        <f>"     "&amp;F40</f>
        <v>     Pack Sosten Mujer Lady Genny S-125b Cotton Spandex Deportivo</v>
      </c>
      <c r="G46" s="110" t="s">
        <v>234</v>
      </c>
      <c r="H46" s="113">
        <v>10.0</v>
      </c>
      <c r="I46" s="110" t="s">
        <v>70</v>
      </c>
      <c r="J46" s="112">
        <f>J40</f>
        <v>17690</v>
      </c>
      <c r="K46" s="110" t="str">
        <f>K40&amp;"     "</f>
        <v>$     </v>
      </c>
      <c r="L46" s="110" t="str">
        <f t="shared" ref="L46:U46" si="39">L40</f>
        <v/>
      </c>
      <c r="M46" s="110" t="str">
        <f t="shared" si="39"/>
        <v/>
      </c>
      <c r="N46" s="110" t="str">
        <f t="shared" si="39"/>
        <v/>
      </c>
      <c r="O46" s="110" t="str">
        <f t="shared" si="39"/>
        <v/>
      </c>
      <c r="P46" s="110" t="str">
        <f t="shared" si="39"/>
        <v/>
      </c>
      <c r="Q46" s="110" t="str">
        <f t="shared" si="39"/>
        <v/>
      </c>
      <c r="R46" s="110" t="str">
        <f t="shared" si="39"/>
        <v/>
      </c>
      <c r="S46" s="110" t="str">
        <f t="shared" si="39"/>
        <v/>
      </c>
      <c r="T46" s="110" t="str">
        <f t="shared" si="39"/>
        <v/>
      </c>
      <c r="U46" s="110" t="str">
        <f t="shared" si="39"/>
        <v/>
      </c>
      <c r="V46" s="110" t="str">
        <f t="shared" ref="V46:W46" si="40">V40&amp;"     "</f>
        <v>Nuevo     </v>
      </c>
      <c r="W46" s="112" t="str">
        <f t="shared" si="40"/>
        <v>Activa     </v>
      </c>
    </row>
    <row r="47" ht="49.5" customHeight="1">
      <c r="A47" s="110" t="s">
        <v>63</v>
      </c>
      <c r="B47" s="110" t="s">
        <v>214</v>
      </c>
      <c r="C47" s="110" t="s">
        <v>235</v>
      </c>
      <c r="D47" s="110" t="s">
        <v>235</v>
      </c>
      <c r="E47" s="111" t="s">
        <v>236</v>
      </c>
      <c r="F47" s="114" t="str">
        <f>"     "&amp;F40</f>
        <v>     Pack Sosten Mujer Lady Genny S-125b Cotton Spandex Deportivo</v>
      </c>
      <c r="G47" s="110" t="s">
        <v>237</v>
      </c>
      <c r="H47" s="113">
        <v>10.0</v>
      </c>
      <c r="I47" s="110" t="s">
        <v>70</v>
      </c>
      <c r="J47" s="112">
        <f>J40</f>
        <v>17690</v>
      </c>
      <c r="K47" s="110" t="str">
        <f>K40&amp;"     "</f>
        <v>$     </v>
      </c>
      <c r="L47" s="110" t="str">
        <f t="shared" ref="L47:U47" si="41">L40</f>
        <v/>
      </c>
      <c r="M47" s="110" t="str">
        <f t="shared" si="41"/>
        <v/>
      </c>
      <c r="N47" s="110" t="str">
        <f t="shared" si="41"/>
        <v/>
      </c>
      <c r="O47" s="110" t="str">
        <f t="shared" si="41"/>
        <v/>
      </c>
      <c r="P47" s="110" t="str">
        <f t="shared" si="41"/>
        <v/>
      </c>
      <c r="Q47" s="110" t="str">
        <f t="shared" si="41"/>
        <v/>
      </c>
      <c r="R47" s="110" t="str">
        <f t="shared" si="41"/>
        <v/>
      </c>
      <c r="S47" s="110" t="str">
        <f t="shared" si="41"/>
        <v/>
      </c>
      <c r="T47" s="110" t="str">
        <f t="shared" si="41"/>
        <v/>
      </c>
      <c r="U47" s="110" t="str">
        <f t="shared" si="41"/>
        <v/>
      </c>
      <c r="V47" s="110" t="str">
        <f t="shared" ref="V47:W47" si="42">V40&amp;"     "</f>
        <v>Nuevo     </v>
      </c>
      <c r="W47" s="112" t="str">
        <f t="shared" si="42"/>
        <v>Activa     </v>
      </c>
    </row>
    <row r="48" ht="49.5" customHeight="1">
      <c r="A48" s="110" t="s">
        <v>63</v>
      </c>
      <c r="B48" s="110" t="s">
        <v>214</v>
      </c>
      <c r="C48" s="110" t="s">
        <v>238</v>
      </c>
      <c r="D48" s="110" t="s">
        <v>238</v>
      </c>
      <c r="E48" s="111" t="s">
        <v>239</v>
      </c>
      <c r="F48" s="114" t="str">
        <f>"     "&amp;F40</f>
        <v>     Pack Sosten Mujer Lady Genny S-125b Cotton Spandex Deportivo</v>
      </c>
      <c r="G48" s="110" t="s">
        <v>240</v>
      </c>
      <c r="H48" s="113">
        <v>10.0</v>
      </c>
      <c r="I48" s="110" t="s">
        <v>70</v>
      </c>
      <c r="J48" s="112">
        <f>J40</f>
        <v>17690</v>
      </c>
      <c r="K48" s="110" t="str">
        <f>K40&amp;"     "</f>
        <v>$     </v>
      </c>
      <c r="L48" s="110" t="str">
        <f t="shared" ref="L48:U48" si="43">L40</f>
        <v/>
      </c>
      <c r="M48" s="110" t="str">
        <f t="shared" si="43"/>
        <v/>
      </c>
      <c r="N48" s="110" t="str">
        <f t="shared" si="43"/>
        <v/>
      </c>
      <c r="O48" s="110" t="str">
        <f t="shared" si="43"/>
        <v/>
      </c>
      <c r="P48" s="110" t="str">
        <f t="shared" si="43"/>
        <v/>
      </c>
      <c r="Q48" s="110" t="str">
        <f t="shared" si="43"/>
        <v/>
      </c>
      <c r="R48" s="110" t="str">
        <f t="shared" si="43"/>
        <v/>
      </c>
      <c r="S48" s="110" t="str">
        <f t="shared" si="43"/>
        <v/>
      </c>
      <c r="T48" s="110" t="str">
        <f t="shared" si="43"/>
        <v/>
      </c>
      <c r="U48" s="110" t="str">
        <f t="shared" si="43"/>
        <v/>
      </c>
      <c r="V48" s="110" t="str">
        <f t="shared" ref="V48:W48" si="44">V40&amp;"     "</f>
        <v>Nuevo     </v>
      </c>
      <c r="W48" s="112" t="str">
        <f t="shared" si="44"/>
        <v>Activa     </v>
      </c>
    </row>
    <row r="49" ht="49.5" customHeight="1">
      <c r="A49" s="110" t="s">
        <v>63</v>
      </c>
      <c r="B49" s="110" t="s">
        <v>214</v>
      </c>
      <c r="C49" s="110" t="s">
        <v>241</v>
      </c>
      <c r="D49" s="110" t="s">
        <v>241</v>
      </c>
      <c r="E49" s="111" t="s">
        <v>242</v>
      </c>
      <c r="F49" s="114" t="str">
        <f>"     "&amp;F40</f>
        <v>     Pack Sosten Mujer Lady Genny S-125b Cotton Spandex Deportivo</v>
      </c>
      <c r="G49" s="110" t="s">
        <v>243</v>
      </c>
      <c r="H49" s="113">
        <v>10.0</v>
      </c>
      <c r="I49" s="110" t="s">
        <v>70</v>
      </c>
      <c r="J49" s="112">
        <f>J40</f>
        <v>17690</v>
      </c>
      <c r="K49" s="110" t="str">
        <f>K40&amp;"     "</f>
        <v>$     </v>
      </c>
      <c r="L49" s="110" t="str">
        <f t="shared" ref="L49:U49" si="45">L40</f>
        <v/>
      </c>
      <c r="M49" s="110" t="str">
        <f t="shared" si="45"/>
        <v/>
      </c>
      <c r="N49" s="110" t="str">
        <f t="shared" si="45"/>
        <v/>
      </c>
      <c r="O49" s="110" t="str">
        <f t="shared" si="45"/>
        <v/>
      </c>
      <c r="P49" s="110" t="str">
        <f t="shared" si="45"/>
        <v/>
      </c>
      <c r="Q49" s="110" t="str">
        <f t="shared" si="45"/>
        <v/>
      </c>
      <c r="R49" s="110" t="str">
        <f t="shared" si="45"/>
        <v/>
      </c>
      <c r="S49" s="110" t="str">
        <f t="shared" si="45"/>
        <v/>
      </c>
      <c r="T49" s="110" t="str">
        <f t="shared" si="45"/>
        <v/>
      </c>
      <c r="U49" s="110" t="str">
        <f t="shared" si="45"/>
        <v/>
      </c>
      <c r="V49" s="110" t="str">
        <f t="shared" ref="V49:W49" si="46">V40&amp;"     "</f>
        <v>Nuevo     </v>
      </c>
      <c r="W49" s="112" t="str">
        <f t="shared" si="46"/>
        <v>Activa     </v>
      </c>
    </row>
    <row r="50" ht="49.5" customHeight="1">
      <c r="A50" s="110" t="s">
        <v>63</v>
      </c>
      <c r="B50" s="110" t="s">
        <v>214</v>
      </c>
      <c r="C50" s="110" t="s">
        <v>244</v>
      </c>
      <c r="D50" s="110" t="s">
        <v>244</v>
      </c>
      <c r="E50" s="111" t="s">
        <v>245</v>
      </c>
      <c r="F50" s="114" t="str">
        <f>"     "&amp;F40</f>
        <v>     Pack Sosten Mujer Lady Genny S-125b Cotton Spandex Deportivo</v>
      </c>
      <c r="G50" s="110" t="s">
        <v>246</v>
      </c>
      <c r="H50" s="113">
        <v>10.0</v>
      </c>
      <c r="I50" s="110" t="s">
        <v>70</v>
      </c>
      <c r="J50" s="112">
        <f>J40</f>
        <v>17690</v>
      </c>
      <c r="K50" s="110" t="str">
        <f>K40&amp;"     "</f>
        <v>$     </v>
      </c>
      <c r="L50" s="110" t="str">
        <f t="shared" ref="L50:U50" si="47">L40</f>
        <v/>
      </c>
      <c r="M50" s="110" t="str">
        <f t="shared" si="47"/>
        <v/>
      </c>
      <c r="N50" s="110" t="str">
        <f t="shared" si="47"/>
        <v/>
      </c>
      <c r="O50" s="110" t="str">
        <f t="shared" si="47"/>
        <v/>
      </c>
      <c r="P50" s="110" t="str">
        <f t="shared" si="47"/>
        <v/>
      </c>
      <c r="Q50" s="110" t="str">
        <f t="shared" si="47"/>
        <v/>
      </c>
      <c r="R50" s="110" t="str">
        <f t="shared" si="47"/>
        <v/>
      </c>
      <c r="S50" s="110" t="str">
        <f t="shared" si="47"/>
        <v/>
      </c>
      <c r="T50" s="110" t="str">
        <f t="shared" si="47"/>
        <v/>
      </c>
      <c r="U50" s="110" t="str">
        <f t="shared" si="47"/>
        <v/>
      </c>
      <c r="V50" s="110" t="str">
        <f t="shared" ref="V50:W50" si="48">V40&amp;"     "</f>
        <v>Nuevo     </v>
      </c>
      <c r="W50" s="112" t="str">
        <f t="shared" si="48"/>
        <v>Activa     </v>
      </c>
    </row>
    <row r="51" ht="49.5" customHeight="1">
      <c r="A51" s="110" t="s">
        <v>63</v>
      </c>
      <c r="B51" s="110" t="s">
        <v>214</v>
      </c>
      <c r="C51" s="110" t="s">
        <v>247</v>
      </c>
      <c r="D51" s="110" t="s">
        <v>247</v>
      </c>
      <c r="E51" s="111" t="s">
        <v>248</v>
      </c>
      <c r="F51" s="114" t="str">
        <f>"     "&amp;F40</f>
        <v>     Pack Sosten Mujer Lady Genny S-125b Cotton Spandex Deportivo</v>
      </c>
      <c r="G51" s="110" t="s">
        <v>249</v>
      </c>
      <c r="H51" s="113">
        <v>10.0</v>
      </c>
      <c r="I51" s="110" t="s">
        <v>70</v>
      </c>
      <c r="J51" s="112">
        <f>J40</f>
        <v>17690</v>
      </c>
      <c r="K51" s="110" t="str">
        <f>K40&amp;"     "</f>
        <v>$     </v>
      </c>
      <c r="L51" s="110" t="str">
        <f t="shared" ref="L51:U51" si="49">L40</f>
        <v/>
      </c>
      <c r="M51" s="110" t="str">
        <f t="shared" si="49"/>
        <v/>
      </c>
      <c r="N51" s="110" t="str">
        <f t="shared" si="49"/>
        <v/>
      </c>
      <c r="O51" s="110" t="str">
        <f t="shared" si="49"/>
        <v/>
      </c>
      <c r="P51" s="110" t="str">
        <f t="shared" si="49"/>
        <v/>
      </c>
      <c r="Q51" s="110" t="str">
        <f t="shared" si="49"/>
        <v/>
      </c>
      <c r="R51" s="110" t="str">
        <f t="shared" si="49"/>
        <v/>
      </c>
      <c r="S51" s="110" t="str">
        <f t="shared" si="49"/>
        <v/>
      </c>
      <c r="T51" s="110" t="str">
        <f t="shared" si="49"/>
        <v/>
      </c>
      <c r="U51" s="110" t="str">
        <f t="shared" si="49"/>
        <v/>
      </c>
      <c r="V51" s="110" t="str">
        <f t="shared" ref="V51:W51" si="50">V40&amp;"     "</f>
        <v>Nuevo     </v>
      </c>
      <c r="W51" s="112" t="str">
        <f t="shared" si="50"/>
        <v>Activa     </v>
      </c>
    </row>
    <row r="52" ht="49.5" customHeight="1">
      <c r="A52" s="110" t="s">
        <v>63</v>
      </c>
      <c r="B52" s="110" t="s">
        <v>214</v>
      </c>
      <c r="C52" s="110" t="s">
        <v>250</v>
      </c>
      <c r="D52" s="110" t="s">
        <v>250</v>
      </c>
      <c r="E52" s="111" t="s">
        <v>251</v>
      </c>
      <c r="F52" s="114" t="str">
        <f>"     "&amp;F40</f>
        <v>     Pack Sosten Mujer Lady Genny S-125b Cotton Spandex Deportivo</v>
      </c>
      <c r="G52" s="110" t="s">
        <v>252</v>
      </c>
      <c r="H52" s="113">
        <v>10.0</v>
      </c>
      <c r="I52" s="110" t="s">
        <v>70</v>
      </c>
      <c r="J52" s="112">
        <f>J40</f>
        <v>17690</v>
      </c>
      <c r="K52" s="110" t="str">
        <f>K40&amp;"     "</f>
        <v>$     </v>
      </c>
      <c r="L52" s="110" t="str">
        <f t="shared" ref="L52:U52" si="51">L40</f>
        <v/>
      </c>
      <c r="M52" s="110" t="str">
        <f t="shared" si="51"/>
        <v/>
      </c>
      <c r="N52" s="110" t="str">
        <f t="shared" si="51"/>
        <v/>
      </c>
      <c r="O52" s="110" t="str">
        <f t="shared" si="51"/>
        <v/>
      </c>
      <c r="P52" s="110" t="str">
        <f t="shared" si="51"/>
        <v/>
      </c>
      <c r="Q52" s="110" t="str">
        <f t="shared" si="51"/>
        <v/>
      </c>
      <c r="R52" s="110" t="str">
        <f t="shared" si="51"/>
        <v/>
      </c>
      <c r="S52" s="110" t="str">
        <f t="shared" si="51"/>
        <v/>
      </c>
      <c r="T52" s="110" t="str">
        <f t="shared" si="51"/>
        <v/>
      </c>
      <c r="U52" s="110" t="str">
        <f t="shared" si="51"/>
        <v/>
      </c>
      <c r="V52" s="110" t="str">
        <f t="shared" ref="V52:W52" si="52">V40&amp;"     "</f>
        <v>Nuevo     </v>
      </c>
      <c r="W52" s="112" t="str">
        <f t="shared" si="52"/>
        <v>Activa     </v>
      </c>
    </row>
    <row r="53" ht="49.5" customHeight="1">
      <c r="A53" s="110" t="s">
        <v>63</v>
      </c>
      <c r="B53" s="110" t="s">
        <v>214</v>
      </c>
      <c r="C53" s="110" t="s">
        <v>253</v>
      </c>
      <c r="D53" s="110" t="s">
        <v>253</v>
      </c>
      <c r="E53" s="111" t="s">
        <v>254</v>
      </c>
      <c r="F53" s="114" t="str">
        <f>"     "&amp;F40</f>
        <v>     Pack Sosten Mujer Lady Genny S-125b Cotton Spandex Deportivo</v>
      </c>
      <c r="G53" s="110" t="s">
        <v>255</v>
      </c>
      <c r="H53" s="113">
        <v>10.0</v>
      </c>
      <c r="I53" s="110" t="s">
        <v>70</v>
      </c>
      <c r="J53" s="112">
        <f>J40</f>
        <v>17690</v>
      </c>
      <c r="K53" s="110" t="str">
        <f>K40&amp;"     "</f>
        <v>$     </v>
      </c>
      <c r="L53" s="110" t="str">
        <f t="shared" ref="L53:U53" si="53">L40</f>
        <v/>
      </c>
      <c r="M53" s="110" t="str">
        <f t="shared" si="53"/>
        <v/>
      </c>
      <c r="N53" s="110" t="str">
        <f t="shared" si="53"/>
        <v/>
      </c>
      <c r="O53" s="110" t="str">
        <f t="shared" si="53"/>
        <v/>
      </c>
      <c r="P53" s="110" t="str">
        <f t="shared" si="53"/>
        <v/>
      </c>
      <c r="Q53" s="110" t="str">
        <f t="shared" si="53"/>
        <v/>
      </c>
      <c r="R53" s="110" t="str">
        <f t="shared" si="53"/>
        <v/>
      </c>
      <c r="S53" s="110" t="str">
        <f t="shared" si="53"/>
        <v/>
      </c>
      <c r="T53" s="110" t="str">
        <f t="shared" si="53"/>
        <v/>
      </c>
      <c r="U53" s="110" t="str">
        <f t="shared" si="53"/>
        <v/>
      </c>
      <c r="V53" s="110" t="str">
        <f t="shared" ref="V53:W53" si="54">V40&amp;"     "</f>
        <v>Nuevo     </v>
      </c>
      <c r="W53" s="112" t="str">
        <f t="shared" si="54"/>
        <v>Activa     </v>
      </c>
    </row>
    <row r="54" ht="49.5" customHeight="1">
      <c r="A54" s="110" t="s">
        <v>63</v>
      </c>
      <c r="B54" s="110" t="s">
        <v>214</v>
      </c>
      <c r="C54" s="110" t="s">
        <v>256</v>
      </c>
      <c r="D54" s="110" t="s">
        <v>256</v>
      </c>
      <c r="E54" s="111" t="s">
        <v>257</v>
      </c>
      <c r="F54" s="114" t="str">
        <f>"     "&amp;F40</f>
        <v>     Pack Sosten Mujer Lady Genny S-125b Cotton Spandex Deportivo</v>
      </c>
      <c r="G54" s="110" t="s">
        <v>258</v>
      </c>
      <c r="H54" s="113">
        <v>10.0</v>
      </c>
      <c r="I54" s="110" t="s">
        <v>70</v>
      </c>
      <c r="J54" s="112">
        <f>J40</f>
        <v>17690</v>
      </c>
      <c r="K54" s="110" t="str">
        <f>K40&amp;"     "</f>
        <v>$     </v>
      </c>
      <c r="L54" s="110" t="str">
        <f t="shared" ref="L54:U54" si="55">L40</f>
        <v/>
      </c>
      <c r="M54" s="110" t="str">
        <f t="shared" si="55"/>
        <v/>
      </c>
      <c r="N54" s="110" t="str">
        <f t="shared" si="55"/>
        <v/>
      </c>
      <c r="O54" s="110" t="str">
        <f t="shared" si="55"/>
        <v/>
      </c>
      <c r="P54" s="110" t="str">
        <f t="shared" si="55"/>
        <v/>
      </c>
      <c r="Q54" s="110" t="str">
        <f t="shared" si="55"/>
        <v/>
      </c>
      <c r="R54" s="110" t="str">
        <f t="shared" si="55"/>
        <v/>
      </c>
      <c r="S54" s="110" t="str">
        <f t="shared" si="55"/>
        <v/>
      </c>
      <c r="T54" s="110" t="str">
        <f t="shared" si="55"/>
        <v/>
      </c>
      <c r="U54" s="110" t="str">
        <f t="shared" si="55"/>
        <v/>
      </c>
      <c r="V54" s="110" t="str">
        <f t="shared" ref="V54:W54" si="56">V40&amp;"     "</f>
        <v>Nuevo     </v>
      </c>
      <c r="W54" s="112" t="str">
        <f t="shared" si="56"/>
        <v>Activa     </v>
      </c>
    </row>
    <row r="55" ht="49.5" customHeight="1">
      <c r="A55" s="110" t="s">
        <v>63</v>
      </c>
      <c r="B55" s="110" t="s">
        <v>214</v>
      </c>
      <c r="C55" s="110" t="s">
        <v>259</v>
      </c>
      <c r="D55" s="110" t="s">
        <v>259</v>
      </c>
      <c r="E55" s="111" t="s">
        <v>260</v>
      </c>
      <c r="F55" s="114" t="str">
        <f>"     "&amp;F40</f>
        <v>     Pack Sosten Mujer Lady Genny S-125b Cotton Spandex Deportivo</v>
      </c>
      <c r="G55" s="110" t="s">
        <v>261</v>
      </c>
      <c r="H55" s="113">
        <v>10.0</v>
      </c>
      <c r="I55" s="110" t="s">
        <v>70</v>
      </c>
      <c r="J55" s="112">
        <f>J40</f>
        <v>17690</v>
      </c>
      <c r="K55" s="110" t="str">
        <f>K40&amp;"     "</f>
        <v>$     </v>
      </c>
      <c r="L55" s="110" t="str">
        <f t="shared" ref="L55:U55" si="57">L40</f>
        <v/>
      </c>
      <c r="M55" s="110" t="str">
        <f t="shared" si="57"/>
        <v/>
      </c>
      <c r="N55" s="110" t="str">
        <f t="shared" si="57"/>
        <v/>
      </c>
      <c r="O55" s="110" t="str">
        <f t="shared" si="57"/>
        <v/>
      </c>
      <c r="P55" s="110" t="str">
        <f t="shared" si="57"/>
        <v/>
      </c>
      <c r="Q55" s="110" t="str">
        <f t="shared" si="57"/>
        <v/>
      </c>
      <c r="R55" s="110" t="str">
        <f t="shared" si="57"/>
        <v/>
      </c>
      <c r="S55" s="110" t="str">
        <f t="shared" si="57"/>
        <v/>
      </c>
      <c r="T55" s="110" t="str">
        <f t="shared" si="57"/>
        <v/>
      </c>
      <c r="U55" s="110" t="str">
        <f t="shared" si="57"/>
        <v/>
      </c>
      <c r="V55" s="110" t="str">
        <f t="shared" ref="V55:W55" si="58">V40&amp;"     "</f>
        <v>Nuevo     </v>
      </c>
      <c r="W55" s="112" t="str">
        <f t="shared" si="58"/>
        <v>Activa     </v>
      </c>
    </row>
    <row r="56" ht="49.5" customHeight="1">
      <c r="A56" s="110" t="s">
        <v>262</v>
      </c>
      <c r="B56" s="110" t="s">
        <v>263</v>
      </c>
      <c r="C56" s="110" t="s">
        <v>264</v>
      </c>
      <c r="D56" s="110"/>
      <c r="E56" s="111" t="s">
        <v>77</v>
      </c>
      <c r="F56" s="112" t="s">
        <v>265</v>
      </c>
      <c r="G56" s="110" t="s">
        <v>144</v>
      </c>
      <c r="H56" s="113">
        <v>30.0</v>
      </c>
      <c r="I56" s="110" t="s">
        <v>70</v>
      </c>
      <c r="J56" s="112">
        <v>7990.0</v>
      </c>
      <c r="K56" s="113" t="s">
        <v>71</v>
      </c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 t="s">
        <v>72</v>
      </c>
      <c r="W56" s="112" t="s">
        <v>73</v>
      </c>
    </row>
    <row r="57" ht="49.5" customHeight="1">
      <c r="A57" s="110" t="s">
        <v>266</v>
      </c>
      <c r="B57" s="110" t="s">
        <v>267</v>
      </c>
      <c r="C57" s="110" t="s">
        <v>268</v>
      </c>
      <c r="D57" s="110"/>
      <c r="E57" s="111" t="s">
        <v>269</v>
      </c>
      <c r="F57" s="112" t="s">
        <v>270</v>
      </c>
      <c r="G57" s="110" t="s">
        <v>271</v>
      </c>
      <c r="H57" s="113">
        <v>30.0</v>
      </c>
      <c r="I57" s="110" t="s">
        <v>70</v>
      </c>
      <c r="J57" s="112">
        <v>16690.0</v>
      </c>
      <c r="K57" s="113" t="s">
        <v>71</v>
      </c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 t="s">
        <v>72</v>
      </c>
      <c r="W57" s="112" t="s">
        <v>73</v>
      </c>
    </row>
    <row r="58" ht="49.5" customHeight="1">
      <c r="A58" s="110" t="s">
        <v>272</v>
      </c>
      <c r="B58" s="110" t="s">
        <v>273</v>
      </c>
      <c r="C58" s="110" t="s">
        <v>274</v>
      </c>
      <c r="D58" s="110"/>
      <c r="E58" s="111" t="s">
        <v>275</v>
      </c>
      <c r="F58" s="112" t="s">
        <v>276</v>
      </c>
      <c r="G58" s="110" t="s">
        <v>276</v>
      </c>
      <c r="H58" s="113">
        <v>30.0</v>
      </c>
      <c r="I58" s="110" t="s">
        <v>70</v>
      </c>
      <c r="J58" s="112">
        <v>18190.0</v>
      </c>
      <c r="K58" s="113" t="s">
        <v>71</v>
      </c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 t="s">
        <v>72</v>
      </c>
      <c r="W58" s="112" t="s">
        <v>73</v>
      </c>
    </row>
    <row r="59" ht="49.5" customHeight="1">
      <c r="A59" s="110" t="s">
        <v>277</v>
      </c>
      <c r="B59" s="110" t="s">
        <v>278</v>
      </c>
      <c r="C59" s="110" t="s">
        <v>279</v>
      </c>
      <c r="D59" s="110"/>
      <c r="E59" s="111" t="s">
        <v>280</v>
      </c>
      <c r="F59" s="112" t="s">
        <v>281</v>
      </c>
      <c r="G59" s="110" t="s">
        <v>281</v>
      </c>
      <c r="H59" s="113">
        <v>30.0</v>
      </c>
      <c r="I59" s="110" t="s">
        <v>70</v>
      </c>
      <c r="J59" s="112">
        <v>6290.0</v>
      </c>
      <c r="K59" s="113" t="s">
        <v>71</v>
      </c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 t="s">
        <v>72</v>
      </c>
      <c r="W59" s="112" t="s">
        <v>73</v>
      </c>
    </row>
    <row r="60" ht="49.5" customHeight="1">
      <c r="A60" s="110" t="s">
        <v>282</v>
      </c>
      <c r="B60" s="110" t="s">
        <v>283</v>
      </c>
      <c r="C60" s="110" t="s">
        <v>284</v>
      </c>
      <c r="D60" s="110"/>
      <c r="E60" s="111" t="s">
        <v>285</v>
      </c>
      <c r="F60" s="111" t="s">
        <v>286</v>
      </c>
      <c r="G60" s="110" t="s">
        <v>286</v>
      </c>
      <c r="H60" s="113">
        <v>20.0</v>
      </c>
      <c r="I60" s="110" t="s">
        <v>70</v>
      </c>
      <c r="J60" s="112">
        <v>16390.0</v>
      </c>
      <c r="K60" s="113" t="s">
        <v>71</v>
      </c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 t="s">
        <v>72</v>
      </c>
      <c r="W60" s="112" t="s">
        <v>73</v>
      </c>
    </row>
    <row r="61" ht="49.5" customHeight="1">
      <c r="A61" s="110" t="s">
        <v>287</v>
      </c>
      <c r="B61" s="110" t="s">
        <v>288</v>
      </c>
      <c r="C61" s="110" t="s">
        <v>289</v>
      </c>
      <c r="D61" s="110"/>
      <c r="E61" s="111" t="s">
        <v>290</v>
      </c>
      <c r="F61" s="111" t="s">
        <v>291</v>
      </c>
      <c r="G61" s="110" t="s">
        <v>291</v>
      </c>
      <c r="H61" s="113">
        <v>30.0</v>
      </c>
      <c r="I61" s="110" t="s">
        <v>70</v>
      </c>
      <c r="J61" s="112">
        <v>15990.0</v>
      </c>
      <c r="K61" s="113" t="s">
        <v>71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 t="s">
        <v>72</v>
      </c>
      <c r="W61" s="112" t="s">
        <v>73</v>
      </c>
    </row>
    <row r="62" ht="49.5" customHeight="1">
      <c r="A62" s="110" t="s">
        <v>292</v>
      </c>
      <c r="B62" s="110" t="s">
        <v>293</v>
      </c>
      <c r="C62" s="110" t="s">
        <v>294</v>
      </c>
      <c r="D62" s="110"/>
      <c r="E62" s="111" t="s">
        <v>295</v>
      </c>
      <c r="F62" s="111" t="s">
        <v>296</v>
      </c>
      <c r="G62" s="110" t="s">
        <v>296</v>
      </c>
      <c r="H62" s="113">
        <v>30.0</v>
      </c>
      <c r="I62" s="110" t="s">
        <v>70</v>
      </c>
      <c r="J62" s="112">
        <v>15390.0</v>
      </c>
      <c r="K62" s="113" t="s">
        <v>71</v>
      </c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 t="s">
        <v>72</v>
      </c>
      <c r="W62" s="112" t="s">
        <v>73</v>
      </c>
    </row>
    <row r="63" ht="49.5" customHeight="1">
      <c r="A63" s="110" t="s">
        <v>297</v>
      </c>
      <c r="B63" s="110" t="s">
        <v>298</v>
      </c>
      <c r="C63" s="110" t="s">
        <v>299</v>
      </c>
      <c r="D63" s="110"/>
      <c r="E63" s="111" t="s">
        <v>300</v>
      </c>
      <c r="F63" s="111" t="s">
        <v>301</v>
      </c>
      <c r="G63" s="110" t="s">
        <v>302</v>
      </c>
      <c r="H63" s="113">
        <v>30.0</v>
      </c>
      <c r="I63" s="110" t="s">
        <v>70</v>
      </c>
      <c r="J63" s="112">
        <v>29690.0</v>
      </c>
      <c r="K63" s="113" t="s">
        <v>71</v>
      </c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 t="s">
        <v>72</v>
      </c>
      <c r="W63" s="112" t="s">
        <v>73</v>
      </c>
    </row>
    <row r="64" ht="49.5" customHeight="1">
      <c r="A64" s="110" t="s">
        <v>303</v>
      </c>
      <c r="B64" s="110" t="s">
        <v>304</v>
      </c>
      <c r="C64" s="110" t="s">
        <v>305</v>
      </c>
      <c r="D64" s="110"/>
      <c r="E64" s="111" t="s">
        <v>306</v>
      </c>
      <c r="F64" s="111" t="s">
        <v>307</v>
      </c>
      <c r="G64" s="110" t="s">
        <v>308</v>
      </c>
      <c r="H64" s="113">
        <v>30.0</v>
      </c>
      <c r="I64" s="110" t="s">
        <v>70</v>
      </c>
      <c r="J64" s="112">
        <v>10690.0</v>
      </c>
      <c r="K64" s="113" t="s">
        <v>71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 t="s">
        <v>72</v>
      </c>
      <c r="W64" s="112" t="s">
        <v>73</v>
      </c>
    </row>
    <row r="65" ht="49.5" customHeight="1">
      <c r="A65" s="110" t="s">
        <v>309</v>
      </c>
      <c r="B65" s="110" t="s">
        <v>310</v>
      </c>
      <c r="C65" s="110" t="s">
        <v>311</v>
      </c>
      <c r="D65" s="110"/>
      <c r="E65" s="111" t="s">
        <v>312</v>
      </c>
      <c r="F65" s="111" t="s">
        <v>313</v>
      </c>
      <c r="G65" s="110" t="s">
        <v>138</v>
      </c>
      <c r="H65" s="113">
        <v>30.0</v>
      </c>
      <c r="I65" s="110" t="s">
        <v>70</v>
      </c>
      <c r="J65" s="112">
        <v>12790.0</v>
      </c>
      <c r="K65" s="113" t="s">
        <v>71</v>
      </c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 t="s">
        <v>72</v>
      </c>
      <c r="W65" s="112" t="s">
        <v>73</v>
      </c>
    </row>
    <row r="66" ht="49.5" customHeight="1">
      <c r="A66" s="110" t="s">
        <v>314</v>
      </c>
      <c r="B66" s="110" t="s">
        <v>315</v>
      </c>
      <c r="C66" s="110" t="s">
        <v>316</v>
      </c>
      <c r="D66" s="110"/>
      <c r="E66" s="111" t="s">
        <v>317</v>
      </c>
      <c r="F66" s="111" t="s">
        <v>318</v>
      </c>
      <c r="G66" s="110" t="s">
        <v>318</v>
      </c>
      <c r="H66" s="113">
        <v>10.0</v>
      </c>
      <c r="I66" s="110" t="s">
        <v>70</v>
      </c>
      <c r="J66" s="112">
        <v>6690.0</v>
      </c>
      <c r="K66" s="113" t="s">
        <v>71</v>
      </c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 t="s">
        <v>72</v>
      </c>
      <c r="W66" s="112" t="s">
        <v>73</v>
      </c>
    </row>
    <row r="67" ht="49.5" customHeight="1">
      <c r="A67" s="110" t="s">
        <v>63</v>
      </c>
      <c r="B67" s="110" t="s">
        <v>319</v>
      </c>
      <c r="C67" s="110"/>
      <c r="D67" s="110"/>
      <c r="E67" s="112" t="s">
        <v>319</v>
      </c>
      <c r="F67" s="111" t="s">
        <v>320</v>
      </c>
      <c r="G67" s="110" t="s">
        <v>70</v>
      </c>
      <c r="H67" s="110" t="s">
        <v>321</v>
      </c>
      <c r="I67" s="110" t="s">
        <v>70</v>
      </c>
      <c r="J67" s="112">
        <v>7990.0</v>
      </c>
      <c r="K67" s="113" t="s">
        <v>71</v>
      </c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 t="s">
        <v>72</v>
      </c>
      <c r="W67" s="112" t="s">
        <v>73</v>
      </c>
    </row>
    <row r="68" ht="49.5" customHeight="1">
      <c r="A68" s="110" t="s">
        <v>63</v>
      </c>
      <c r="B68" s="110" t="s">
        <v>319</v>
      </c>
      <c r="C68" s="110" t="s">
        <v>322</v>
      </c>
      <c r="D68" s="110" t="s">
        <v>322</v>
      </c>
      <c r="E68" s="111" t="s">
        <v>323</v>
      </c>
      <c r="F68" s="114" t="str">
        <f>"     "&amp;F67</f>
        <v>     Cushion Grip Drb 1.80.12 - Hole</v>
      </c>
      <c r="G68" s="110" t="s">
        <v>324</v>
      </c>
      <c r="H68" s="113">
        <v>10.0</v>
      </c>
      <c r="I68" s="110" t="s">
        <v>70</v>
      </c>
      <c r="J68" s="112">
        <f>J67</f>
        <v>7990</v>
      </c>
      <c r="K68" s="110" t="str">
        <f>K67&amp;"     "</f>
        <v>$     </v>
      </c>
      <c r="L68" s="110" t="str">
        <f t="shared" ref="L68:U68" si="59">L67</f>
        <v/>
      </c>
      <c r="M68" s="110" t="str">
        <f t="shared" si="59"/>
        <v/>
      </c>
      <c r="N68" s="110" t="str">
        <f t="shared" si="59"/>
        <v/>
      </c>
      <c r="O68" s="110" t="str">
        <f t="shared" si="59"/>
        <v/>
      </c>
      <c r="P68" s="110" t="str">
        <f t="shared" si="59"/>
        <v/>
      </c>
      <c r="Q68" s="110" t="str">
        <f t="shared" si="59"/>
        <v/>
      </c>
      <c r="R68" s="110" t="str">
        <f t="shared" si="59"/>
        <v/>
      </c>
      <c r="S68" s="110" t="str">
        <f t="shared" si="59"/>
        <v/>
      </c>
      <c r="T68" s="110" t="str">
        <f t="shared" si="59"/>
        <v/>
      </c>
      <c r="U68" s="110" t="str">
        <f t="shared" si="59"/>
        <v/>
      </c>
      <c r="V68" s="110" t="str">
        <f t="shared" ref="V68:W68" si="60">V67&amp;"     "</f>
        <v>Nuevo     </v>
      </c>
      <c r="W68" s="112" t="str">
        <f t="shared" si="60"/>
        <v>Activa     </v>
      </c>
    </row>
    <row r="69" ht="49.5" customHeight="1">
      <c r="A69" s="110" t="s">
        <v>63</v>
      </c>
      <c r="B69" s="110" t="s">
        <v>319</v>
      </c>
      <c r="C69" s="110" t="s">
        <v>325</v>
      </c>
      <c r="D69" s="110" t="s">
        <v>325</v>
      </c>
      <c r="E69" s="111" t="s">
        <v>323</v>
      </c>
      <c r="F69" s="114" t="str">
        <f>"     "&amp;F67</f>
        <v>     Cushion Grip Drb 1.80.12 - Hole</v>
      </c>
      <c r="G69" s="110" t="s">
        <v>90</v>
      </c>
      <c r="H69" s="113">
        <v>10.0</v>
      </c>
      <c r="I69" s="110" t="s">
        <v>70</v>
      </c>
      <c r="J69" s="112">
        <f>J67</f>
        <v>7990</v>
      </c>
      <c r="K69" s="110" t="str">
        <f>K67&amp;"     "</f>
        <v>$     </v>
      </c>
      <c r="L69" s="110" t="str">
        <f t="shared" ref="L69:U69" si="61">L67</f>
        <v/>
      </c>
      <c r="M69" s="110" t="str">
        <f t="shared" si="61"/>
        <v/>
      </c>
      <c r="N69" s="110" t="str">
        <f t="shared" si="61"/>
        <v/>
      </c>
      <c r="O69" s="110" t="str">
        <f t="shared" si="61"/>
        <v/>
      </c>
      <c r="P69" s="110" t="str">
        <f t="shared" si="61"/>
        <v/>
      </c>
      <c r="Q69" s="110" t="str">
        <f t="shared" si="61"/>
        <v/>
      </c>
      <c r="R69" s="110" t="str">
        <f t="shared" si="61"/>
        <v/>
      </c>
      <c r="S69" s="110" t="str">
        <f t="shared" si="61"/>
        <v/>
      </c>
      <c r="T69" s="110" t="str">
        <f t="shared" si="61"/>
        <v/>
      </c>
      <c r="U69" s="110" t="str">
        <f t="shared" si="61"/>
        <v/>
      </c>
      <c r="V69" s="110" t="str">
        <f t="shared" ref="V69:W69" si="62">V67&amp;"     "</f>
        <v>Nuevo     </v>
      </c>
      <c r="W69" s="112" t="str">
        <f t="shared" si="62"/>
        <v>Activa     </v>
      </c>
    </row>
    <row r="70" ht="49.5" customHeight="1">
      <c r="A70" s="110" t="s">
        <v>63</v>
      </c>
      <c r="B70" s="110" t="s">
        <v>319</v>
      </c>
      <c r="C70" s="110" t="s">
        <v>326</v>
      </c>
      <c r="D70" s="110" t="s">
        <v>326</v>
      </c>
      <c r="E70" s="111" t="s">
        <v>323</v>
      </c>
      <c r="F70" s="114" t="str">
        <f>"     "&amp;F67</f>
        <v>     Cushion Grip Drb 1.80.12 - Hole</v>
      </c>
      <c r="G70" s="110" t="s">
        <v>165</v>
      </c>
      <c r="H70" s="113">
        <v>10.0</v>
      </c>
      <c r="I70" s="110" t="s">
        <v>70</v>
      </c>
      <c r="J70" s="112">
        <f>J67</f>
        <v>7990</v>
      </c>
      <c r="K70" s="110" t="str">
        <f>K67&amp;"     "</f>
        <v>$     </v>
      </c>
      <c r="L70" s="110" t="str">
        <f t="shared" ref="L70:U70" si="63">L67</f>
        <v/>
      </c>
      <c r="M70" s="110" t="str">
        <f t="shared" si="63"/>
        <v/>
      </c>
      <c r="N70" s="110" t="str">
        <f t="shared" si="63"/>
        <v/>
      </c>
      <c r="O70" s="110" t="str">
        <f t="shared" si="63"/>
        <v/>
      </c>
      <c r="P70" s="110" t="str">
        <f t="shared" si="63"/>
        <v/>
      </c>
      <c r="Q70" s="110" t="str">
        <f t="shared" si="63"/>
        <v/>
      </c>
      <c r="R70" s="110" t="str">
        <f t="shared" si="63"/>
        <v/>
      </c>
      <c r="S70" s="110" t="str">
        <f t="shared" si="63"/>
        <v/>
      </c>
      <c r="T70" s="110" t="str">
        <f t="shared" si="63"/>
        <v/>
      </c>
      <c r="U70" s="110" t="str">
        <f t="shared" si="63"/>
        <v/>
      </c>
      <c r="V70" s="110" t="str">
        <f t="shared" ref="V70:W70" si="64">V67&amp;"     "</f>
        <v>Nuevo     </v>
      </c>
      <c r="W70" s="112" t="str">
        <f t="shared" si="64"/>
        <v>Activa     </v>
      </c>
    </row>
    <row r="71" ht="49.5" customHeight="1">
      <c r="A71" s="110" t="s">
        <v>327</v>
      </c>
      <c r="B71" s="110" t="s">
        <v>328</v>
      </c>
      <c r="C71" s="110" t="s">
        <v>329</v>
      </c>
      <c r="D71" s="110"/>
      <c r="E71" s="111" t="s">
        <v>330</v>
      </c>
      <c r="F71" s="111" t="s">
        <v>331</v>
      </c>
      <c r="G71" s="110" t="s">
        <v>331</v>
      </c>
      <c r="H71" s="113">
        <v>30.0</v>
      </c>
      <c r="I71" s="110" t="s">
        <v>70</v>
      </c>
      <c r="J71" s="112" t="s">
        <v>63</v>
      </c>
      <c r="K71" s="113" t="s">
        <v>71</v>
      </c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 t="s">
        <v>72</v>
      </c>
      <c r="W71" s="112" t="s">
        <v>73</v>
      </c>
    </row>
    <row r="72" ht="49.5" customHeight="1">
      <c r="A72" s="110" t="s">
        <v>332</v>
      </c>
      <c r="B72" s="110" t="s">
        <v>333</v>
      </c>
      <c r="C72" s="110" t="s">
        <v>334</v>
      </c>
      <c r="D72" s="110"/>
      <c r="E72" s="111" t="s">
        <v>335</v>
      </c>
      <c r="F72" s="111" t="s">
        <v>336</v>
      </c>
      <c r="G72" s="110" t="s">
        <v>336</v>
      </c>
      <c r="H72" s="113">
        <v>30.0</v>
      </c>
      <c r="I72" s="110" t="s">
        <v>70</v>
      </c>
      <c r="J72" s="112">
        <v>7890.0</v>
      </c>
      <c r="K72" s="113" t="s">
        <v>71</v>
      </c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 t="s">
        <v>72</v>
      </c>
      <c r="W72" s="112" t="s">
        <v>73</v>
      </c>
    </row>
    <row r="73" ht="49.5" customHeight="1">
      <c r="A73" s="110" t="s">
        <v>337</v>
      </c>
      <c r="B73" s="110" t="s">
        <v>338</v>
      </c>
      <c r="C73" s="110" t="s">
        <v>339</v>
      </c>
      <c r="D73" s="110"/>
      <c r="E73" s="111" t="s">
        <v>340</v>
      </c>
      <c r="F73" s="111" t="s">
        <v>341</v>
      </c>
      <c r="G73" s="110" t="s">
        <v>342</v>
      </c>
      <c r="H73" s="113">
        <v>30.0</v>
      </c>
      <c r="I73" s="110" t="s">
        <v>70</v>
      </c>
      <c r="J73" s="112">
        <v>12390.0</v>
      </c>
      <c r="K73" s="113" t="s">
        <v>71</v>
      </c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 t="s">
        <v>72</v>
      </c>
      <c r="W73" s="112" t="s">
        <v>73</v>
      </c>
    </row>
    <row r="74" ht="49.5" customHeight="1">
      <c r="A74" s="110" t="s">
        <v>343</v>
      </c>
      <c r="B74" s="110" t="s">
        <v>344</v>
      </c>
      <c r="C74" s="110" t="s">
        <v>345</v>
      </c>
      <c r="D74" s="110"/>
      <c r="E74" s="111" t="s">
        <v>346</v>
      </c>
      <c r="F74" s="111" t="s">
        <v>347</v>
      </c>
      <c r="G74" s="110" t="s">
        <v>348</v>
      </c>
      <c r="H74" s="113">
        <v>30.0</v>
      </c>
      <c r="I74" s="110" t="s">
        <v>70</v>
      </c>
      <c r="J74" s="112">
        <v>6290.0</v>
      </c>
      <c r="K74" s="113" t="s">
        <v>71</v>
      </c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 t="s">
        <v>72</v>
      </c>
      <c r="W74" s="112" t="s">
        <v>73</v>
      </c>
    </row>
    <row r="75" ht="49.5" customHeight="1">
      <c r="A75" s="110" t="s">
        <v>349</v>
      </c>
      <c r="B75" s="110" t="s">
        <v>350</v>
      </c>
      <c r="C75" s="110" t="s">
        <v>351</v>
      </c>
      <c r="D75" s="110"/>
      <c r="E75" s="111" t="s">
        <v>352</v>
      </c>
      <c r="F75" s="111" t="s">
        <v>353</v>
      </c>
      <c r="G75" s="110" t="s">
        <v>354</v>
      </c>
      <c r="H75" s="113">
        <v>30.0</v>
      </c>
      <c r="I75" s="110" t="s">
        <v>70</v>
      </c>
      <c r="J75" s="112">
        <v>95790.0</v>
      </c>
      <c r="K75" s="113" t="s">
        <v>71</v>
      </c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 t="s">
        <v>72</v>
      </c>
      <c r="W75" s="112" t="s">
        <v>73</v>
      </c>
    </row>
    <row r="76" ht="49.5" customHeight="1">
      <c r="A76" s="110" t="s">
        <v>128</v>
      </c>
      <c r="B76" s="110" t="s">
        <v>355</v>
      </c>
      <c r="C76" s="110" t="s">
        <v>130</v>
      </c>
      <c r="D76" s="110"/>
      <c r="E76" s="111" t="s">
        <v>131</v>
      </c>
      <c r="F76" s="111" t="s">
        <v>356</v>
      </c>
      <c r="G76" s="110" t="s">
        <v>357</v>
      </c>
      <c r="H76" s="113">
        <v>7.0</v>
      </c>
      <c r="I76" s="110" t="s">
        <v>70</v>
      </c>
      <c r="J76" s="112">
        <v>18090.0</v>
      </c>
      <c r="K76" s="113" t="s">
        <v>71</v>
      </c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 t="s">
        <v>72</v>
      </c>
      <c r="W76" s="112" t="s">
        <v>73</v>
      </c>
    </row>
    <row r="77" ht="49.5" customHeight="1">
      <c r="A77" s="110" t="s">
        <v>358</v>
      </c>
      <c r="B77" s="110" t="s">
        <v>359</v>
      </c>
      <c r="C77" s="110" t="s">
        <v>360</v>
      </c>
      <c r="D77" s="110"/>
      <c r="E77" s="111" t="s">
        <v>361</v>
      </c>
      <c r="F77" s="111" t="s">
        <v>362</v>
      </c>
      <c r="G77" s="110" t="s">
        <v>90</v>
      </c>
      <c r="H77" s="113">
        <v>30.0</v>
      </c>
      <c r="I77" s="110" t="s">
        <v>70</v>
      </c>
      <c r="J77" s="112">
        <v>132490.0</v>
      </c>
      <c r="K77" s="113" t="s">
        <v>71</v>
      </c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 t="s">
        <v>72</v>
      </c>
      <c r="W77" s="112" t="s">
        <v>73</v>
      </c>
    </row>
    <row r="78" ht="49.5" customHeight="1">
      <c r="A78" s="110" t="s">
        <v>363</v>
      </c>
      <c r="B78" s="110" t="s">
        <v>364</v>
      </c>
      <c r="C78" s="110" t="s">
        <v>365</v>
      </c>
      <c r="D78" s="110"/>
      <c r="E78" s="111" t="s">
        <v>366</v>
      </c>
      <c r="F78" s="111" t="s">
        <v>367</v>
      </c>
      <c r="G78" s="110" t="s">
        <v>368</v>
      </c>
      <c r="H78" s="113">
        <v>30.0</v>
      </c>
      <c r="I78" s="110" t="s">
        <v>70</v>
      </c>
      <c r="J78" s="112">
        <v>17190.0</v>
      </c>
      <c r="K78" s="113" t="s">
        <v>71</v>
      </c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 t="s">
        <v>72</v>
      </c>
      <c r="W78" s="112" t="s">
        <v>73</v>
      </c>
    </row>
    <row r="79" ht="49.5" customHeight="1">
      <c r="A79" s="110" t="s">
        <v>65</v>
      </c>
      <c r="B79" s="110" t="s">
        <v>369</v>
      </c>
      <c r="C79" s="110" t="s">
        <v>67</v>
      </c>
      <c r="D79" s="110"/>
      <c r="E79" s="111" t="s">
        <v>68</v>
      </c>
      <c r="F79" s="111" t="s">
        <v>370</v>
      </c>
      <c r="G79" s="110" t="s">
        <v>371</v>
      </c>
      <c r="H79" s="113">
        <v>28.0</v>
      </c>
      <c r="I79" s="110" t="s">
        <v>70</v>
      </c>
      <c r="J79" s="112">
        <v>17690.0</v>
      </c>
      <c r="K79" s="113" t="s">
        <v>71</v>
      </c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 t="s">
        <v>72</v>
      </c>
      <c r="W79" s="112" t="s">
        <v>73</v>
      </c>
    </row>
    <row r="80" ht="49.5" customHeight="1">
      <c r="A80" s="110" t="s">
        <v>372</v>
      </c>
      <c r="B80" s="110" t="s">
        <v>373</v>
      </c>
      <c r="C80" s="110" t="s">
        <v>374</v>
      </c>
      <c r="D80" s="110"/>
      <c r="E80" s="111" t="s">
        <v>375</v>
      </c>
      <c r="F80" s="111" t="s">
        <v>376</v>
      </c>
      <c r="G80" s="110" t="s">
        <v>376</v>
      </c>
      <c r="H80" s="113">
        <v>30.0</v>
      </c>
      <c r="I80" s="110" t="s">
        <v>70</v>
      </c>
      <c r="J80" s="112">
        <v>9690.0</v>
      </c>
      <c r="K80" s="113" t="s">
        <v>71</v>
      </c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 t="s">
        <v>72</v>
      </c>
      <c r="W80" s="112" t="s">
        <v>73</v>
      </c>
    </row>
    <row r="81" ht="49.5" customHeight="1">
      <c r="A81" s="110" t="s">
        <v>377</v>
      </c>
      <c r="B81" s="110" t="s">
        <v>378</v>
      </c>
      <c r="C81" s="110" t="s">
        <v>379</v>
      </c>
      <c r="D81" s="110"/>
      <c r="E81" s="111" t="s">
        <v>380</v>
      </c>
      <c r="F81" s="111" t="s">
        <v>381</v>
      </c>
      <c r="G81" s="110" t="s">
        <v>381</v>
      </c>
      <c r="H81" s="113">
        <v>30.0</v>
      </c>
      <c r="I81" s="110" t="s">
        <v>70</v>
      </c>
      <c r="J81" s="112">
        <v>12190.0</v>
      </c>
      <c r="K81" s="113" t="s">
        <v>71</v>
      </c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 t="s">
        <v>72</v>
      </c>
      <c r="W81" s="112" t="s">
        <v>73</v>
      </c>
    </row>
    <row r="82" ht="49.5" customHeight="1">
      <c r="A82" s="110" t="s">
        <v>382</v>
      </c>
      <c r="B82" s="110" t="s">
        <v>383</v>
      </c>
      <c r="C82" s="110" t="s">
        <v>384</v>
      </c>
      <c r="D82" s="110"/>
      <c r="E82" s="111" t="s">
        <v>385</v>
      </c>
      <c r="F82" s="111" t="s">
        <v>386</v>
      </c>
      <c r="G82" s="110" t="s">
        <v>386</v>
      </c>
      <c r="H82" s="113">
        <v>30.0</v>
      </c>
      <c r="I82" s="110" t="s">
        <v>70</v>
      </c>
      <c r="J82" s="112">
        <v>30290.0</v>
      </c>
      <c r="K82" s="113" t="s">
        <v>71</v>
      </c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 t="s">
        <v>72</v>
      </c>
      <c r="W82" s="112" t="s">
        <v>73</v>
      </c>
    </row>
    <row r="83" ht="49.5" customHeight="1">
      <c r="A83" s="110" t="s">
        <v>387</v>
      </c>
      <c r="B83" s="110" t="s">
        <v>388</v>
      </c>
      <c r="C83" s="110" t="s">
        <v>389</v>
      </c>
      <c r="D83" s="110"/>
      <c r="E83" s="111" t="s">
        <v>390</v>
      </c>
      <c r="F83" s="111" t="s">
        <v>391</v>
      </c>
      <c r="G83" s="110" t="s">
        <v>391</v>
      </c>
      <c r="H83" s="113">
        <v>30.0</v>
      </c>
      <c r="I83" s="110" t="s">
        <v>70</v>
      </c>
      <c r="J83" s="112">
        <v>9090.0</v>
      </c>
      <c r="K83" s="113" t="s">
        <v>71</v>
      </c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 t="s">
        <v>72</v>
      </c>
      <c r="W83" s="112" t="s">
        <v>73</v>
      </c>
    </row>
    <row r="84" ht="49.5" customHeight="1">
      <c r="A84" s="110" t="s">
        <v>392</v>
      </c>
      <c r="B84" s="110" t="s">
        <v>393</v>
      </c>
      <c r="C84" s="110" t="s">
        <v>394</v>
      </c>
      <c r="D84" s="110"/>
      <c r="E84" s="111" t="s">
        <v>395</v>
      </c>
      <c r="F84" s="111" t="s">
        <v>396</v>
      </c>
      <c r="G84" s="110" t="s">
        <v>396</v>
      </c>
      <c r="H84" s="113">
        <v>30.0</v>
      </c>
      <c r="I84" s="110" t="s">
        <v>70</v>
      </c>
      <c r="J84" s="112">
        <v>12790.0</v>
      </c>
      <c r="K84" s="113" t="s">
        <v>71</v>
      </c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 t="s">
        <v>72</v>
      </c>
      <c r="W84" s="112" t="s">
        <v>73</v>
      </c>
    </row>
    <row r="85" ht="49.5" customHeight="1">
      <c r="A85" s="110" t="s">
        <v>397</v>
      </c>
      <c r="B85" s="110" t="s">
        <v>398</v>
      </c>
      <c r="C85" s="110" t="s">
        <v>399</v>
      </c>
      <c r="D85" s="110"/>
      <c r="E85" s="111" t="s">
        <v>400</v>
      </c>
      <c r="F85" s="111" t="s">
        <v>401</v>
      </c>
      <c r="G85" s="110" t="s">
        <v>401</v>
      </c>
      <c r="H85" s="113">
        <v>30.0</v>
      </c>
      <c r="I85" s="110" t="s">
        <v>70</v>
      </c>
      <c r="J85" s="112">
        <v>12190.0</v>
      </c>
      <c r="K85" s="113" t="s">
        <v>71</v>
      </c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 t="s">
        <v>72</v>
      </c>
      <c r="W85" s="112" t="s">
        <v>73</v>
      </c>
    </row>
    <row r="86" ht="49.5" customHeight="1">
      <c r="A86" s="110" t="s">
        <v>402</v>
      </c>
      <c r="B86" s="110" t="s">
        <v>403</v>
      </c>
      <c r="C86" s="110" t="s">
        <v>404</v>
      </c>
      <c r="D86" s="110"/>
      <c r="E86" s="111" t="s">
        <v>405</v>
      </c>
      <c r="F86" s="111" t="s">
        <v>406</v>
      </c>
      <c r="G86" s="110" t="s">
        <v>144</v>
      </c>
      <c r="H86" s="113">
        <v>30.0</v>
      </c>
      <c r="I86" s="110" t="s">
        <v>70</v>
      </c>
      <c r="J86" s="112">
        <v>10390.0</v>
      </c>
      <c r="K86" s="113" t="s">
        <v>71</v>
      </c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 t="s">
        <v>72</v>
      </c>
      <c r="W86" s="112" t="s">
        <v>73</v>
      </c>
    </row>
    <row r="87" ht="49.5" customHeight="1">
      <c r="A87" s="110" t="s">
        <v>407</v>
      </c>
      <c r="B87" s="110" t="s">
        <v>408</v>
      </c>
      <c r="C87" s="110" t="s">
        <v>409</v>
      </c>
      <c r="D87" s="110"/>
      <c r="E87" s="111" t="s">
        <v>410</v>
      </c>
      <c r="F87" s="111" t="s">
        <v>411</v>
      </c>
      <c r="G87" s="110" t="s">
        <v>165</v>
      </c>
      <c r="H87" s="113">
        <v>30.0</v>
      </c>
      <c r="I87" s="110" t="s">
        <v>70</v>
      </c>
      <c r="J87" s="112">
        <v>17190.0</v>
      </c>
      <c r="K87" s="113" t="s">
        <v>71</v>
      </c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 t="s">
        <v>72</v>
      </c>
      <c r="W87" s="112" t="s">
        <v>73</v>
      </c>
    </row>
    <row r="88" ht="49.5" customHeight="1">
      <c r="A88" s="110" t="s">
        <v>412</v>
      </c>
      <c r="B88" s="110" t="s">
        <v>413</v>
      </c>
      <c r="C88" s="110" t="s">
        <v>414</v>
      </c>
      <c r="D88" s="110"/>
      <c r="E88" s="111" t="s">
        <v>415</v>
      </c>
      <c r="F88" s="111" t="s">
        <v>416</v>
      </c>
      <c r="G88" s="110" t="s">
        <v>138</v>
      </c>
      <c r="H88" s="113">
        <v>30.0</v>
      </c>
      <c r="I88" s="110" t="s">
        <v>70</v>
      </c>
      <c r="J88" s="112">
        <v>5990.0</v>
      </c>
      <c r="K88" s="113" t="s">
        <v>71</v>
      </c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 t="s">
        <v>72</v>
      </c>
      <c r="W88" s="112" t="s">
        <v>73</v>
      </c>
    </row>
    <row r="89" ht="49.5" customHeight="1">
      <c r="A89" s="110" t="s">
        <v>417</v>
      </c>
      <c r="B89" s="110" t="s">
        <v>418</v>
      </c>
      <c r="C89" s="110" t="s">
        <v>419</v>
      </c>
      <c r="D89" s="110"/>
      <c r="E89" s="111" t="s">
        <v>420</v>
      </c>
      <c r="F89" s="111" t="s">
        <v>421</v>
      </c>
      <c r="G89" s="110" t="s">
        <v>138</v>
      </c>
      <c r="H89" s="113">
        <v>30.0</v>
      </c>
      <c r="I89" s="110" t="s">
        <v>70</v>
      </c>
      <c r="J89" s="112">
        <v>150190.0</v>
      </c>
      <c r="K89" s="113" t="s">
        <v>71</v>
      </c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 t="s">
        <v>72</v>
      </c>
      <c r="W89" s="112" t="s">
        <v>73</v>
      </c>
    </row>
    <row r="90" ht="49.5" customHeight="1">
      <c r="A90" s="110" t="s">
        <v>422</v>
      </c>
      <c r="B90" s="110" t="s">
        <v>423</v>
      </c>
      <c r="C90" s="110" t="s">
        <v>424</v>
      </c>
      <c r="D90" s="110"/>
      <c r="E90" s="111" t="s">
        <v>425</v>
      </c>
      <c r="F90" s="111" t="s">
        <v>426</v>
      </c>
      <c r="G90" s="110" t="s">
        <v>427</v>
      </c>
      <c r="H90" s="113">
        <v>30.0</v>
      </c>
      <c r="I90" s="110" t="s">
        <v>70</v>
      </c>
      <c r="J90" s="112">
        <v>150190.0</v>
      </c>
      <c r="K90" s="113" t="s">
        <v>71</v>
      </c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 t="s">
        <v>72</v>
      </c>
      <c r="W90" s="112" t="s">
        <v>73</v>
      </c>
    </row>
    <row r="91" ht="49.5" customHeight="1">
      <c r="A91" s="110" t="s">
        <v>428</v>
      </c>
      <c r="B91" s="110" t="s">
        <v>429</v>
      </c>
      <c r="C91" s="110" t="s">
        <v>430</v>
      </c>
      <c r="D91" s="110"/>
      <c r="E91" s="111" t="s">
        <v>431</v>
      </c>
      <c r="F91" s="111" t="s">
        <v>432</v>
      </c>
      <c r="G91" s="110" t="s">
        <v>432</v>
      </c>
      <c r="H91" s="113">
        <v>30.0</v>
      </c>
      <c r="I91" s="110" t="s">
        <v>70</v>
      </c>
      <c r="J91" s="112">
        <v>10590.0</v>
      </c>
      <c r="K91" s="113" t="s">
        <v>71</v>
      </c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 t="s">
        <v>72</v>
      </c>
      <c r="W91" s="112" t="s">
        <v>73</v>
      </c>
    </row>
    <row r="92" ht="49.5" customHeight="1">
      <c r="A92" s="110" t="s">
        <v>433</v>
      </c>
      <c r="B92" s="110" t="s">
        <v>434</v>
      </c>
      <c r="C92" s="110" t="s">
        <v>435</v>
      </c>
      <c r="D92" s="110"/>
      <c r="E92" s="111" t="s">
        <v>436</v>
      </c>
      <c r="F92" s="112" t="s">
        <v>437</v>
      </c>
      <c r="G92" s="110" t="s">
        <v>70</v>
      </c>
      <c r="H92" s="113">
        <v>10.0</v>
      </c>
      <c r="I92" s="110" t="s">
        <v>70</v>
      </c>
      <c r="J92" s="112">
        <v>6990.0</v>
      </c>
      <c r="K92" s="113" t="s">
        <v>71</v>
      </c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0" t="s">
        <v>72</v>
      </c>
      <c r="W92" s="112" t="s">
        <v>73</v>
      </c>
    </row>
    <row r="93" ht="49.5" customHeight="1">
      <c r="A93" s="110" t="s">
        <v>438</v>
      </c>
      <c r="B93" s="110" t="s">
        <v>439</v>
      </c>
      <c r="C93" s="110" t="s">
        <v>440</v>
      </c>
      <c r="D93" s="110"/>
      <c r="E93" s="111" t="s">
        <v>441</v>
      </c>
      <c r="F93" s="111" t="s">
        <v>442</v>
      </c>
      <c r="G93" s="110" t="s">
        <v>138</v>
      </c>
      <c r="H93" s="113">
        <v>10.0</v>
      </c>
      <c r="I93" s="110" t="s">
        <v>70</v>
      </c>
      <c r="J93" s="112">
        <v>229890.0</v>
      </c>
      <c r="K93" s="113" t="s">
        <v>71</v>
      </c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 t="s">
        <v>72</v>
      </c>
      <c r="W93" s="112" t="s">
        <v>73</v>
      </c>
    </row>
    <row r="94" ht="49.5" customHeight="1">
      <c r="A94" s="110" t="s">
        <v>443</v>
      </c>
      <c r="B94" s="110" t="s">
        <v>444</v>
      </c>
      <c r="C94" s="110" t="s">
        <v>445</v>
      </c>
      <c r="D94" s="110"/>
      <c r="E94" s="111" t="s">
        <v>446</v>
      </c>
      <c r="F94" s="111" t="s">
        <v>447</v>
      </c>
      <c r="G94" s="110" t="s">
        <v>138</v>
      </c>
      <c r="H94" s="113">
        <v>30.0</v>
      </c>
      <c r="I94" s="110" t="s">
        <v>70</v>
      </c>
      <c r="J94" s="112">
        <v>12090.0</v>
      </c>
      <c r="K94" s="113" t="s">
        <v>71</v>
      </c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 t="s">
        <v>72</v>
      </c>
      <c r="W94" s="112" t="s">
        <v>73</v>
      </c>
    </row>
    <row r="95" ht="49.5" customHeight="1">
      <c r="A95" s="110" t="s">
        <v>448</v>
      </c>
      <c r="B95" s="110" t="s">
        <v>449</v>
      </c>
      <c r="C95" s="110" t="s">
        <v>450</v>
      </c>
      <c r="D95" s="110"/>
      <c r="E95" s="111" t="s">
        <v>451</v>
      </c>
      <c r="F95" s="111" t="s">
        <v>452</v>
      </c>
      <c r="G95" s="110" t="s">
        <v>138</v>
      </c>
      <c r="H95" s="113">
        <v>30.0</v>
      </c>
      <c r="I95" s="110" t="s">
        <v>70</v>
      </c>
      <c r="J95" s="112">
        <v>12290.0</v>
      </c>
      <c r="K95" s="113" t="s">
        <v>71</v>
      </c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 t="s">
        <v>72</v>
      </c>
      <c r="W95" s="112" t="s">
        <v>73</v>
      </c>
    </row>
    <row r="96" ht="49.5" customHeight="1">
      <c r="A96" s="110" t="s">
        <v>453</v>
      </c>
      <c r="B96" s="110" t="s">
        <v>454</v>
      </c>
      <c r="C96" s="110" t="s">
        <v>455</v>
      </c>
      <c r="D96" s="110"/>
      <c r="E96" s="111" t="s">
        <v>456</v>
      </c>
      <c r="F96" s="111" t="s">
        <v>457</v>
      </c>
      <c r="G96" s="110" t="s">
        <v>138</v>
      </c>
      <c r="H96" s="113">
        <v>30.0</v>
      </c>
      <c r="I96" s="110" t="s">
        <v>70</v>
      </c>
      <c r="J96" s="112">
        <v>16090.0</v>
      </c>
      <c r="K96" s="113" t="s">
        <v>71</v>
      </c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 t="s">
        <v>72</v>
      </c>
      <c r="W96" s="112" t="s">
        <v>73</v>
      </c>
    </row>
    <row r="97" ht="49.5" customHeight="1">
      <c r="A97" s="110" t="s">
        <v>63</v>
      </c>
      <c r="B97" s="110" t="s">
        <v>458</v>
      </c>
      <c r="C97" s="110"/>
      <c r="D97" s="110"/>
      <c r="E97" s="112" t="s">
        <v>458</v>
      </c>
      <c r="F97" s="111" t="s">
        <v>459</v>
      </c>
      <c r="G97" s="110" t="s">
        <v>70</v>
      </c>
      <c r="H97" s="110" t="s">
        <v>460</v>
      </c>
      <c r="I97" s="110" t="s">
        <v>70</v>
      </c>
      <c r="J97" s="112">
        <v>18190.0</v>
      </c>
      <c r="K97" s="113" t="s">
        <v>71</v>
      </c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 t="s">
        <v>72</v>
      </c>
      <c r="W97" s="112" t="s">
        <v>73</v>
      </c>
    </row>
    <row r="98" ht="49.5" customHeight="1">
      <c r="A98" s="110" t="s">
        <v>63</v>
      </c>
      <c r="B98" s="110" t="s">
        <v>458</v>
      </c>
      <c r="C98" s="110" t="s">
        <v>461</v>
      </c>
      <c r="D98" s="110" t="s">
        <v>461</v>
      </c>
      <c r="E98" s="111" t="s">
        <v>462</v>
      </c>
      <c r="F98" s="114" t="str">
        <f>"     "&amp;F97</f>
        <v>     Balon Futbol Drb 2.00.21 - Arsenal #5</v>
      </c>
      <c r="G98" s="110" t="s">
        <v>463</v>
      </c>
      <c r="H98" s="113">
        <v>30.0</v>
      </c>
      <c r="I98" s="110" t="s">
        <v>70</v>
      </c>
      <c r="J98" s="112">
        <f>J97</f>
        <v>18190</v>
      </c>
      <c r="K98" s="110" t="str">
        <f>K97&amp;"     "</f>
        <v>$     </v>
      </c>
      <c r="L98" s="110" t="str">
        <f t="shared" ref="L98:U98" si="65">L97</f>
        <v/>
      </c>
      <c r="M98" s="110" t="str">
        <f t="shared" si="65"/>
        <v/>
      </c>
      <c r="N98" s="110" t="str">
        <f t="shared" si="65"/>
        <v/>
      </c>
      <c r="O98" s="110" t="str">
        <f t="shared" si="65"/>
        <v/>
      </c>
      <c r="P98" s="110" t="str">
        <f t="shared" si="65"/>
        <v/>
      </c>
      <c r="Q98" s="110" t="str">
        <f t="shared" si="65"/>
        <v/>
      </c>
      <c r="R98" s="110" t="str">
        <f t="shared" si="65"/>
        <v/>
      </c>
      <c r="S98" s="110" t="str">
        <f t="shared" si="65"/>
        <v/>
      </c>
      <c r="T98" s="110" t="str">
        <f t="shared" si="65"/>
        <v/>
      </c>
      <c r="U98" s="110" t="str">
        <f t="shared" si="65"/>
        <v/>
      </c>
      <c r="V98" s="110" t="str">
        <f t="shared" ref="V98:W98" si="66">V97&amp;"     "</f>
        <v>Nuevo     </v>
      </c>
      <c r="W98" s="112" t="str">
        <f t="shared" si="66"/>
        <v>Activa     </v>
      </c>
    </row>
    <row r="99" ht="49.5" customHeight="1">
      <c r="A99" s="110" t="s">
        <v>63</v>
      </c>
      <c r="B99" s="110" t="s">
        <v>458</v>
      </c>
      <c r="C99" s="110" t="s">
        <v>464</v>
      </c>
      <c r="D99" s="110" t="s">
        <v>464</v>
      </c>
      <c r="E99" s="111" t="s">
        <v>465</v>
      </c>
      <c r="F99" s="114" t="str">
        <f>"     "&amp;F97</f>
        <v>     Balon Futbol Drb 2.00.21 - Arsenal #5</v>
      </c>
      <c r="G99" s="110" t="s">
        <v>466</v>
      </c>
      <c r="H99" s="113">
        <v>30.0</v>
      </c>
      <c r="I99" s="110" t="s">
        <v>70</v>
      </c>
      <c r="J99" s="112">
        <f>J97</f>
        <v>18190</v>
      </c>
      <c r="K99" s="110" t="str">
        <f>K97&amp;"     "</f>
        <v>$     </v>
      </c>
      <c r="L99" s="110" t="str">
        <f t="shared" ref="L99:U99" si="67">L97</f>
        <v/>
      </c>
      <c r="M99" s="110" t="str">
        <f t="shared" si="67"/>
        <v/>
      </c>
      <c r="N99" s="110" t="str">
        <f t="shared" si="67"/>
        <v/>
      </c>
      <c r="O99" s="110" t="str">
        <f t="shared" si="67"/>
        <v/>
      </c>
      <c r="P99" s="110" t="str">
        <f t="shared" si="67"/>
        <v/>
      </c>
      <c r="Q99" s="110" t="str">
        <f t="shared" si="67"/>
        <v/>
      </c>
      <c r="R99" s="110" t="str">
        <f t="shared" si="67"/>
        <v/>
      </c>
      <c r="S99" s="110" t="str">
        <f t="shared" si="67"/>
        <v/>
      </c>
      <c r="T99" s="110" t="str">
        <f t="shared" si="67"/>
        <v/>
      </c>
      <c r="U99" s="110" t="str">
        <f t="shared" si="67"/>
        <v/>
      </c>
      <c r="V99" s="110" t="str">
        <f t="shared" ref="V99:W99" si="68">V97&amp;"     "</f>
        <v>Nuevo     </v>
      </c>
      <c r="W99" s="112" t="str">
        <f t="shared" si="68"/>
        <v>Activa     </v>
      </c>
    </row>
    <row r="100" ht="49.5" customHeight="1">
      <c r="A100" s="110" t="s">
        <v>63</v>
      </c>
      <c r="B100" s="110" t="s">
        <v>467</v>
      </c>
      <c r="C100" s="110"/>
      <c r="D100" s="110"/>
      <c r="E100" s="112" t="s">
        <v>467</v>
      </c>
      <c r="F100" s="111" t="s">
        <v>468</v>
      </c>
      <c r="G100" s="110" t="s">
        <v>70</v>
      </c>
      <c r="H100" s="110" t="s">
        <v>321</v>
      </c>
      <c r="I100" s="110" t="s">
        <v>70</v>
      </c>
      <c r="J100" s="112">
        <v>28890.0</v>
      </c>
      <c r="K100" s="113" t="s">
        <v>71</v>
      </c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 t="s">
        <v>72</v>
      </c>
      <c r="W100" s="112" t="s">
        <v>73</v>
      </c>
    </row>
    <row r="101" ht="49.5" customHeight="1">
      <c r="A101" s="110" t="s">
        <v>63</v>
      </c>
      <c r="B101" s="110" t="s">
        <v>467</v>
      </c>
      <c r="C101" s="110" t="s">
        <v>469</v>
      </c>
      <c r="D101" s="110" t="s">
        <v>469</v>
      </c>
      <c r="E101" s="111" t="s">
        <v>470</v>
      </c>
      <c r="F101" s="114" t="str">
        <f>"     "&amp;F100</f>
        <v>     Balon Futbol Drb 2.00.25 - Galaxy #5</v>
      </c>
      <c r="G101" s="110" t="s">
        <v>165</v>
      </c>
      <c r="H101" s="113">
        <v>10.0</v>
      </c>
      <c r="I101" s="110" t="s">
        <v>70</v>
      </c>
      <c r="J101" s="112">
        <f>J100</f>
        <v>28890</v>
      </c>
      <c r="K101" s="110" t="str">
        <f>K100&amp;"     "</f>
        <v>$     </v>
      </c>
      <c r="L101" s="110" t="str">
        <f t="shared" ref="L101:U101" si="69">L100</f>
        <v/>
      </c>
      <c r="M101" s="110" t="str">
        <f t="shared" si="69"/>
        <v/>
      </c>
      <c r="N101" s="110" t="str">
        <f t="shared" si="69"/>
        <v/>
      </c>
      <c r="O101" s="110" t="str">
        <f t="shared" si="69"/>
        <v/>
      </c>
      <c r="P101" s="110" t="str">
        <f t="shared" si="69"/>
        <v/>
      </c>
      <c r="Q101" s="110" t="str">
        <f t="shared" si="69"/>
        <v/>
      </c>
      <c r="R101" s="110" t="str">
        <f t="shared" si="69"/>
        <v/>
      </c>
      <c r="S101" s="110" t="str">
        <f t="shared" si="69"/>
        <v/>
      </c>
      <c r="T101" s="110" t="str">
        <f t="shared" si="69"/>
        <v/>
      </c>
      <c r="U101" s="110" t="str">
        <f t="shared" si="69"/>
        <v/>
      </c>
      <c r="V101" s="110" t="str">
        <f t="shared" ref="V101:W101" si="70">V100&amp;"     "</f>
        <v>Nuevo     </v>
      </c>
      <c r="W101" s="112" t="str">
        <f t="shared" si="70"/>
        <v>Activa     </v>
      </c>
    </row>
    <row r="102" ht="49.5" customHeight="1">
      <c r="A102" s="110" t="s">
        <v>63</v>
      </c>
      <c r="B102" s="110" t="s">
        <v>467</v>
      </c>
      <c r="C102" s="110" t="s">
        <v>471</v>
      </c>
      <c r="D102" s="110" t="s">
        <v>471</v>
      </c>
      <c r="E102" s="111" t="s">
        <v>472</v>
      </c>
      <c r="F102" s="114" t="str">
        <f>"     "&amp;F100</f>
        <v>     Balon Futbol Drb 2.00.25 - Galaxy #5</v>
      </c>
      <c r="G102" s="110" t="s">
        <v>271</v>
      </c>
      <c r="H102" s="113">
        <v>10.0</v>
      </c>
      <c r="I102" s="110" t="s">
        <v>70</v>
      </c>
      <c r="J102" s="112">
        <f>J100</f>
        <v>28890</v>
      </c>
      <c r="K102" s="110" t="str">
        <f>K100&amp;"     "</f>
        <v>$     </v>
      </c>
      <c r="L102" s="110" t="str">
        <f t="shared" ref="L102:U102" si="71">L100</f>
        <v/>
      </c>
      <c r="M102" s="110" t="str">
        <f t="shared" si="71"/>
        <v/>
      </c>
      <c r="N102" s="110" t="str">
        <f t="shared" si="71"/>
        <v/>
      </c>
      <c r="O102" s="110" t="str">
        <f t="shared" si="71"/>
        <v/>
      </c>
      <c r="P102" s="110" t="str">
        <f t="shared" si="71"/>
        <v/>
      </c>
      <c r="Q102" s="110" t="str">
        <f t="shared" si="71"/>
        <v/>
      </c>
      <c r="R102" s="110" t="str">
        <f t="shared" si="71"/>
        <v/>
      </c>
      <c r="S102" s="110" t="str">
        <f t="shared" si="71"/>
        <v/>
      </c>
      <c r="T102" s="110" t="str">
        <f t="shared" si="71"/>
        <v/>
      </c>
      <c r="U102" s="110" t="str">
        <f t="shared" si="71"/>
        <v/>
      </c>
      <c r="V102" s="110" t="str">
        <f t="shared" ref="V102:W102" si="72">V100&amp;"     "</f>
        <v>Nuevo     </v>
      </c>
      <c r="W102" s="112" t="str">
        <f t="shared" si="72"/>
        <v>Activa     </v>
      </c>
    </row>
    <row r="103" ht="49.5" customHeight="1">
      <c r="A103" s="110" t="s">
        <v>63</v>
      </c>
      <c r="B103" s="110" t="s">
        <v>467</v>
      </c>
      <c r="C103" s="110" t="s">
        <v>473</v>
      </c>
      <c r="D103" s="110" t="s">
        <v>473</v>
      </c>
      <c r="E103" s="111" t="s">
        <v>474</v>
      </c>
      <c r="F103" s="114" t="str">
        <f>"     "&amp;F100</f>
        <v>     Balon Futbol Drb 2.00.25 - Galaxy #5</v>
      </c>
      <c r="G103" s="110" t="s">
        <v>79</v>
      </c>
      <c r="H103" s="113">
        <v>10.0</v>
      </c>
      <c r="I103" s="110" t="s">
        <v>70</v>
      </c>
      <c r="J103" s="112">
        <f>J100</f>
        <v>28890</v>
      </c>
      <c r="K103" s="110" t="str">
        <f>K100&amp;"     "</f>
        <v>$     </v>
      </c>
      <c r="L103" s="110" t="str">
        <f t="shared" ref="L103:U103" si="73">L100</f>
        <v/>
      </c>
      <c r="M103" s="110" t="str">
        <f t="shared" si="73"/>
        <v/>
      </c>
      <c r="N103" s="110" t="str">
        <f t="shared" si="73"/>
        <v/>
      </c>
      <c r="O103" s="110" t="str">
        <f t="shared" si="73"/>
        <v/>
      </c>
      <c r="P103" s="110" t="str">
        <f t="shared" si="73"/>
        <v/>
      </c>
      <c r="Q103" s="110" t="str">
        <f t="shared" si="73"/>
        <v/>
      </c>
      <c r="R103" s="110" t="str">
        <f t="shared" si="73"/>
        <v/>
      </c>
      <c r="S103" s="110" t="str">
        <f t="shared" si="73"/>
        <v/>
      </c>
      <c r="T103" s="110" t="str">
        <f t="shared" si="73"/>
        <v/>
      </c>
      <c r="U103" s="110" t="str">
        <f t="shared" si="73"/>
        <v/>
      </c>
      <c r="V103" s="110" t="str">
        <f t="shared" ref="V103:W103" si="74">V100&amp;"     "</f>
        <v>Nuevo     </v>
      </c>
      <c r="W103" s="112" t="str">
        <f t="shared" si="74"/>
        <v>Activa     </v>
      </c>
    </row>
    <row r="104" ht="49.5" customHeight="1">
      <c r="A104" s="110" t="s">
        <v>475</v>
      </c>
      <c r="B104" s="110" t="s">
        <v>476</v>
      </c>
      <c r="C104" s="110" t="s">
        <v>477</v>
      </c>
      <c r="D104" s="110"/>
      <c r="E104" s="111" t="s">
        <v>478</v>
      </c>
      <c r="F104" s="111" t="s">
        <v>479</v>
      </c>
      <c r="G104" s="110" t="s">
        <v>480</v>
      </c>
      <c r="H104" s="113">
        <v>30.0</v>
      </c>
      <c r="I104" s="110" t="s">
        <v>70</v>
      </c>
      <c r="J104" s="112">
        <v>7490.0</v>
      </c>
      <c r="K104" s="113" t="s">
        <v>71</v>
      </c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 t="s">
        <v>72</v>
      </c>
      <c r="W104" s="112" t="s">
        <v>73</v>
      </c>
    </row>
    <row r="105" ht="49.5" customHeight="1">
      <c r="A105" s="110" t="s">
        <v>481</v>
      </c>
      <c r="B105" s="110" t="s">
        <v>482</v>
      </c>
      <c r="C105" s="110" t="s">
        <v>483</v>
      </c>
      <c r="D105" s="110"/>
      <c r="E105" s="111" t="s">
        <v>484</v>
      </c>
      <c r="F105" s="111" t="s">
        <v>485</v>
      </c>
      <c r="G105" s="110" t="s">
        <v>486</v>
      </c>
      <c r="H105" s="113">
        <v>30.0</v>
      </c>
      <c r="I105" s="110" t="s">
        <v>70</v>
      </c>
      <c r="J105" s="112">
        <v>14090.0</v>
      </c>
      <c r="K105" s="113" t="s">
        <v>71</v>
      </c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 t="s">
        <v>72</v>
      </c>
      <c r="W105" s="112" t="s">
        <v>73</v>
      </c>
    </row>
    <row r="106" ht="49.5" customHeight="1">
      <c r="A106" s="110" t="s">
        <v>487</v>
      </c>
      <c r="B106" s="110" t="s">
        <v>488</v>
      </c>
      <c r="C106" s="110" t="s">
        <v>489</v>
      </c>
      <c r="D106" s="110"/>
      <c r="E106" s="111" t="s">
        <v>490</v>
      </c>
      <c r="F106" s="111" t="s">
        <v>491</v>
      </c>
      <c r="G106" s="110" t="s">
        <v>492</v>
      </c>
      <c r="H106" s="113">
        <v>30.0</v>
      </c>
      <c r="I106" s="110" t="s">
        <v>70</v>
      </c>
      <c r="J106" s="112">
        <v>13390.0</v>
      </c>
      <c r="K106" s="113" t="s">
        <v>71</v>
      </c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 t="s">
        <v>72</v>
      </c>
      <c r="W106" s="112" t="s">
        <v>73</v>
      </c>
    </row>
    <row r="107" ht="49.5" customHeight="1">
      <c r="A107" s="110" t="s">
        <v>493</v>
      </c>
      <c r="B107" s="110" t="s">
        <v>494</v>
      </c>
      <c r="C107" s="110" t="s">
        <v>495</v>
      </c>
      <c r="D107" s="110"/>
      <c r="E107" s="111" t="s">
        <v>496</v>
      </c>
      <c r="F107" s="111" t="s">
        <v>497</v>
      </c>
      <c r="G107" s="110" t="s">
        <v>492</v>
      </c>
      <c r="H107" s="113">
        <v>30.0</v>
      </c>
      <c r="I107" s="110" t="s">
        <v>70</v>
      </c>
      <c r="J107" s="112">
        <v>8190.0</v>
      </c>
      <c r="K107" s="113" t="s">
        <v>71</v>
      </c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 t="s">
        <v>72</v>
      </c>
      <c r="W107" s="112" t="s">
        <v>73</v>
      </c>
    </row>
    <row r="108" ht="49.5" customHeight="1">
      <c r="A108" s="110" t="s">
        <v>498</v>
      </c>
      <c r="B108" s="110" t="s">
        <v>499</v>
      </c>
      <c r="C108" s="110" t="s">
        <v>500</v>
      </c>
      <c r="D108" s="110"/>
      <c r="E108" s="111" t="s">
        <v>501</v>
      </c>
      <c r="F108" s="111" t="s">
        <v>502</v>
      </c>
      <c r="G108" s="110" t="s">
        <v>480</v>
      </c>
      <c r="H108" s="113">
        <v>30.0</v>
      </c>
      <c r="I108" s="110" t="s">
        <v>70</v>
      </c>
      <c r="J108" s="112">
        <v>8090.0</v>
      </c>
      <c r="K108" s="113" t="s">
        <v>71</v>
      </c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 t="s">
        <v>72</v>
      </c>
      <c r="W108" s="112" t="s">
        <v>73</v>
      </c>
    </row>
    <row r="109" ht="49.5" customHeight="1">
      <c r="A109" s="110" t="s">
        <v>503</v>
      </c>
      <c r="B109" s="110" t="s">
        <v>504</v>
      </c>
      <c r="C109" s="110" t="s">
        <v>505</v>
      </c>
      <c r="D109" s="110"/>
      <c r="E109" s="111" t="s">
        <v>506</v>
      </c>
      <c r="F109" s="111" t="s">
        <v>507</v>
      </c>
      <c r="G109" s="110" t="s">
        <v>508</v>
      </c>
      <c r="H109" s="113">
        <v>30.0</v>
      </c>
      <c r="I109" s="110" t="s">
        <v>70</v>
      </c>
      <c r="J109" s="112">
        <v>8190.0</v>
      </c>
      <c r="K109" s="113" t="s">
        <v>71</v>
      </c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 t="s">
        <v>72</v>
      </c>
      <c r="W109" s="112" t="s">
        <v>73</v>
      </c>
    </row>
    <row r="110" ht="49.5" customHeight="1">
      <c r="A110" s="110" t="s">
        <v>509</v>
      </c>
      <c r="B110" s="110" t="s">
        <v>510</v>
      </c>
      <c r="C110" s="110" t="s">
        <v>511</v>
      </c>
      <c r="D110" s="110"/>
      <c r="E110" s="111" t="s">
        <v>512</v>
      </c>
      <c r="F110" s="111" t="s">
        <v>513</v>
      </c>
      <c r="G110" s="110" t="s">
        <v>514</v>
      </c>
      <c r="H110" s="113">
        <v>30.0</v>
      </c>
      <c r="I110" s="110" t="s">
        <v>70</v>
      </c>
      <c r="J110" s="112">
        <v>8190.0</v>
      </c>
      <c r="K110" s="113" t="s">
        <v>71</v>
      </c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 t="s">
        <v>72</v>
      </c>
      <c r="W110" s="112" t="s">
        <v>73</v>
      </c>
    </row>
    <row r="111" ht="49.5" customHeight="1">
      <c r="A111" s="110" t="s">
        <v>515</v>
      </c>
      <c r="B111" s="110" t="s">
        <v>516</v>
      </c>
      <c r="C111" s="110" t="s">
        <v>517</v>
      </c>
      <c r="D111" s="110"/>
      <c r="E111" s="111" t="s">
        <v>518</v>
      </c>
      <c r="F111" s="111" t="s">
        <v>519</v>
      </c>
      <c r="G111" s="110" t="s">
        <v>480</v>
      </c>
      <c r="H111" s="113">
        <v>30.0</v>
      </c>
      <c r="I111" s="110" t="s">
        <v>70</v>
      </c>
      <c r="J111" s="112">
        <v>8790.0</v>
      </c>
      <c r="K111" s="113" t="s">
        <v>71</v>
      </c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 t="s">
        <v>72</v>
      </c>
      <c r="W111" s="112" t="s">
        <v>73</v>
      </c>
    </row>
    <row r="112" ht="49.5" customHeight="1">
      <c r="A112" s="110" t="s">
        <v>520</v>
      </c>
      <c r="B112" s="110" t="s">
        <v>521</v>
      </c>
      <c r="C112" s="110" t="s">
        <v>522</v>
      </c>
      <c r="D112" s="110"/>
      <c r="E112" s="111" t="s">
        <v>523</v>
      </c>
      <c r="F112" s="111" t="s">
        <v>524</v>
      </c>
      <c r="G112" s="110" t="s">
        <v>508</v>
      </c>
      <c r="H112" s="113">
        <v>30.0</v>
      </c>
      <c r="I112" s="110" t="s">
        <v>70</v>
      </c>
      <c r="J112" s="112">
        <v>8890.0</v>
      </c>
      <c r="K112" s="113" t="s">
        <v>71</v>
      </c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 t="s">
        <v>72</v>
      </c>
      <c r="W112" s="112" t="s">
        <v>73</v>
      </c>
    </row>
    <row r="113" ht="49.5" customHeight="1">
      <c r="A113" s="110" t="s">
        <v>525</v>
      </c>
      <c r="B113" s="110" t="s">
        <v>526</v>
      </c>
      <c r="C113" s="110" t="s">
        <v>527</v>
      </c>
      <c r="D113" s="110"/>
      <c r="E113" s="111" t="s">
        <v>528</v>
      </c>
      <c r="F113" s="111" t="s">
        <v>529</v>
      </c>
      <c r="G113" s="110" t="s">
        <v>529</v>
      </c>
      <c r="H113" s="113">
        <v>30.0</v>
      </c>
      <c r="I113" s="110" t="s">
        <v>70</v>
      </c>
      <c r="J113" s="112">
        <v>6290.0</v>
      </c>
      <c r="K113" s="113" t="s">
        <v>71</v>
      </c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 t="s">
        <v>72</v>
      </c>
      <c r="W113" s="112" t="s">
        <v>73</v>
      </c>
    </row>
    <row r="114" ht="49.5" customHeight="1">
      <c r="A114" s="110" t="s">
        <v>530</v>
      </c>
      <c r="B114" s="110" t="s">
        <v>531</v>
      </c>
      <c r="C114" s="110" t="s">
        <v>532</v>
      </c>
      <c r="D114" s="110"/>
      <c r="E114" s="111" t="s">
        <v>533</v>
      </c>
      <c r="F114" s="111" t="s">
        <v>534</v>
      </c>
      <c r="G114" s="110" t="s">
        <v>534</v>
      </c>
      <c r="H114" s="113">
        <v>30.0</v>
      </c>
      <c r="I114" s="110" t="s">
        <v>70</v>
      </c>
      <c r="J114" s="112">
        <v>6290.0</v>
      </c>
      <c r="K114" s="113" t="s">
        <v>71</v>
      </c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 t="s">
        <v>72</v>
      </c>
      <c r="W114" s="112" t="s">
        <v>73</v>
      </c>
    </row>
    <row r="115" ht="49.5" customHeight="1">
      <c r="A115" s="110" t="s">
        <v>535</v>
      </c>
      <c r="B115" s="110" t="s">
        <v>536</v>
      </c>
      <c r="C115" s="110" t="s">
        <v>537</v>
      </c>
      <c r="D115" s="110"/>
      <c r="E115" s="111" t="s">
        <v>538</v>
      </c>
      <c r="F115" s="111" t="s">
        <v>539</v>
      </c>
      <c r="G115" s="110" t="s">
        <v>539</v>
      </c>
      <c r="H115" s="113">
        <v>30.0</v>
      </c>
      <c r="I115" s="110" t="s">
        <v>70</v>
      </c>
      <c r="J115" s="112">
        <v>6290.0</v>
      </c>
      <c r="K115" s="113" t="s">
        <v>71</v>
      </c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 t="s">
        <v>72</v>
      </c>
      <c r="W115" s="112" t="s">
        <v>73</v>
      </c>
    </row>
    <row r="116" ht="49.5" customHeight="1">
      <c r="A116" s="110" t="s">
        <v>540</v>
      </c>
      <c r="B116" s="110" t="s">
        <v>541</v>
      </c>
      <c r="C116" s="110" t="s">
        <v>542</v>
      </c>
      <c r="D116" s="110"/>
      <c r="E116" s="111" t="s">
        <v>543</v>
      </c>
      <c r="F116" s="111" t="s">
        <v>544</v>
      </c>
      <c r="G116" s="110" t="s">
        <v>544</v>
      </c>
      <c r="H116" s="113">
        <v>10.0</v>
      </c>
      <c r="I116" s="110" t="s">
        <v>70</v>
      </c>
      <c r="J116" s="112">
        <v>5190.0</v>
      </c>
      <c r="K116" s="113" t="s">
        <v>71</v>
      </c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 t="s">
        <v>72</v>
      </c>
      <c r="W116" s="112" t="s">
        <v>73</v>
      </c>
    </row>
    <row r="117" ht="49.5" customHeight="1">
      <c r="A117" s="110" t="s">
        <v>545</v>
      </c>
      <c r="B117" s="110" t="s">
        <v>546</v>
      </c>
      <c r="C117" s="110" t="s">
        <v>547</v>
      </c>
      <c r="D117" s="110"/>
      <c r="E117" s="111" t="s">
        <v>548</v>
      </c>
      <c r="F117" s="111" t="s">
        <v>549</v>
      </c>
      <c r="G117" s="110" t="s">
        <v>549</v>
      </c>
      <c r="H117" s="113">
        <v>30.0</v>
      </c>
      <c r="I117" s="110" t="s">
        <v>70</v>
      </c>
      <c r="J117" s="112">
        <v>6290.0</v>
      </c>
      <c r="K117" s="113" t="s">
        <v>71</v>
      </c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 t="s">
        <v>72</v>
      </c>
      <c r="W117" s="112" t="s">
        <v>73</v>
      </c>
    </row>
    <row r="118" ht="49.5" customHeight="1">
      <c r="A118" s="110" t="s">
        <v>550</v>
      </c>
      <c r="B118" s="110" t="s">
        <v>551</v>
      </c>
      <c r="C118" s="110" t="s">
        <v>552</v>
      </c>
      <c r="D118" s="110"/>
      <c r="E118" s="111" t="s">
        <v>553</v>
      </c>
      <c r="F118" s="111" t="s">
        <v>554</v>
      </c>
      <c r="G118" s="110" t="s">
        <v>554</v>
      </c>
      <c r="H118" s="113">
        <v>30.0</v>
      </c>
      <c r="I118" s="110" t="s">
        <v>70</v>
      </c>
      <c r="J118" s="112">
        <v>6290.0</v>
      </c>
      <c r="K118" s="113" t="s">
        <v>71</v>
      </c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 t="s">
        <v>72</v>
      </c>
      <c r="W118" s="112" t="s">
        <v>73</v>
      </c>
    </row>
    <row r="119" ht="49.5" customHeight="1">
      <c r="A119" s="110" t="s">
        <v>555</v>
      </c>
      <c r="B119" s="110" t="s">
        <v>556</v>
      </c>
      <c r="C119" s="110" t="s">
        <v>557</v>
      </c>
      <c r="D119" s="110"/>
      <c r="E119" s="111" t="s">
        <v>558</v>
      </c>
      <c r="F119" s="111" t="s">
        <v>559</v>
      </c>
      <c r="G119" s="110" t="s">
        <v>559</v>
      </c>
      <c r="H119" s="113">
        <v>30.0</v>
      </c>
      <c r="I119" s="110" t="s">
        <v>70</v>
      </c>
      <c r="J119" s="112">
        <v>6290.0</v>
      </c>
      <c r="K119" s="113" t="s">
        <v>71</v>
      </c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 t="s">
        <v>72</v>
      </c>
      <c r="W119" s="112" t="s">
        <v>73</v>
      </c>
    </row>
    <row r="120" ht="49.5" customHeight="1">
      <c r="A120" s="110" t="s">
        <v>560</v>
      </c>
      <c r="B120" s="110" t="s">
        <v>561</v>
      </c>
      <c r="C120" s="110" t="s">
        <v>562</v>
      </c>
      <c r="D120" s="110"/>
      <c r="E120" s="111" t="s">
        <v>563</v>
      </c>
      <c r="F120" s="111" t="s">
        <v>564</v>
      </c>
      <c r="G120" s="110" t="s">
        <v>564</v>
      </c>
      <c r="H120" s="113">
        <v>30.0</v>
      </c>
      <c r="I120" s="110" t="s">
        <v>70</v>
      </c>
      <c r="J120" s="112">
        <v>6290.0</v>
      </c>
      <c r="K120" s="113" t="s">
        <v>71</v>
      </c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 t="s">
        <v>72</v>
      </c>
      <c r="W120" s="112" t="s">
        <v>73</v>
      </c>
    </row>
    <row r="121" ht="49.5" customHeight="1">
      <c r="A121" s="110" t="s">
        <v>565</v>
      </c>
      <c r="B121" s="110" t="s">
        <v>566</v>
      </c>
      <c r="C121" s="110" t="s">
        <v>567</v>
      </c>
      <c r="D121" s="110"/>
      <c r="E121" s="111" t="s">
        <v>568</v>
      </c>
      <c r="F121" s="111" t="s">
        <v>569</v>
      </c>
      <c r="G121" s="110" t="s">
        <v>569</v>
      </c>
      <c r="H121" s="113">
        <v>30.0</v>
      </c>
      <c r="I121" s="110" t="s">
        <v>70</v>
      </c>
      <c r="J121" s="112">
        <v>6290.0</v>
      </c>
      <c r="K121" s="113" t="s">
        <v>71</v>
      </c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 t="s">
        <v>72</v>
      </c>
      <c r="W121" s="112" t="s">
        <v>73</v>
      </c>
    </row>
    <row r="122" ht="49.5" customHeight="1">
      <c r="A122" s="110" t="s">
        <v>570</v>
      </c>
      <c r="B122" s="110" t="s">
        <v>571</v>
      </c>
      <c r="C122" s="110" t="s">
        <v>572</v>
      </c>
      <c r="D122" s="110"/>
      <c r="E122" s="111" t="s">
        <v>573</v>
      </c>
      <c r="F122" s="111" t="s">
        <v>574</v>
      </c>
      <c r="G122" s="110" t="s">
        <v>574</v>
      </c>
      <c r="H122" s="113">
        <v>30.0</v>
      </c>
      <c r="I122" s="110" t="s">
        <v>70</v>
      </c>
      <c r="J122" s="112">
        <v>6290.0</v>
      </c>
      <c r="K122" s="113" t="s">
        <v>71</v>
      </c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 t="s">
        <v>72</v>
      </c>
      <c r="W122" s="112" t="s">
        <v>73</v>
      </c>
    </row>
    <row r="123" ht="49.5" customHeight="1">
      <c r="A123" s="110" t="s">
        <v>575</v>
      </c>
      <c r="B123" s="110" t="s">
        <v>576</v>
      </c>
      <c r="C123" s="110" t="s">
        <v>577</v>
      </c>
      <c r="D123" s="110"/>
      <c r="E123" s="111" t="s">
        <v>578</v>
      </c>
      <c r="F123" s="111" t="s">
        <v>579</v>
      </c>
      <c r="G123" s="110" t="s">
        <v>579</v>
      </c>
      <c r="H123" s="113">
        <v>30.0</v>
      </c>
      <c r="I123" s="110" t="s">
        <v>70</v>
      </c>
      <c r="J123" s="112">
        <v>6290.0</v>
      </c>
      <c r="K123" s="113" t="s">
        <v>71</v>
      </c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 t="s">
        <v>72</v>
      </c>
      <c r="W123" s="112" t="s">
        <v>73</v>
      </c>
    </row>
    <row r="124" ht="49.5" customHeight="1">
      <c r="A124" s="110" t="s">
        <v>580</v>
      </c>
      <c r="B124" s="110" t="s">
        <v>581</v>
      </c>
      <c r="C124" s="110" t="s">
        <v>582</v>
      </c>
      <c r="D124" s="110"/>
      <c r="E124" s="111" t="s">
        <v>583</v>
      </c>
      <c r="F124" s="111" t="s">
        <v>584</v>
      </c>
      <c r="G124" s="110" t="s">
        <v>584</v>
      </c>
      <c r="H124" s="113">
        <v>30.0</v>
      </c>
      <c r="I124" s="110" t="s">
        <v>70</v>
      </c>
      <c r="J124" s="112">
        <v>6290.0</v>
      </c>
      <c r="K124" s="113" t="s">
        <v>71</v>
      </c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 t="s">
        <v>72</v>
      </c>
      <c r="W124" s="112" t="s">
        <v>73</v>
      </c>
    </row>
    <row r="125" ht="49.5" customHeight="1">
      <c r="A125" s="110" t="s">
        <v>585</v>
      </c>
      <c r="B125" s="110" t="s">
        <v>586</v>
      </c>
      <c r="C125" s="110" t="s">
        <v>587</v>
      </c>
      <c r="D125" s="110"/>
      <c r="E125" s="111" t="s">
        <v>588</v>
      </c>
      <c r="F125" s="111" t="s">
        <v>589</v>
      </c>
      <c r="G125" s="110" t="s">
        <v>589</v>
      </c>
      <c r="H125" s="113">
        <v>30.0</v>
      </c>
      <c r="I125" s="110" t="s">
        <v>70</v>
      </c>
      <c r="J125" s="112">
        <v>5990.0</v>
      </c>
      <c r="K125" s="113" t="s">
        <v>71</v>
      </c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 t="s">
        <v>72</v>
      </c>
      <c r="W125" s="112" t="s">
        <v>73</v>
      </c>
    </row>
    <row r="126" ht="49.5" customHeight="1">
      <c r="A126" s="110" t="s">
        <v>590</v>
      </c>
      <c r="B126" s="110" t="s">
        <v>591</v>
      </c>
      <c r="C126" s="110" t="s">
        <v>592</v>
      </c>
      <c r="D126" s="110"/>
      <c r="E126" s="111" t="s">
        <v>593</v>
      </c>
      <c r="F126" s="111" t="s">
        <v>594</v>
      </c>
      <c r="G126" s="110" t="s">
        <v>594</v>
      </c>
      <c r="H126" s="113">
        <v>30.0</v>
      </c>
      <c r="I126" s="110" t="s">
        <v>70</v>
      </c>
      <c r="J126" s="112" t="s">
        <v>63</v>
      </c>
      <c r="K126" s="113" t="s">
        <v>71</v>
      </c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 t="s">
        <v>72</v>
      </c>
      <c r="W126" s="112" t="s">
        <v>73</v>
      </c>
    </row>
    <row r="127" ht="49.5" customHeight="1">
      <c r="A127" s="110" t="s">
        <v>595</v>
      </c>
      <c r="B127" s="110" t="s">
        <v>596</v>
      </c>
      <c r="C127" s="110" t="s">
        <v>597</v>
      </c>
      <c r="D127" s="110"/>
      <c r="E127" s="111" t="s">
        <v>598</v>
      </c>
      <c r="F127" s="111" t="s">
        <v>599</v>
      </c>
      <c r="G127" s="110" t="s">
        <v>599</v>
      </c>
      <c r="H127" s="113">
        <v>30.0</v>
      </c>
      <c r="I127" s="110" t="s">
        <v>70</v>
      </c>
      <c r="J127" s="112">
        <v>5990.0</v>
      </c>
      <c r="K127" s="113" t="s">
        <v>71</v>
      </c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 t="s">
        <v>72</v>
      </c>
      <c r="W127" s="112" t="s">
        <v>73</v>
      </c>
    </row>
    <row r="128" ht="49.5" customHeight="1">
      <c r="A128" s="110" t="s">
        <v>600</v>
      </c>
      <c r="B128" s="110" t="s">
        <v>601</v>
      </c>
      <c r="C128" s="110" t="s">
        <v>602</v>
      </c>
      <c r="D128" s="110"/>
      <c r="E128" s="111" t="s">
        <v>603</v>
      </c>
      <c r="F128" s="111" t="s">
        <v>604</v>
      </c>
      <c r="G128" s="110" t="s">
        <v>604</v>
      </c>
      <c r="H128" s="113">
        <v>30.0</v>
      </c>
      <c r="I128" s="110" t="s">
        <v>70</v>
      </c>
      <c r="J128" s="112">
        <v>5990.0</v>
      </c>
      <c r="K128" s="113" t="s">
        <v>71</v>
      </c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 t="s">
        <v>72</v>
      </c>
      <c r="W128" s="112" t="s">
        <v>73</v>
      </c>
    </row>
    <row r="129" ht="49.5" customHeight="1">
      <c r="A129" s="110" t="s">
        <v>605</v>
      </c>
      <c r="B129" s="110" t="s">
        <v>606</v>
      </c>
      <c r="C129" s="110" t="s">
        <v>607</v>
      </c>
      <c r="D129" s="110"/>
      <c r="E129" s="111" t="s">
        <v>608</v>
      </c>
      <c r="F129" s="111" t="s">
        <v>609</v>
      </c>
      <c r="G129" s="110" t="s">
        <v>609</v>
      </c>
      <c r="H129" s="113">
        <v>30.0</v>
      </c>
      <c r="I129" s="110" t="s">
        <v>70</v>
      </c>
      <c r="J129" s="112">
        <v>5990.0</v>
      </c>
      <c r="K129" s="113" t="s">
        <v>71</v>
      </c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 t="s">
        <v>72</v>
      </c>
      <c r="W129" s="112" t="s">
        <v>73</v>
      </c>
    </row>
    <row r="130" ht="49.5" customHeight="1">
      <c r="A130" s="110" t="s">
        <v>610</v>
      </c>
      <c r="B130" s="110" t="s">
        <v>611</v>
      </c>
      <c r="C130" s="110" t="s">
        <v>612</v>
      </c>
      <c r="D130" s="110"/>
      <c r="E130" s="111" t="s">
        <v>613</v>
      </c>
      <c r="F130" s="111" t="s">
        <v>614</v>
      </c>
      <c r="G130" s="110" t="s">
        <v>614</v>
      </c>
      <c r="H130" s="113">
        <v>30.0</v>
      </c>
      <c r="I130" s="110" t="s">
        <v>70</v>
      </c>
      <c r="J130" s="112">
        <v>5990.0</v>
      </c>
      <c r="K130" s="113" t="s">
        <v>71</v>
      </c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 t="s">
        <v>72</v>
      </c>
      <c r="W130" s="112" t="s">
        <v>73</v>
      </c>
    </row>
    <row r="131" ht="49.5" customHeight="1">
      <c r="A131" s="110" t="s">
        <v>615</v>
      </c>
      <c r="B131" s="110" t="s">
        <v>616</v>
      </c>
      <c r="C131" s="110" t="s">
        <v>617</v>
      </c>
      <c r="D131" s="110"/>
      <c r="E131" s="111" t="s">
        <v>618</v>
      </c>
      <c r="F131" s="111" t="s">
        <v>619</v>
      </c>
      <c r="G131" s="110" t="s">
        <v>619</v>
      </c>
      <c r="H131" s="113">
        <v>30.0</v>
      </c>
      <c r="I131" s="110" t="s">
        <v>70</v>
      </c>
      <c r="J131" s="112">
        <v>5990.0</v>
      </c>
      <c r="K131" s="113" t="s">
        <v>71</v>
      </c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 t="s">
        <v>72</v>
      </c>
      <c r="W131" s="112" t="s">
        <v>73</v>
      </c>
    </row>
    <row r="132" ht="49.5" customHeight="1">
      <c r="A132" s="110" t="s">
        <v>620</v>
      </c>
      <c r="B132" s="110" t="s">
        <v>621</v>
      </c>
      <c r="C132" s="110" t="s">
        <v>622</v>
      </c>
      <c r="D132" s="110"/>
      <c r="E132" s="111" t="s">
        <v>623</v>
      </c>
      <c r="F132" s="111" t="s">
        <v>624</v>
      </c>
      <c r="G132" s="110" t="s">
        <v>624</v>
      </c>
      <c r="H132" s="113">
        <v>30.0</v>
      </c>
      <c r="I132" s="110" t="s">
        <v>70</v>
      </c>
      <c r="J132" s="112">
        <v>5990.0</v>
      </c>
      <c r="K132" s="113" t="s">
        <v>71</v>
      </c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 t="s">
        <v>72</v>
      </c>
      <c r="W132" s="112" t="s">
        <v>73</v>
      </c>
    </row>
    <row r="133" ht="49.5" customHeight="1">
      <c r="A133" s="110" t="s">
        <v>625</v>
      </c>
      <c r="B133" s="110" t="s">
        <v>626</v>
      </c>
      <c r="C133" s="110" t="s">
        <v>627</v>
      </c>
      <c r="D133" s="110"/>
      <c r="E133" s="111" t="s">
        <v>628</v>
      </c>
      <c r="F133" s="111" t="s">
        <v>629</v>
      </c>
      <c r="G133" s="110" t="s">
        <v>629</v>
      </c>
      <c r="H133" s="113">
        <v>30.0</v>
      </c>
      <c r="I133" s="110" t="s">
        <v>70</v>
      </c>
      <c r="J133" s="112">
        <v>271990.0</v>
      </c>
      <c r="K133" s="113" t="s">
        <v>71</v>
      </c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 t="s">
        <v>72</v>
      </c>
      <c r="W133" s="112" t="s">
        <v>73</v>
      </c>
    </row>
    <row r="134" ht="49.5" customHeight="1">
      <c r="A134" s="110" t="s">
        <v>630</v>
      </c>
      <c r="B134" s="110" t="s">
        <v>631</v>
      </c>
      <c r="C134" s="110" t="s">
        <v>632</v>
      </c>
      <c r="D134" s="110"/>
      <c r="E134" s="111" t="s">
        <v>633</v>
      </c>
      <c r="F134" s="111" t="s">
        <v>634</v>
      </c>
      <c r="G134" s="110" t="s">
        <v>634</v>
      </c>
      <c r="H134" s="113">
        <v>30.0</v>
      </c>
      <c r="I134" s="110" t="s">
        <v>70</v>
      </c>
      <c r="J134" s="112">
        <v>147090.0</v>
      </c>
      <c r="K134" s="113" t="s">
        <v>71</v>
      </c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 t="s">
        <v>72</v>
      </c>
      <c r="W134" s="112" t="s">
        <v>73</v>
      </c>
    </row>
    <row r="135" ht="49.5" customHeight="1">
      <c r="A135" s="110" t="s">
        <v>635</v>
      </c>
      <c r="B135" s="110" t="s">
        <v>636</v>
      </c>
      <c r="C135" s="110" t="s">
        <v>637</v>
      </c>
      <c r="D135" s="110"/>
      <c r="E135" s="111" t="s">
        <v>638</v>
      </c>
      <c r="F135" s="111" t="s">
        <v>639</v>
      </c>
      <c r="G135" s="110" t="s">
        <v>639</v>
      </c>
      <c r="H135" s="113">
        <v>10.0</v>
      </c>
      <c r="I135" s="110" t="s">
        <v>70</v>
      </c>
      <c r="J135" s="112">
        <v>2172390.0</v>
      </c>
      <c r="K135" s="113" t="s">
        <v>71</v>
      </c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 t="s">
        <v>72</v>
      </c>
      <c r="W135" s="112" t="s">
        <v>73</v>
      </c>
    </row>
    <row r="136" ht="49.5" customHeight="1">
      <c r="A136" s="110" t="s">
        <v>640</v>
      </c>
      <c r="B136" s="110" t="s">
        <v>641</v>
      </c>
      <c r="C136" s="110" t="s">
        <v>642</v>
      </c>
      <c r="D136" s="110"/>
      <c r="E136" s="111" t="s">
        <v>643</v>
      </c>
      <c r="F136" s="111" t="s">
        <v>644</v>
      </c>
      <c r="G136" s="110" t="s">
        <v>644</v>
      </c>
      <c r="H136" s="113">
        <v>30.0</v>
      </c>
      <c r="I136" s="110" t="s">
        <v>70</v>
      </c>
      <c r="J136" s="112">
        <v>60790.0</v>
      </c>
      <c r="K136" s="113" t="s">
        <v>71</v>
      </c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 t="s">
        <v>72</v>
      </c>
      <c r="W136" s="112" t="s">
        <v>73</v>
      </c>
    </row>
    <row r="137" ht="49.5" customHeight="1">
      <c r="A137" s="110" t="s">
        <v>645</v>
      </c>
      <c r="B137" s="110" t="s">
        <v>646</v>
      </c>
      <c r="C137" s="110" t="s">
        <v>647</v>
      </c>
      <c r="D137" s="110"/>
      <c r="E137" s="111" t="s">
        <v>648</v>
      </c>
      <c r="F137" s="111" t="s">
        <v>649</v>
      </c>
      <c r="G137" s="110" t="s">
        <v>649</v>
      </c>
      <c r="H137" s="113">
        <v>30.0</v>
      </c>
      <c r="I137" s="110" t="s">
        <v>70</v>
      </c>
      <c r="J137" s="112">
        <v>100290.0</v>
      </c>
      <c r="K137" s="113" t="s">
        <v>71</v>
      </c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 t="s">
        <v>72</v>
      </c>
      <c r="W137" s="112" t="s">
        <v>73</v>
      </c>
    </row>
    <row r="138" ht="49.5" customHeight="1">
      <c r="A138" s="110" t="s">
        <v>63</v>
      </c>
      <c r="B138" s="110" t="s">
        <v>650</v>
      </c>
      <c r="C138" s="110"/>
      <c r="D138" s="110"/>
      <c r="E138" s="112" t="s">
        <v>650</v>
      </c>
      <c r="F138" s="111" t="s">
        <v>651</v>
      </c>
      <c r="G138" s="110" t="s">
        <v>70</v>
      </c>
      <c r="H138" s="110" t="s">
        <v>321</v>
      </c>
      <c r="I138" s="110" t="s">
        <v>70</v>
      </c>
      <c r="J138" s="112">
        <v>9690.0</v>
      </c>
      <c r="K138" s="113" t="s">
        <v>71</v>
      </c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 t="s">
        <v>72</v>
      </c>
      <c r="W138" s="112" t="s">
        <v>73</v>
      </c>
    </row>
    <row r="139" ht="49.5" customHeight="1">
      <c r="A139" s="110" t="s">
        <v>63</v>
      </c>
      <c r="B139" s="110" t="s">
        <v>650</v>
      </c>
      <c r="C139" s="110" t="s">
        <v>652</v>
      </c>
      <c r="D139" s="110" t="s">
        <v>652</v>
      </c>
      <c r="E139" s="111" t="s">
        <v>653</v>
      </c>
      <c r="F139" s="114" t="str">
        <f>"     "&amp;F138</f>
        <v>     Short Futbol Liso Negro</v>
      </c>
      <c r="G139" s="110" t="s">
        <v>654</v>
      </c>
      <c r="H139" s="113">
        <v>10.0</v>
      </c>
      <c r="I139" s="110" t="s">
        <v>70</v>
      </c>
      <c r="J139" s="112">
        <f>J138</f>
        <v>9690</v>
      </c>
      <c r="K139" s="110" t="str">
        <f>K138&amp;"     "</f>
        <v>$     </v>
      </c>
      <c r="L139" s="110" t="str">
        <f t="shared" ref="L139:U139" si="75">L138</f>
        <v/>
      </c>
      <c r="M139" s="110" t="str">
        <f t="shared" si="75"/>
        <v/>
      </c>
      <c r="N139" s="110" t="str">
        <f t="shared" si="75"/>
        <v/>
      </c>
      <c r="O139" s="110" t="str">
        <f t="shared" si="75"/>
        <v/>
      </c>
      <c r="P139" s="110" t="str">
        <f t="shared" si="75"/>
        <v/>
      </c>
      <c r="Q139" s="110" t="str">
        <f t="shared" si="75"/>
        <v/>
      </c>
      <c r="R139" s="110" t="str">
        <f t="shared" si="75"/>
        <v/>
      </c>
      <c r="S139" s="110" t="str">
        <f t="shared" si="75"/>
        <v/>
      </c>
      <c r="T139" s="110" t="str">
        <f t="shared" si="75"/>
        <v/>
      </c>
      <c r="U139" s="110" t="str">
        <f t="shared" si="75"/>
        <v/>
      </c>
      <c r="V139" s="110" t="str">
        <f t="shared" ref="V139:W139" si="76">V138&amp;"     "</f>
        <v>Nuevo     </v>
      </c>
      <c r="W139" s="112" t="str">
        <f t="shared" si="76"/>
        <v>Activa     </v>
      </c>
    </row>
    <row r="140" ht="49.5" customHeight="1">
      <c r="A140" s="110" t="s">
        <v>63</v>
      </c>
      <c r="B140" s="110" t="s">
        <v>650</v>
      </c>
      <c r="C140" s="110" t="s">
        <v>655</v>
      </c>
      <c r="D140" s="110" t="s">
        <v>655</v>
      </c>
      <c r="E140" s="111" t="s">
        <v>656</v>
      </c>
      <c r="F140" s="114" t="str">
        <f>"     "&amp;F138</f>
        <v>     Short Futbol Liso Negro</v>
      </c>
      <c r="G140" s="110" t="s">
        <v>657</v>
      </c>
      <c r="H140" s="113">
        <v>10.0</v>
      </c>
      <c r="I140" s="110" t="s">
        <v>70</v>
      </c>
      <c r="J140" s="112">
        <f>J138</f>
        <v>9690</v>
      </c>
      <c r="K140" s="110" t="str">
        <f>K138&amp;"     "</f>
        <v>$     </v>
      </c>
      <c r="L140" s="110" t="str">
        <f t="shared" ref="L140:U140" si="77">L138</f>
        <v/>
      </c>
      <c r="M140" s="110" t="str">
        <f t="shared" si="77"/>
        <v/>
      </c>
      <c r="N140" s="110" t="str">
        <f t="shared" si="77"/>
        <v/>
      </c>
      <c r="O140" s="110" t="str">
        <f t="shared" si="77"/>
        <v/>
      </c>
      <c r="P140" s="110" t="str">
        <f t="shared" si="77"/>
        <v/>
      </c>
      <c r="Q140" s="110" t="str">
        <f t="shared" si="77"/>
        <v/>
      </c>
      <c r="R140" s="110" t="str">
        <f t="shared" si="77"/>
        <v/>
      </c>
      <c r="S140" s="110" t="str">
        <f t="shared" si="77"/>
        <v/>
      </c>
      <c r="T140" s="110" t="str">
        <f t="shared" si="77"/>
        <v/>
      </c>
      <c r="U140" s="110" t="str">
        <f t="shared" si="77"/>
        <v/>
      </c>
      <c r="V140" s="110" t="str">
        <f t="shared" ref="V140:W140" si="78">V138&amp;"     "</f>
        <v>Nuevo     </v>
      </c>
      <c r="W140" s="112" t="str">
        <f t="shared" si="78"/>
        <v>Activa     </v>
      </c>
    </row>
    <row r="141" ht="49.5" customHeight="1">
      <c r="A141" s="110" t="s">
        <v>63</v>
      </c>
      <c r="B141" s="110" t="s">
        <v>650</v>
      </c>
      <c r="C141" s="110" t="s">
        <v>658</v>
      </c>
      <c r="D141" s="110" t="s">
        <v>658</v>
      </c>
      <c r="E141" s="111" t="s">
        <v>659</v>
      </c>
      <c r="F141" s="114" t="str">
        <f>"     "&amp;F138</f>
        <v>     Short Futbol Liso Negro</v>
      </c>
      <c r="G141" s="110" t="s">
        <v>660</v>
      </c>
      <c r="H141" s="113">
        <v>0.0</v>
      </c>
      <c r="I141" s="110" t="s">
        <v>70</v>
      </c>
      <c r="J141" s="112">
        <f>J138</f>
        <v>9690</v>
      </c>
      <c r="K141" s="110" t="str">
        <f>K138&amp;"     "</f>
        <v>$     </v>
      </c>
      <c r="L141" s="110" t="str">
        <f t="shared" ref="L141:U141" si="79">L138</f>
        <v/>
      </c>
      <c r="M141" s="110" t="str">
        <f t="shared" si="79"/>
        <v/>
      </c>
      <c r="N141" s="110" t="str">
        <f t="shared" si="79"/>
        <v/>
      </c>
      <c r="O141" s="110" t="str">
        <f t="shared" si="79"/>
        <v/>
      </c>
      <c r="P141" s="110" t="str">
        <f t="shared" si="79"/>
        <v/>
      </c>
      <c r="Q141" s="110" t="str">
        <f t="shared" si="79"/>
        <v/>
      </c>
      <c r="R141" s="110" t="str">
        <f t="shared" si="79"/>
        <v/>
      </c>
      <c r="S141" s="110" t="str">
        <f t="shared" si="79"/>
        <v/>
      </c>
      <c r="T141" s="110" t="str">
        <f t="shared" si="79"/>
        <v/>
      </c>
      <c r="U141" s="110" t="str">
        <f t="shared" si="79"/>
        <v/>
      </c>
      <c r="V141" s="110" t="str">
        <f t="shared" ref="V141:W141" si="80">V138&amp;"     "</f>
        <v>Nuevo     </v>
      </c>
      <c r="W141" s="112" t="str">
        <f t="shared" si="80"/>
        <v>Activa     </v>
      </c>
    </row>
    <row r="142" ht="49.5" customHeight="1">
      <c r="A142" s="110" t="s">
        <v>63</v>
      </c>
      <c r="B142" s="110" t="s">
        <v>650</v>
      </c>
      <c r="C142" s="110" t="s">
        <v>661</v>
      </c>
      <c r="D142" s="110" t="s">
        <v>661</v>
      </c>
      <c r="E142" s="111" t="s">
        <v>662</v>
      </c>
      <c r="F142" s="114" t="str">
        <f>"     "&amp;F138</f>
        <v>     Short Futbol Liso Negro</v>
      </c>
      <c r="G142" s="110" t="s">
        <v>663</v>
      </c>
      <c r="H142" s="113">
        <v>10.0</v>
      </c>
      <c r="I142" s="110" t="s">
        <v>70</v>
      </c>
      <c r="J142" s="112">
        <f>J138</f>
        <v>9690</v>
      </c>
      <c r="K142" s="110" t="str">
        <f>K138&amp;"     "</f>
        <v>$     </v>
      </c>
      <c r="L142" s="110" t="str">
        <f t="shared" ref="L142:U142" si="81">L138</f>
        <v/>
      </c>
      <c r="M142" s="110" t="str">
        <f t="shared" si="81"/>
        <v/>
      </c>
      <c r="N142" s="110" t="str">
        <f t="shared" si="81"/>
        <v/>
      </c>
      <c r="O142" s="110" t="str">
        <f t="shared" si="81"/>
        <v/>
      </c>
      <c r="P142" s="110" t="str">
        <f t="shared" si="81"/>
        <v/>
      </c>
      <c r="Q142" s="110" t="str">
        <f t="shared" si="81"/>
        <v/>
      </c>
      <c r="R142" s="110" t="str">
        <f t="shared" si="81"/>
        <v/>
      </c>
      <c r="S142" s="110" t="str">
        <f t="shared" si="81"/>
        <v/>
      </c>
      <c r="T142" s="110" t="str">
        <f t="shared" si="81"/>
        <v/>
      </c>
      <c r="U142" s="110" t="str">
        <f t="shared" si="81"/>
        <v/>
      </c>
      <c r="V142" s="110" t="str">
        <f t="shared" ref="V142:W142" si="82">V138&amp;"     "</f>
        <v>Nuevo     </v>
      </c>
      <c r="W142" s="112" t="str">
        <f t="shared" si="82"/>
        <v>Activa     </v>
      </c>
    </row>
    <row r="143" ht="49.5" customHeight="1">
      <c r="A143" s="110" t="s">
        <v>63</v>
      </c>
      <c r="B143" s="110" t="s">
        <v>664</v>
      </c>
      <c r="C143" s="110"/>
      <c r="D143" s="110"/>
      <c r="E143" s="112" t="s">
        <v>664</v>
      </c>
      <c r="F143" s="111" t="s">
        <v>665</v>
      </c>
      <c r="G143" s="110" t="s">
        <v>70</v>
      </c>
      <c r="H143" s="110" t="s">
        <v>666</v>
      </c>
      <c r="I143" s="110" t="s">
        <v>70</v>
      </c>
      <c r="J143" s="112">
        <v>7690.0</v>
      </c>
      <c r="K143" s="113" t="s">
        <v>71</v>
      </c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 t="s">
        <v>72</v>
      </c>
      <c r="W143" s="112" t="s">
        <v>73</v>
      </c>
    </row>
    <row r="144" ht="49.5" customHeight="1">
      <c r="A144" s="110" t="s">
        <v>63</v>
      </c>
      <c r="B144" s="110" t="s">
        <v>664</v>
      </c>
      <c r="C144" s="110" t="s">
        <v>667</v>
      </c>
      <c r="D144" s="110" t="s">
        <v>667</v>
      </c>
      <c r="E144" s="111" t="s">
        <v>668</v>
      </c>
      <c r="F144" s="114" t="str">
        <f>"     "&amp;F143</f>
        <v>     Short Futbol Drb 2.40.32 Liso Verde</v>
      </c>
      <c r="G144" s="110" t="s">
        <v>669</v>
      </c>
      <c r="H144" s="113">
        <v>10.0</v>
      </c>
      <c r="I144" s="110" t="s">
        <v>70</v>
      </c>
      <c r="J144" s="112">
        <f>J143</f>
        <v>7690</v>
      </c>
      <c r="K144" s="110" t="str">
        <f>K143&amp;"     "</f>
        <v>$     </v>
      </c>
      <c r="L144" s="110" t="str">
        <f t="shared" ref="L144:U144" si="83">L143</f>
        <v/>
      </c>
      <c r="M144" s="110" t="str">
        <f t="shared" si="83"/>
        <v/>
      </c>
      <c r="N144" s="110" t="str">
        <f t="shared" si="83"/>
        <v/>
      </c>
      <c r="O144" s="110" t="str">
        <f t="shared" si="83"/>
        <v/>
      </c>
      <c r="P144" s="110" t="str">
        <f t="shared" si="83"/>
        <v/>
      </c>
      <c r="Q144" s="110" t="str">
        <f t="shared" si="83"/>
        <v/>
      </c>
      <c r="R144" s="110" t="str">
        <f t="shared" si="83"/>
        <v/>
      </c>
      <c r="S144" s="110" t="str">
        <f t="shared" si="83"/>
        <v/>
      </c>
      <c r="T144" s="110" t="str">
        <f t="shared" si="83"/>
        <v/>
      </c>
      <c r="U144" s="110" t="str">
        <f t="shared" si="83"/>
        <v/>
      </c>
      <c r="V144" s="110" t="str">
        <f t="shared" ref="V144:W144" si="84">V143&amp;"     "</f>
        <v>Nuevo     </v>
      </c>
      <c r="W144" s="112" t="str">
        <f t="shared" si="84"/>
        <v>Activa     </v>
      </c>
    </row>
    <row r="145" ht="49.5" customHeight="1">
      <c r="A145" s="110" t="s">
        <v>63</v>
      </c>
      <c r="B145" s="110" t="s">
        <v>664</v>
      </c>
      <c r="C145" s="110" t="s">
        <v>670</v>
      </c>
      <c r="D145" s="110" t="s">
        <v>670</v>
      </c>
      <c r="E145" s="111" t="s">
        <v>671</v>
      </c>
      <c r="F145" s="114" t="str">
        <f>"     "&amp;F143</f>
        <v>     Short Futbol Drb 2.40.32 Liso Verde</v>
      </c>
      <c r="G145" s="110" t="s">
        <v>672</v>
      </c>
      <c r="H145" s="113">
        <v>10.0</v>
      </c>
      <c r="I145" s="110" t="s">
        <v>70</v>
      </c>
      <c r="J145" s="112">
        <f>J143</f>
        <v>7690</v>
      </c>
      <c r="K145" s="110" t="str">
        <f>K143&amp;"     "</f>
        <v>$     </v>
      </c>
      <c r="L145" s="110" t="str">
        <f t="shared" ref="L145:U145" si="85">L143</f>
        <v/>
      </c>
      <c r="M145" s="110" t="str">
        <f t="shared" si="85"/>
        <v/>
      </c>
      <c r="N145" s="110" t="str">
        <f t="shared" si="85"/>
        <v/>
      </c>
      <c r="O145" s="110" t="str">
        <f t="shared" si="85"/>
        <v/>
      </c>
      <c r="P145" s="110" t="str">
        <f t="shared" si="85"/>
        <v/>
      </c>
      <c r="Q145" s="110" t="str">
        <f t="shared" si="85"/>
        <v/>
      </c>
      <c r="R145" s="110" t="str">
        <f t="shared" si="85"/>
        <v/>
      </c>
      <c r="S145" s="110" t="str">
        <f t="shared" si="85"/>
        <v/>
      </c>
      <c r="T145" s="110" t="str">
        <f t="shared" si="85"/>
        <v/>
      </c>
      <c r="U145" s="110" t="str">
        <f t="shared" si="85"/>
        <v/>
      </c>
      <c r="V145" s="110" t="str">
        <f t="shared" ref="V145:W145" si="86">V143&amp;"     "</f>
        <v>Nuevo     </v>
      </c>
      <c r="W145" s="112" t="str">
        <f t="shared" si="86"/>
        <v>Activa     </v>
      </c>
    </row>
    <row r="146" ht="49.5" customHeight="1">
      <c r="A146" s="110" t="s">
        <v>63</v>
      </c>
      <c r="B146" s="110" t="s">
        <v>664</v>
      </c>
      <c r="C146" s="110" t="s">
        <v>673</v>
      </c>
      <c r="D146" s="110" t="s">
        <v>673</v>
      </c>
      <c r="E146" s="111" t="s">
        <v>674</v>
      </c>
      <c r="F146" s="114" t="str">
        <f>"     "&amp;F143</f>
        <v>     Short Futbol Drb 2.40.32 Liso Verde</v>
      </c>
      <c r="G146" s="110" t="s">
        <v>675</v>
      </c>
      <c r="H146" s="113">
        <v>10.0</v>
      </c>
      <c r="I146" s="110" t="s">
        <v>70</v>
      </c>
      <c r="J146" s="112">
        <f>J143</f>
        <v>7690</v>
      </c>
      <c r="K146" s="110" t="str">
        <f>K143&amp;"     "</f>
        <v>$     </v>
      </c>
      <c r="L146" s="110" t="str">
        <f t="shared" ref="L146:U146" si="87">L143</f>
        <v/>
      </c>
      <c r="M146" s="110" t="str">
        <f t="shared" si="87"/>
        <v/>
      </c>
      <c r="N146" s="110" t="str">
        <f t="shared" si="87"/>
        <v/>
      </c>
      <c r="O146" s="110" t="str">
        <f t="shared" si="87"/>
        <v/>
      </c>
      <c r="P146" s="110" t="str">
        <f t="shared" si="87"/>
        <v/>
      </c>
      <c r="Q146" s="110" t="str">
        <f t="shared" si="87"/>
        <v/>
      </c>
      <c r="R146" s="110" t="str">
        <f t="shared" si="87"/>
        <v/>
      </c>
      <c r="S146" s="110" t="str">
        <f t="shared" si="87"/>
        <v/>
      </c>
      <c r="T146" s="110" t="str">
        <f t="shared" si="87"/>
        <v/>
      </c>
      <c r="U146" s="110" t="str">
        <f t="shared" si="87"/>
        <v/>
      </c>
      <c r="V146" s="110" t="str">
        <f t="shared" ref="V146:W146" si="88">V143&amp;"     "</f>
        <v>Nuevo     </v>
      </c>
      <c r="W146" s="112" t="str">
        <f t="shared" si="88"/>
        <v>Activa     </v>
      </c>
    </row>
    <row r="147" ht="49.5" customHeight="1">
      <c r="A147" s="110" t="s">
        <v>63</v>
      </c>
      <c r="B147" s="110" t="s">
        <v>664</v>
      </c>
      <c r="C147" s="110" t="s">
        <v>676</v>
      </c>
      <c r="D147" s="110" t="s">
        <v>676</v>
      </c>
      <c r="E147" s="111" t="s">
        <v>677</v>
      </c>
      <c r="F147" s="114" t="str">
        <f>"     "&amp;F143</f>
        <v>     Short Futbol Drb 2.40.32 Liso Verde</v>
      </c>
      <c r="G147" s="110" t="s">
        <v>678</v>
      </c>
      <c r="H147" s="113">
        <v>10.0</v>
      </c>
      <c r="I147" s="110" t="s">
        <v>70</v>
      </c>
      <c r="J147" s="112">
        <f>J143</f>
        <v>7690</v>
      </c>
      <c r="K147" s="110" t="str">
        <f>K143&amp;"     "</f>
        <v>$     </v>
      </c>
      <c r="L147" s="110" t="str">
        <f t="shared" ref="L147:U147" si="89">L143</f>
        <v/>
      </c>
      <c r="M147" s="110" t="str">
        <f t="shared" si="89"/>
        <v/>
      </c>
      <c r="N147" s="110" t="str">
        <f t="shared" si="89"/>
        <v/>
      </c>
      <c r="O147" s="110" t="str">
        <f t="shared" si="89"/>
        <v/>
      </c>
      <c r="P147" s="110" t="str">
        <f t="shared" si="89"/>
        <v/>
      </c>
      <c r="Q147" s="110" t="str">
        <f t="shared" si="89"/>
        <v/>
      </c>
      <c r="R147" s="110" t="str">
        <f t="shared" si="89"/>
        <v/>
      </c>
      <c r="S147" s="110" t="str">
        <f t="shared" si="89"/>
        <v/>
      </c>
      <c r="T147" s="110" t="str">
        <f t="shared" si="89"/>
        <v/>
      </c>
      <c r="U147" s="110" t="str">
        <f t="shared" si="89"/>
        <v/>
      </c>
      <c r="V147" s="110" t="str">
        <f t="shared" ref="V147:W147" si="90">V143&amp;"     "</f>
        <v>Nuevo     </v>
      </c>
      <c r="W147" s="112" t="str">
        <f t="shared" si="90"/>
        <v>Activa     </v>
      </c>
    </row>
    <row r="148" ht="49.5" customHeight="1">
      <c r="A148" s="110" t="s">
        <v>63</v>
      </c>
      <c r="B148" s="110" t="s">
        <v>679</v>
      </c>
      <c r="C148" s="110"/>
      <c r="D148" s="110"/>
      <c r="E148" s="112" t="s">
        <v>679</v>
      </c>
      <c r="F148" s="111" t="s">
        <v>680</v>
      </c>
      <c r="G148" s="110" t="s">
        <v>70</v>
      </c>
      <c r="H148" s="110" t="s">
        <v>681</v>
      </c>
      <c r="I148" s="110" t="s">
        <v>70</v>
      </c>
      <c r="J148" s="112">
        <v>7690.0</v>
      </c>
      <c r="K148" s="113" t="s">
        <v>71</v>
      </c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 t="s">
        <v>72</v>
      </c>
      <c r="W148" s="112" t="s">
        <v>73</v>
      </c>
    </row>
    <row r="149" ht="49.5" customHeight="1">
      <c r="A149" s="110" t="s">
        <v>63</v>
      </c>
      <c r="B149" s="110" t="s">
        <v>679</v>
      </c>
      <c r="C149" s="110" t="s">
        <v>682</v>
      </c>
      <c r="D149" s="110" t="s">
        <v>682</v>
      </c>
      <c r="E149" s="111" t="s">
        <v>683</v>
      </c>
      <c r="F149" s="114" t="str">
        <f>"     "&amp;F148</f>
        <v>     Short Futbol Niño Drb 2.40.36 - Rojo</v>
      </c>
      <c r="G149" s="110" t="s">
        <v>684</v>
      </c>
      <c r="H149" s="113">
        <v>10.0</v>
      </c>
      <c r="I149" s="110" t="s">
        <v>70</v>
      </c>
      <c r="J149" s="112">
        <f>J148</f>
        <v>7690</v>
      </c>
      <c r="K149" s="110" t="str">
        <f>K148&amp;"     "</f>
        <v>$     </v>
      </c>
      <c r="L149" s="110" t="str">
        <f t="shared" ref="L149:U149" si="91">L148</f>
        <v/>
      </c>
      <c r="M149" s="110" t="str">
        <f t="shared" si="91"/>
        <v/>
      </c>
      <c r="N149" s="110" t="str">
        <f t="shared" si="91"/>
        <v/>
      </c>
      <c r="O149" s="110" t="str">
        <f t="shared" si="91"/>
        <v/>
      </c>
      <c r="P149" s="110" t="str">
        <f t="shared" si="91"/>
        <v/>
      </c>
      <c r="Q149" s="110" t="str">
        <f t="shared" si="91"/>
        <v/>
      </c>
      <c r="R149" s="110" t="str">
        <f t="shared" si="91"/>
        <v/>
      </c>
      <c r="S149" s="110" t="str">
        <f t="shared" si="91"/>
        <v/>
      </c>
      <c r="T149" s="110" t="str">
        <f t="shared" si="91"/>
        <v/>
      </c>
      <c r="U149" s="110" t="str">
        <f t="shared" si="91"/>
        <v/>
      </c>
      <c r="V149" s="110" t="str">
        <f t="shared" ref="V149:W149" si="92">V148&amp;"     "</f>
        <v>Nuevo     </v>
      </c>
      <c r="W149" s="112" t="str">
        <f t="shared" si="92"/>
        <v>Activa     </v>
      </c>
    </row>
    <row r="150" ht="49.5" customHeight="1">
      <c r="A150" s="110" t="s">
        <v>63</v>
      </c>
      <c r="B150" s="110" t="s">
        <v>679</v>
      </c>
      <c r="C150" s="110" t="s">
        <v>685</v>
      </c>
      <c r="D150" s="110" t="s">
        <v>685</v>
      </c>
      <c r="E150" s="111" t="s">
        <v>686</v>
      </c>
      <c r="F150" s="114" t="str">
        <f>"     "&amp;F148</f>
        <v>     Short Futbol Niño Drb 2.40.36 - Rojo</v>
      </c>
      <c r="G150" s="110" t="s">
        <v>687</v>
      </c>
      <c r="H150" s="113">
        <v>10.0</v>
      </c>
      <c r="I150" s="110" t="s">
        <v>70</v>
      </c>
      <c r="J150" s="112">
        <f>J148</f>
        <v>7690</v>
      </c>
      <c r="K150" s="110" t="str">
        <f>K148&amp;"     "</f>
        <v>$     </v>
      </c>
      <c r="L150" s="110" t="str">
        <f t="shared" ref="L150:U150" si="93">L148</f>
        <v/>
      </c>
      <c r="M150" s="110" t="str">
        <f t="shared" si="93"/>
        <v/>
      </c>
      <c r="N150" s="110" t="str">
        <f t="shared" si="93"/>
        <v/>
      </c>
      <c r="O150" s="110" t="str">
        <f t="shared" si="93"/>
        <v/>
      </c>
      <c r="P150" s="110" t="str">
        <f t="shared" si="93"/>
        <v/>
      </c>
      <c r="Q150" s="110" t="str">
        <f t="shared" si="93"/>
        <v/>
      </c>
      <c r="R150" s="110" t="str">
        <f t="shared" si="93"/>
        <v/>
      </c>
      <c r="S150" s="110" t="str">
        <f t="shared" si="93"/>
        <v/>
      </c>
      <c r="T150" s="110" t="str">
        <f t="shared" si="93"/>
        <v/>
      </c>
      <c r="U150" s="110" t="str">
        <f t="shared" si="93"/>
        <v/>
      </c>
      <c r="V150" s="110" t="str">
        <f t="shared" ref="V150:W150" si="94">V148&amp;"     "</f>
        <v>Nuevo     </v>
      </c>
      <c r="W150" s="112" t="str">
        <f t="shared" si="94"/>
        <v>Activa     </v>
      </c>
    </row>
    <row r="151" ht="49.5" customHeight="1">
      <c r="A151" s="110" t="s">
        <v>688</v>
      </c>
      <c r="B151" s="110" t="s">
        <v>689</v>
      </c>
      <c r="C151" s="110" t="s">
        <v>690</v>
      </c>
      <c r="D151" s="110"/>
      <c r="E151" s="111" t="s">
        <v>691</v>
      </c>
      <c r="F151" s="111" t="s">
        <v>692</v>
      </c>
      <c r="G151" s="110" t="s">
        <v>165</v>
      </c>
      <c r="H151" s="113">
        <v>30.0</v>
      </c>
      <c r="I151" s="110" t="s">
        <v>70</v>
      </c>
      <c r="J151" s="112">
        <v>5490.0</v>
      </c>
      <c r="K151" s="113" t="s">
        <v>71</v>
      </c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 t="s">
        <v>72</v>
      </c>
      <c r="W151" s="112" t="s">
        <v>73</v>
      </c>
    </row>
    <row r="152" ht="49.5" customHeight="1">
      <c r="A152" s="110" t="s">
        <v>693</v>
      </c>
      <c r="B152" s="110" t="s">
        <v>694</v>
      </c>
      <c r="C152" s="110" t="s">
        <v>695</v>
      </c>
      <c r="D152" s="110"/>
      <c r="E152" s="111" t="s">
        <v>696</v>
      </c>
      <c r="F152" s="111" t="s">
        <v>697</v>
      </c>
      <c r="G152" s="110" t="s">
        <v>698</v>
      </c>
      <c r="H152" s="113">
        <v>30.0</v>
      </c>
      <c r="I152" s="110" t="s">
        <v>70</v>
      </c>
      <c r="J152" s="112">
        <v>5390.0</v>
      </c>
      <c r="K152" s="113" t="s">
        <v>71</v>
      </c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 t="s">
        <v>72</v>
      </c>
      <c r="W152" s="112" t="s">
        <v>73</v>
      </c>
    </row>
    <row r="153" ht="49.5" customHeight="1">
      <c r="A153" s="110" t="s">
        <v>699</v>
      </c>
      <c r="B153" s="110" t="s">
        <v>700</v>
      </c>
      <c r="C153" s="110" t="s">
        <v>701</v>
      </c>
      <c r="D153" s="110"/>
      <c r="E153" s="111" t="s">
        <v>702</v>
      </c>
      <c r="F153" s="111" t="s">
        <v>703</v>
      </c>
      <c r="G153" s="110" t="s">
        <v>704</v>
      </c>
      <c r="H153" s="113">
        <v>30.0</v>
      </c>
      <c r="I153" s="110" t="s">
        <v>70</v>
      </c>
      <c r="J153" s="112">
        <v>5790.0</v>
      </c>
      <c r="K153" s="113" t="s">
        <v>71</v>
      </c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 t="s">
        <v>72</v>
      </c>
      <c r="W153" s="112" t="s">
        <v>73</v>
      </c>
    </row>
    <row r="154" ht="49.5" customHeight="1">
      <c r="A154" s="110" t="s">
        <v>705</v>
      </c>
      <c r="B154" s="110" t="s">
        <v>706</v>
      </c>
      <c r="C154" s="110" t="s">
        <v>707</v>
      </c>
      <c r="D154" s="110"/>
      <c r="E154" s="111" t="s">
        <v>708</v>
      </c>
      <c r="F154" s="111" t="s">
        <v>709</v>
      </c>
      <c r="G154" s="110" t="s">
        <v>710</v>
      </c>
      <c r="H154" s="113">
        <v>30.0</v>
      </c>
      <c r="I154" s="110" t="s">
        <v>70</v>
      </c>
      <c r="J154" s="112">
        <v>30590.0</v>
      </c>
      <c r="K154" s="113" t="s">
        <v>71</v>
      </c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 t="s">
        <v>72</v>
      </c>
      <c r="W154" s="112" t="s">
        <v>73</v>
      </c>
    </row>
    <row r="155" ht="49.5" customHeight="1">
      <c r="A155" s="110" t="s">
        <v>711</v>
      </c>
      <c r="B155" s="110" t="s">
        <v>712</v>
      </c>
      <c r="C155" s="110" t="s">
        <v>713</v>
      </c>
      <c r="D155" s="110"/>
      <c r="E155" s="111" t="s">
        <v>714</v>
      </c>
      <c r="F155" s="111" t="s">
        <v>715</v>
      </c>
      <c r="G155" s="110" t="s">
        <v>715</v>
      </c>
      <c r="H155" s="113">
        <v>30.0</v>
      </c>
      <c r="I155" s="110" t="s">
        <v>70</v>
      </c>
      <c r="J155" s="112">
        <v>7390.0</v>
      </c>
      <c r="K155" s="113" t="s">
        <v>71</v>
      </c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 t="s">
        <v>72</v>
      </c>
      <c r="W155" s="112" t="s">
        <v>73</v>
      </c>
    </row>
    <row r="156" ht="49.5" customHeight="1">
      <c r="A156" s="110" t="s">
        <v>716</v>
      </c>
      <c r="B156" s="110" t="s">
        <v>717</v>
      </c>
      <c r="C156" s="110" t="s">
        <v>718</v>
      </c>
      <c r="D156" s="110"/>
      <c r="E156" s="111" t="s">
        <v>719</v>
      </c>
      <c r="F156" s="111" t="s">
        <v>720</v>
      </c>
      <c r="G156" s="110" t="s">
        <v>720</v>
      </c>
      <c r="H156" s="113">
        <v>30.0</v>
      </c>
      <c r="I156" s="110" t="s">
        <v>70</v>
      </c>
      <c r="J156" s="112">
        <v>16090.0</v>
      </c>
      <c r="K156" s="113" t="s">
        <v>71</v>
      </c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 t="s">
        <v>72</v>
      </c>
      <c r="W156" s="112" t="s">
        <v>73</v>
      </c>
    </row>
    <row r="157" ht="49.5" customHeight="1">
      <c r="A157" s="110" t="s">
        <v>721</v>
      </c>
      <c r="B157" s="110" t="s">
        <v>722</v>
      </c>
      <c r="C157" s="110" t="s">
        <v>723</v>
      </c>
      <c r="D157" s="110"/>
      <c r="E157" s="111" t="s">
        <v>724</v>
      </c>
      <c r="F157" s="111" t="s">
        <v>725</v>
      </c>
      <c r="G157" s="110" t="s">
        <v>165</v>
      </c>
      <c r="H157" s="113">
        <v>30.0</v>
      </c>
      <c r="I157" s="110" t="s">
        <v>70</v>
      </c>
      <c r="J157" s="112">
        <v>4490.0</v>
      </c>
      <c r="K157" s="113" t="s">
        <v>71</v>
      </c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 t="s">
        <v>72</v>
      </c>
      <c r="W157" s="112" t="s">
        <v>73</v>
      </c>
    </row>
    <row r="158" ht="49.5" customHeight="1">
      <c r="A158" s="110" t="s">
        <v>726</v>
      </c>
      <c r="B158" s="110" t="s">
        <v>727</v>
      </c>
      <c r="C158" s="110" t="s">
        <v>728</v>
      </c>
      <c r="D158" s="110"/>
      <c r="E158" s="111" t="s">
        <v>729</v>
      </c>
      <c r="F158" s="111" t="s">
        <v>730</v>
      </c>
      <c r="G158" s="110" t="s">
        <v>730</v>
      </c>
      <c r="H158" s="113">
        <v>30.0</v>
      </c>
      <c r="I158" s="110" t="s">
        <v>70</v>
      </c>
      <c r="J158" s="112">
        <v>14490.0</v>
      </c>
      <c r="K158" s="113" t="s">
        <v>71</v>
      </c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 t="s">
        <v>72</v>
      </c>
      <c r="W158" s="112" t="s">
        <v>73</v>
      </c>
    </row>
    <row r="159" ht="49.5" customHeight="1">
      <c r="A159" s="110" t="s">
        <v>731</v>
      </c>
      <c r="B159" s="110" t="s">
        <v>732</v>
      </c>
      <c r="C159" s="110" t="s">
        <v>733</v>
      </c>
      <c r="D159" s="110"/>
      <c r="E159" s="111" t="s">
        <v>734</v>
      </c>
      <c r="F159" s="111" t="s">
        <v>735</v>
      </c>
      <c r="G159" s="110" t="s">
        <v>90</v>
      </c>
      <c r="H159" s="113">
        <v>30.0</v>
      </c>
      <c r="I159" s="110" t="s">
        <v>70</v>
      </c>
      <c r="J159" s="112">
        <v>10390.0</v>
      </c>
      <c r="K159" s="113" t="s">
        <v>71</v>
      </c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 t="s">
        <v>72</v>
      </c>
      <c r="W159" s="112" t="s">
        <v>73</v>
      </c>
    </row>
    <row r="160" ht="49.5" customHeight="1">
      <c r="A160" s="110" t="s">
        <v>736</v>
      </c>
      <c r="B160" s="110" t="s">
        <v>737</v>
      </c>
      <c r="C160" s="110" t="s">
        <v>738</v>
      </c>
      <c r="D160" s="110"/>
      <c r="E160" s="111" t="s">
        <v>739</v>
      </c>
      <c r="F160" s="111" t="s">
        <v>740</v>
      </c>
      <c r="G160" s="110" t="s">
        <v>740</v>
      </c>
      <c r="H160" s="113">
        <v>10.0</v>
      </c>
      <c r="I160" s="110" t="s">
        <v>70</v>
      </c>
      <c r="J160" s="112">
        <v>6190.0</v>
      </c>
      <c r="K160" s="113" t="s">
        <v>71</v>
      </c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 t="s">
        <v>72</v>
      </c>
      <c r="W160" s="112" t="s">
        <v>73</v>
      </c>
    </row>
    <row r="161" ht="49.5" customHeight="1">
      <c r="A161" s="110" t="s">
        <v>741</v>
      </c>
      <c r="B161" s="110" t="s">
        <v>742</v>
      </c>
      <c r="C161" s="110" t="s">
        <v>743</v>
      </c>
      <c r="D161" s="110"/>
      <c r="E161" s="111" t="s">
        <v>744</v>
      </c>
      <c r="F161" s="111" t="s">
        <v>745</v>
      </c>
      <c r="G161" s="110" t="s">
        <v>745</v>
      </c>
      <c r="H161" s="113">
        <v>10.0</v>
      </c>
      <c r="I161" s="110" t="s">
        <v>70</v>
      </c>
      <c r="J161" s="112">
        <v>4790.0</v>
      </c>
      <c r="K161" s="113" t="s">
        <v>71</v>
      </c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 t="s">
        <v>72</v>
      </c>
      <c r="W161" s="112" t="s">
        <v>73</v>
      </c>
    </row>
    <row r="162" ht="49.5" customHeight="1">
      <c r="A162" s="110" t="s">
        <v>63</v>
      </c>
      <c r="B162" s="110" t="s">
        <v>746</v>
      </c>
      <c r="C162" s="110"/>
      <c r="D162" s="110"/>
      <c r="E162" s="112" t="s">
        <v>63</v>
      </c>
      <c r="F162" s="111" t="s">
        <v>747</v>
      </c>
      <c r="G162" s="110" t="s">
        <v>70</v>
      </c>
      <c r="H162" s="110" t="s">
        <v>321</v>
      </c>
      <c r="I162" s="110" t="s">
        <v>70</v>
      </c>
      <c r="J162" s="112">
        <v>8090.0</v>
      </c>
      <c r="K162" s="113" t="s">
        <v>71</v>
      </c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 t="s">
        <v>72</v>
      </c>
      <c r="W162" s="112" t="s">
        <v>73</v>
      </c>
    </row>
    <row r="163" ht="49.5" customHeight="1">
      <c r="A163" s="110" t="s">
        <v>63</v>
      </c>
      <c r="B163" s="110" t="s">
        <v>746</v>
      </c>
      <c r="C163" s="110" t="s">
        <v>748</v>
      </c>
      <c r="D163" s="110" t="s">
        <v>748</v>
      </c>
      <c r="E163" s="111" t="s">
        <v>749</v>
      </c>
      <c r="F163" s="114" t="str">
        <f>"     "&amp;F162</f>
        <v>     Canillera Reebok R.10.03 - Royal3</v>
      </c>
      <c r="G163" s="110" t="s">
        <v>213</v>
      </c>
      <c r="H163" s="113">
        <v>10.0</v>
      </c>
      <c r="I163" s="110" t="s">
        <v>70</v>
      </c>
      <c r="J163" s="112">
        <f>J162</f>
        <v>8090</v>
      </c>
      <c r="K163" s="110" t="str">
        <f>K162&amp;"     "</f>
        <v>$     </v>
      </c>
      <c r="L163" s="110" t="str">
        <f t="shared" ref="L163:U163" si="95">L162</f>
        <v/>
      </c>
      <c r="M163" s="110" t="str">
        <f t="shared" si="95"/>
        <v/>
      </c>
      <c r="N163" s="110" t="str">
        <f t="shared" si="95"/>
        <v/>
      </c>
      <c r="O163" s="110" t="str">
        <f t="shared" si="95"/>
        <v/>
      </c>
      <c r="P163" s="110" t="str">
        <f t="shared" si="95"/>
        <v/>
      </c>
      <c r="Q163" s="110" t="str">
        <f t="shared" si="95"/>
        <v/>
      </c>
      <c r="R163" s="110" t="str">
        <f t="shared" si="95"/>
        <v/>
      </c>
      <c r="S163" s="110" t="str">
        <f t="shared" si="95"/>
        <v/>
      </c>
      <c r="T163" s="110" t="str">
        <f t="shared" si="95"/>
        <v/>
      </c>
      <c r="U163" s="110" t="str">
        <f t="shared" si="95"/>
        <v/>
      </c>
      <c r="V163" s="110" t="str">
        <f t="shared" ref="V163:W163" si="96">V162&amp;"     "</f>
        <v>Nuevo     </v>
      </c>
      <c r="W163" s="112" t="str">
        <f t="shared" si="96"/>
        <v>Activa     </v>
      </c>
    </row>
    <row r="164" ht="49.5" customHeight="1">
      <c r="A164" s="110" t="s">
        <v>63</v>
      </c>
      <c r="B164" s="110" t="s">
        <v>746</v>
      </c>
      <c r="C164" s="110" t="s">
        <v>750</v>
      </c>
      <c r="D164" s="110" t="s">
        <v>750</v>
      </c>
      <c r="E164" s="111" t="s">
        <v>751</v>
      </c>
      <c r="F164" s="114" t="str">
        <f>"     "&amp;F162</f>
        <v>     Canillera Reebok R.10.03 - Royal3</v>
      </c>
      <c r="G164" s="110" t="s">
        <v>752</v>
      </c>
      <c r="H164" s="113">
        <v>10.0</v>
      </c>
      <c r="I164" s="110" t="s">
        <v>70</v>
      </c>
      <c r="J164" s="112">
        <f>J162</f>
        <v>8090</v>
      </c>
      <c r="K164" s="110" t="str">
        <f>K162&amp;"     "</f>
        <v>$     </v>
      </c>
      <c r="L164" s="110" t="str">
        <f t="shared" ref="L164:U164" si="97">L162</f>
        <v/>
      </c>
      <c r="M164" s="110" t="str">
        <f t="shared" si="97"/>
        <v/>
      </c>
      <c r="N164" s="110" t="str">
        <f t="shared" si="97"/>
        <v/>
      </c>
      <c r="O164" s="110" t="str">
        <f t="shared" si="97"/>
        <v/>
      </c>
      <c r="P164" s="110" t="str">
        <f t="shared" si="97"/>
        <v/>
      </c>
      <c r="Q164" s="110" t="str">
        <f t="shared" si="97"/>
        <v/>
      </c>
      <c r="R164" s="110" t="str">
        <f t="shared" si="97"/>
        <v/>
      </c>
      <c r="S164" s="110" t="str">
        <f t="shared" si="97"/>
        <v/>
      </c>
      <c r="T164" s="110" t="str">
        <f t="shared" si="97"/>
        <v/>
      </c>
      <c r="U164" s="110" t="str">
        <f t="shared" si="97"/>
        <v/>
      </c>
      <c r="V164" s="110" t="str">
        <f t="shared" ref="V164:W164" si="98">V162&amp;"     "</f>
        <v>Nuevo     </v>
      </c>
      <c r="W164" s="112" t="str">
        <f t="shared" si="98"/>
        <v>Activa     </v>
      </c>
    </row>
    <row r="165" ht="49.5" customHeight="1">
      <c r="A165" s="110" t="s">
        <v>63</v>
      </c>
      <c r="B165" s="110" t="s">
        <v>746</v>
      </c>
      <c r="C165" s="110" t="s">
        <v>753</v>
      </c>
      <c r="D165" s="110" t="s">
        <v>753</v>
      </c>
      <c r="E165" s="111" t="s">
        <v>754</v>
      </c>
      <c r="F165" s="114" t="str">
        <f>"     "&amp;F162</f>
        <v>     Canillera Reebok R.10.03 - Royal3</v>
      </c>
      <c r="G165" s="110" t="s">
        <v>755</v>
      </c>
      <c r="H165" s="113">
        <v>10.0</v>
      </c>
      <c r="I165" s="110" t="s">
        <v>70</v>
      </c>
      <c r="J165" s="112">
        <f>J162</f>
        <v>8090</v>
      </c>
      <c r="K165" s="110" t="str">
        <f>K162&amp;"     "</f>
        <v>$     </v>
      </c>
      <c r="L165" s="110" t="str">
        <f t="shared" ref="L165:U165" si="99">L162</f>
        <v/>
      </c>
      <c r="M165" s="110" t="str">
        <f t="shared" si="99"/>
        <v/>
      </c>
      <c r="N165" s="110" t="str">
        <f t="shared" si="99"/>
        <v/>
      </c>
      <c r="O165" s="110" t="str">
        <f t="shared" si="99"/>
        <v/>
      </c>
      <c r="P165" s="110" t="str">
        <f t="shared" si="99"/>
        <v/>
      </c>
      <c r="Q165" s="110" t="str">
        <f t="shared" si="99"/>
        <v/>
      </c>
      <c r="R165" s="110" t="str">
        <f t="shared" si="99"/>
        <v/>
      </c>
      <c r="S165" s="110" t="str">
        <f t="shared" si="99"/>
        <v/>
      </c>
      <c r="T165" s="110" t="str">
        <f t="shared" si="99"/>
        <v/>
      </c>
      <c r="U165" s="110" t="str">
        <f t="shared" si="99"/>
        <v/>
      </c>
      <c r="V165" s="110" t="str">
        <f t="shared" ref="V165:W165" si="100">V162&amp;"     "</f>
        <v>Nuevo     </v>
      </c>
      <c r="W165" s="112" t="str">
        <f t="shared" si="100"/>
        <v>Activa     </v>
      </c>
    </row>
    <row r="166" ht="49.5" customHeight="1">
      <c r="A166" s="110" t="s">
        <v>756</v>
      </c>
      <c r="B166" s="110" t="s">
        <v>757</v>
      </c>
      <c r="C166" s="110" t="s">
        <v>758</v>
      </c>
      <c r="D166" s="110"/>
      <c r="E166" s="111" t="s">
        <v>759</v>
      </c>
      <c r="F166" s="111" t="s">
        <v>760</v>
      </c>
      <c r="G166" s="110" t="s">
        <v>761</v>
      </c>
      <c r="H166" s="113">
        <v>30.0</v>
      </c>
      <c r="I166" s="110" t="s">
        <v>70</v>
      </c>
      <c r="J166" s="112">
        <v>33390.0</v>
      </c>
      <c r="K166" s="113" t="s">
        <v>71</v>
      </c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 t="s">
        <v>72</v>
      </c>
      <c r="W166" s="112" t="s">
        <v>73</v>
      </c>
    </row>
    <row r="167" ht="49.5" customHeight="1">
      <c r="A167" s="110" t="s">
        <v>63</v>
      </c>
      <c r="B167" s="110" t="s">
        <v>762</v>
      </c>
      <c r="C167" s="110"/>
      <c r="D167" s="110"/>
      <c r="E167" s="112" t="s">
        <v>63</v>
      </c>
      <c r="F167" s="111" t="s">
        <v>763</v>
      </c>
      <c r="G167" s="110" t="s">
        <v>70</v>
      </c>
      <c r="H167" s="110" t="s">
        <v>666</v>
      </c>
      <c r="I167" s="110" t="s">
        <v>70</v>
      </c>
      <c r="J167" s="112">
        <v>34290.0</v>
      </c>
      <c r="K167" s="113" t="s">
        <v>71</v>
      </c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 t="s">
        <v>72</v>
      </c>
      <c r="W167" s="112" t="s">
        <v>73</v>
      </c>
    </row>
    <row r="168" ht="49.5" customHeight="1">
      <c r="A168" s="110" t="s">
        <v>63</v>
      </c>
      <c r="B168" s="110" t="s">
        <v>762</v>
      </c>
      <c r="C168" s="110" t="s">
        <v>764</v>
      </c>
      <c r="D168" s="110" t="s">
        <v>764</v>
      </c>
      <c r="E168" s="111" t="s">
        <v>765</v>
      </c>
      <c r="F168" s="114" t="str">
        <f>"     "&amp;F167</f>
        <v>     Guante Mma Drb V.06.00 - C. Sint. Dx</v>
      </c>
      <c r="G168" s="110" t="s">
        <v>766</v>
      </c>
      <c r="H168" s="113">
        <v>10.0</v>
      </c>
      <c r="I168" s="110" t="s">
        <v>70</v>
      </c>
      <c r="J168" s="112">
        <f>J167</f>
        <v>34290</v>
      </c>
      <c r="K168" s="110" t="str">
        <f>K167&amp;"     "</f>
        <v>$     </v>
      </c>
      <c r="L168" s="110" t="str">
        <f t="shared" ref="L168:U168" si="101">L167</f>
        <v/>
      </c>
      <c r="M168" s="110" t="str">
        <f t="shared" si="101"/>
        <v/>
      </c>
      <c r="N168" s="110" t="str">
        <f t="shared" si="101"/>
        <v/>
      </c>
      <c r="O168" s="110" t="str">
        <f t="shared" si="101"/>
        <v/>
      </c>
      <c r="P168" s="110" t="str">
        <f t="shared" si="101"/>
        <v/>
      </c>
      <c r="Q168" s="110" t="str">
        <f t="shared" si="101"/>
        <v/>
      </c>
      <c r="R168" s="110" t="str">
        <f t="shared" si="101"/>
        <v/>
      </c>
      <c r="S168" s="110" t="str">
        <f t="shared" si="101"/>
        <v/>
      </c>
      <c r="T168" s="110" t="str">
        <f t="shared" si="101"/>
        <v/>
      </c>
      <c r="U168" s="110" t="str">
        <f t="shared" si="101"/>
        <v/>
      </c>
      <c r="V168" s="110" t="str">
        <f t="shared" ref="V168:W168" si="102">V167&amp;"     "</f>
        <v>Nuevo     </v>
      </c>
      <c r="W168" s="112" t="str">
        <f t="shared" si="102"/>
        <v>Activa     </v>
      </c>
    </row>
    <row r="169" ht="49.5" customHeight="1">
      <c r="A169" s="110" t="s">
        <v>63</v>
      </c>
      <c r="B169" s="110" t="s">
        <v>762</v>
      </c>
      <c r="C169" s="110" t="s">
        <v>767</v>
      </c>
      <c r="D169" s="110" t="s">
        <v>767</v>
      </c>
      <c r="E169" s="111" t="s">
        <v>768</v>
      </c>
      <c r="F169" s="114" t="str">
        <f>"     "&amp;F167</f>
        <v>     Guante Mma Drb V.06.00 - C. Sint. Dx</v>
      </c>
      <c r="G169" s="110" t="s">
        <v>213</v>
      </c>
      <c r="H169" s="113">
        <v>10.0</v>
      </c>
      <c r="I169" s="110" t="s">
        <v>70</v>
      </c>
      <c r="J169" s="112">
        <f>J167</f>
        <v>34290</v>
      </c>
      <c r="K169" s="110" t="str">
        <f>K167&amp;"     "</f>
        <v>$     </v>
      </c>
      <c r="L169" s="110" t="str">
        <f t="shared" ref="L169:U169" si="103">L167</f>
        <v/>
      </c>
      <c r="M169" s="110" t="str">
        <f t="shared" si="103"/>
        <v/>
      </c>
      <c r="N169" s="110" t="str">
        <f t="shared" si="103"/>
        <v/>
      </c>
      <c r="O169" s="110" t="str">
        <f t="shared" si="103"/>
        <v/>
      </c>
      <c r="P169" s="110" t="str">
        <f t="shared" si="103"/>
        <v/>
      </c>
      <c r="Q169" s="110" t="str">
        <f t="shared" si="103"/>
        <v/>
      </c>
      <c r="R169" s="110" t="str">
        <f t="shared" si="103"/>
        <v/>
      </c>
      <c r="S169" s="110" t="str">
        <f t="shared" si="103"/>
        <v/>
      </c>
      <c r="T169" s="110" t="str">
        <f t="shared" si="103"/>
        <v/>
      </c>
      <c r="U169" s="110" t="str">
        <f t="shared" si="103"/>
        <v/>
      </c>
      <c r="V169" s="110" t="str">
        <f t="shared" ref="V169:W169" si="104">V167&amp;"     "</f>
        <v>Nuevo     </v>
      </c>
      <c r="W169" s="112" t="str">
        <f t="shared" si="104"/>
        <v>Activa     </v>
      </c>
    </row>
    <row r="170" ht="49.5" customHeight="1">
      <c r="A170" s="110" t="s">
        <v>63</v>
      </c>
      <c r="B170" s="110" t="s">
        <v>762</v>
      </c>
      <c r="C170" s="110" t="s">
        <v>769</v>
      </c>
      <c r="D170" s="110" t="s">
        <v>769</v>
      </c>
      <c r="E170" s="111" t="s">
        <v>770</v>
      </c>
      <c r="F170" s="114" t="str">
        <f>"     "&amp;F167</f>
        <v>     Guante Mma Drb V.06.00 - C. Sint. Dx</v>
      </c>
      <c r="G170" s="110" t="s">
        <v>752</v>
      </c>
      <c r="H170" s="113">
        <v>10.0</v>
      </c>
      <c r="I170" s="110" t="s">
        <v>70</v>
      </c>
      <c r="J170" s="112">
        <f>J167</f>
        <v>34290</v>
      </c>
      <c r="K170" s="110" t="str">
        <f>K167&amp;"     "</f>
        <v>$     </v>
      </c>
      <c r="L170" s="110" t="str">
        <f t="shared" ref="L170:U170" si="105">L167</f>
        <v/>
      </c>
      <c r="M170" s="110" t="str">
        <f t="shared" si="105"/>
        <v/>
      </c>
      <c r="N170" s="110" t="str">
        <f t="shared" si="105"/>
        <v/>
      </c>
      <c r="O170" s="110" t="str">
        <f t="shared" si="105"/>
        <v/>
      </c>
      <c r="P170" s="110" t="str">
        <f t="shared" si="105"/>
        <v/>
      </c>
      <c r="Q170" s="110" t="str">
        <f t="shared" si="105"/>
        <v/>
      </c>
      <c r="R170" s="110" t="str">
        <f t="shared" si="105"/>
        <v/>
      </c>
      <c r="S170" s="110" t="str">
        <f t="shared" si="105"/>
        <v/>
      </c>
      <c r="T170" s="110" t="str">
        <f t="shared" si="105"/>
        <v/>
      </c>
      <c r="U170" s="110" t="str">
        <f t="shared" si="105"/>
        <v/>
      </c>
      <c r="V170" s="110" t="str">
        <f t="shared" ref="V170:W170" si="106">V167&amp;"     "</f>
        <v>Nuevo     </v>
      </c>
      <c r="W170" s="112" t="str">
        <f t="shared" si="106"/>
        <v>Activa     </v>
      </c>
    </row>
    <row r="171" ht="49.5" customHeight="1">
      <c r="A171" s="110" t="s">
        <v>63</v>
      </c>
      <c r="B171" s="110" t="s">
        <v>762</v>
      </c>
      <c r="C171" s="110" t="s">
        <v>771</v>
      </c>
      <c r="D171" s="110" t="s">
        <v>771</v>
      </c>
      <c r="E171" s="111" t="s">
        <v>772</v>
      </c>
      <c r="F171" s="114" t="str">
        <f>"     "&amp;F167</f>
        <v>     Guante Mma Drb V.06.00 - C. Sint. Dx</v>
      </c>
      <c r="G171" s="110" t="s">
        <v>773</v>
      </c>
      <c r="H171" s="113">
        <v>10.0</v>
      </c>
      <c r="I171" s="110" t="s">
        <v>70</v>
      </c>
      <c r="J171" s="112">
        <f>J167</f>
        <v>34290</v>
      </c>
      <c r="K171" s="110" t="str">
        <f>K167&amp;"     "</f>
        <v>$     </v>
      </c>
      <c r="L171" s="110" t="str">
        <f t="shared" ref="L171:U171" si="107">L167</f>
        <v/>
      </c>
      <c r="M171" s="110" t="str">
        <f t="shared" si="107"/>
        <v/>
      </c>
      <c r="N171" s="110" t="str">
        <f t="shared" si="107"/>
        <v/>
      </c>
      <c r="O171" s="110" t="str">
        <f t="shared" si="107"/>
        <v/>
      </c>
      <c r="P171" s="110" t="str">
        <f t="shared" si="107"/>
        <v/>
      </c>
      <c r="Q171" s="110" t="str">
        <f t="shared" si="107"/>
        <v/>
      </c>
      <c r="R171" s="110" t="str">
        <f t="shared" si="107"/>
        <v/>
      </c>
      <c r="S171" s="110" t="str">
        <f t="shared" si="107"/>
        <v/>
      </c>
      <c r="T171" s="110" t="str">
        <f t="shared" si="107"/>
        <v/>
      </c>
      <c r="U171" s="110" t="str">
        <f t="shared" si="107"/>
        <v/>
      </c>
      <c r="V171" s="110" t="str">
        <f t="shared" ref="V171:W171" si="108">V167&amp;"     "</f>
        <v>Nuevo     </v>
      </c>
      <c r="W171" s="112" t="str">
        <f t="shared" si="108"/>
        <v>Activa     </v>
      </c>
    </row>
    <row r="172" ht="49.5" customHeight="1">
      <c r="A172" s="110" t="s">
        <v>774</v>
      </c>
      <c r="B172" s="110" t="s">
        <v>775</v>
      </c>
      <c r="C172" s="110" t="s">
        <v>776</v>
      </c>
      <c r="D172" s="110"/>
      <c r="E172" s="111" t="s">
        <v>777</v>
      </c>
      <c r="F172" s="111" t="s">
        <v>778</v>
      </c>
      <c r="G172" s="110" t="s">
        <v>778</v>
      </c>
      <c r="H172" s="113">
        <v>30.0</v>
      </c>
      <c r="I172" s="110" t="s">
        <v>70</v>
      </c>
      <c r="J172" s="112">
        <v>19490.0</v>
      </c>
      <c r="K172" s="113" t="s">
        <v>71</v>
      </c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 t="s">
        <v>72</v>
      </c>
      <c r="W172" s="112" t="s">
        <v>73</v>
      </c>
    </row>
    <row r="173" ht="49.5" customHeight="1">
      <c r="A173" s="110" t="s">
        <v>779</v>
      </c>
      <c r="B173" s="110" t="s">
        <v>780</v>
      </c>
      <c r="C173" s="110" t="s">
        <v>781</v>
      </c>
      <c r="D173" s="110"/>
      <c r="E173" s="111" t="s">
        <v>782</v>
      </c>
      <c r="F173" s="111" t="s">
        <v>783</v>
      </c>
      <c r="G173" s="110" t="s">
        <v>213</v>
      </c>
      <c r="H173" s="113">
        <v>30.0</v>
      </c>
      <c r="I173" s="110" t="s">
        <v>70</v>
      </c>
      <c r="J173" s="112">
        <v>33390.0</v>
      </c>
      <c r="K173" s="113" t="s">
        <v>71</v>
      </c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 t="s">
        <v>72</v>
      </c>
      <c r="W173" s="112" t="s">
        <v>73</v>
      </c>
    </row>
    <row r="174" ht="49.5" customHeight="1">
      <c r="A174" s="110" t="s">
        <v>784</v>
      </c>
      <c r="B174" s="110" t="s">
        <v>785</v>
      </c>
      <c r="C174" s="110" t="s">
        <v>786</v>
      </c>
      <c r="D174" s="110"/>
      <c r="E174" s="111" t="s">
        <v>787</v>
      </c>
      <c r="F174" s="111" t="s">
        <v>788</v>
      </c>
      <c r="G174" s="110" t="s">
        <v>788</v>
      </c>
      <c r="H174" s="113">
        <v>30.0</v>
      </c>
      <c r="I174" s="110" t="s">
        <v>70</v>
      </c>
      <c r="J174" s="112">
        <v>33990.0</v>
      </c>
      <c r="K174" s="113" t="s">
        <v>71</v>
      </c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 t="s">
        <v>72</v>
      </c>
      <c r="W174" s="112" t="s">
        <v>73</v>
      </c>
    </row>
    <row r="175" ht="49.5" customHeight="1">
      <c r="A175" s="110" t="s">
        <v>63</v>
      </c>
      <c r="B175" s="110" t="s">
        <v>789</v>
      </c>
      <c r="C175" s="110"/>
      <c r="D175" s="110"/>
      <c r="E175" s="112" t="s">
        <v>63</v>
      </c>
      <c r="F175" s="111" t="s">
        <v>790</v>
      </c>
      <c r="G175" s="110" t="s">
        <v>70</v>
      </c>
      <c r="H175" s="110" t="s">
        <v>321</v>
      </c>
      <c r="I175" s="110" t="s">
        <v>70</v>
      </c>
      <c r="J175" s="112">
        <v>41490.0</v>
      </c>
      <c r="K175" s="113" t="s">
        <v>71</v>
      </c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 t="s">
        <v>72</v>
      </c>
      <c r="W175" s="112" t="s">
        <v>73</v>
      </c>
    </row>
    <row r="176" ht="49.5" customHeight="1">
      <c r="A176" s="110" t="s">
        <v>63</v>
      </c>
      <c r="B176" s="110" t="s">
        <v>789</v>
      </c>
      <c r="C176" s="110" t="s">
        <v>791</v>
      </c>
      <c r="D176" s="110" t="s">
        <v>791</v>
      </c>
      <c r="E176" s="111" t="s">
        <v>792</v>
      </c>
      <c r="F176" s="114" t="str">
        <f>"     "&amp;F175</f>
        <v>     Guante De Box 10 Oz V.00.04 - Punto Blanco</v>
      </c>
      <c r="G176" s="110" t="s">
        <v>793</v>
      </c>
      <c r="H176" s="113">
        <v>10.0</v>
      </c>
      <c r="I176" s="110" t="s">
        <v>70</v>
      </c>
      <c r="J176" s="112">
        <f>J175</f>
        <v>41490</v>
      </c>
      <c r="K176" s="110" t="str">
        <f>K175&amp;"     "</f>
        <v>$     </v>
      </c>
      <c r="L176" s="110" t="str">
        <f t="shared" ref="L176:U176" si="109">L175</f>
        <v/>
      </c>
      <c r="M176" s="110" t="str">
        <f t="shared" si="109"/>
        <v/>
      </c>
      <c r="N176" s="110" t="str">
        <f t="shared" si="109"/>
        <v/>
      </c>
      <c r="O176" s="110" t="str">
        <f t="shared" si="109"/>
        <v/>
      </c>
      <c r="P176" s="110" t="str">
        <f t="shared" si="109"/>
        <v/>
      </c>
      <c r="Q176" s="110" t="str">
        <f t="shared" si="109"/>
        <v/>
      </c>
      <c r="R176" s="110" t="str">
        <f t="shared" si="109"/>
        <v/>
      </c>
      <c r="S176" s="110" t="str">
        <f t="shared" si="109"/>
        <v/>
      </c>
      <c r="T176" s="110" t="str">
        <f t="shared" si="109"/>
        <v/>
      </c>
      <c r="U176" s="110" t="str">
        <f t="shared" si="109"/>
        <v/>
      </c>
      <c r="V176" s="110" t="str">
        <f t="shared" ref="V176:W176" si="110">V175&amp;"     "</f>
        <v>Nuevo     </v>
      </c>
      <c r="W176" s="112" t="str">
        <f t="shared" si="110"/>
        <v>Activa     </v>
      </c>
    </row>
    <row r="177" ht="49.5" customHeight="1">
      <c r="A177" s="110" t="s">
        <v>63</v>
      </c>
      <c r="B177" s="110" t="s">
        <v>789</v>
      </c>
      <c r="C177" s="110" t="s">
        <v>794</v>
      </c>
      <c r="D177" s="110" t="s">
        <v>794</v>
      </c>
      <c r="E177" s="111" t="s">
        <v>795</v>
      </c>
      <c r="F177" s="114" t="str">
        <f>"     "&amp;F175</f>
        <v>     Guante De Box 10 Oz V.00.04 - Punto Blanco</v>
      </c>
      <c r="G177" s="110" t="s">
        <v>796</v>
      </c>
      <c r="H177" s="113">
        <v>10.0</v>
      </c>
      <c r="I177" s="110" t="s">
        <v>70</v>
      </c>
      <c r="J177" s="112">
        <f>J175</f>
        <v>41490</v>
      </c>
      <c r="K177" s="110" t="str">
        <f>K175&amp;"     "</f>
        <v>$     </v>
      </c>
      <c r="L177" s="110" t="str">
        <f t="shared" ref="L177:U177" si="111">L175</f>
        <v/>
      </c>
      <c r="M177" s="110" t="str">
        <f t="shared" si="111"/>
        <v/>
      </c>
      <c r="N177" s="110" t="str">
        <f t="shared" si="111"/>
        <v/>
      </c>
      <c r="O177" s="110" t="str">
        <f t="shared" si="111"/>
        <v/>
      </c>
      <c r="P177" s="110" t="str">
        <f t="shared" si="111"/>
        <v/>
      </c>
      <c r="Q177" s="110" t="str">
        <f t="shared" si="111"/>
        <v/>
      </c>
      <c r="R177" s="110" t="str">
        <f t="shared" si="111"/>
        <v/>
      </c>
      <c r="S177" s="110" t="str">
        <f t="shared" si="111"/>
        <v/>
      </c>
      <c r="T177" s="110" t="str">
        <f t="shared" si="111"/>
        <v/>
      </c>
      <c r="U177" s="110" t="str">
        <f t="shared" si="111"/>
        <v/>
      </c>
      <c r="V177" s="110" t="str">
        <f t="shared" ref="V177:W177" si="112">V175&amp;"     "</f>
        <v>Nuevo     </v>
      </c>
      <c r="W177" s="112" t="str">
        <f t="shared" si="112"/>
        <v>Activa     </v>
      </c>
    </row>
    <row r="178" ht="49.5" customHeight="1">
      <c r="A178" s="110" t="s">
        <v>63</v>
      </c>
      <c r="B178" s="110" t="s">
        <v>789</v>
      </c>
      <c r="C178" s="110" t="s">
        <v>797</v>
      </c>
      <c r="D178" s="110" t="s">
        <v>797</v>
      </c>
      <c r="E178" s="111" t="s">
        <v>798</v>
      </c>
      <c r="F178" s="114" t="str">
        <f>"     "&amp;F175</f>
        <v>     Guante De Box 10 Oz V.00.04 - Punto Blanco</v>
      </c>
      <c r="G178" s="110" t="s">
        <v>799</v>
      </c>
      <c r="H178" s="113">
        <v>10.0</v>
      </c>
      <c r="I178" s="110" t="s">
        <v>70</v>
      </c>
      <c r="J178" s="112">
        <f>J175</f>
        <v>41490</v>
      </c>
      <c r="K178" s="110" t="str">
        <f>K175&amp;"     "</f>
        <v>$     </v>
      </c>
      <c r="L178" s="110" t="str">
        <f t="shared" ref="L178:U178" si="113">L175</f>
        <v/>
      </c>
      <c r="M178" s="110" t="str">
        <f t="shared" si="113"/>
        <v/>
      </c>
      <c r="N178" s="110" t="str">
        <f t="shared" si="113"/>
        <v/>
      </c>
      <c r="O178" s="110" t="str">
        <f t="shared" si="113"/>
        <v/>
      </c>
      <c r="P178" s="110" t="str">
        <f t="shared" si="113"/>
        <v/>
      </c>
      <c r="Q178" s="110" t="str">
        <f t="shared" si="113"/>
        <v/>
      </c>
      <c r="R178" s="110" t="str">
        <f t="shared" si="113"/>
        <v/>
      </c>
      <c r="S178" s="110" t="str">
        <f t="shared" si="113"/>
        <v/>
      </c>
      <c r="T178" s="110" t="str">
        <f t="shared" si="113"/>
        <v/>
      </c>
      <c r="U178" s="110" t="str">
        <f t="shared" si="113"/>
        <v/>
      </c>
      <c r="V178" s="110" t="str">
        <f t="shared" ref="V178:W178" si="114">V175&amp;"     "</f>
        <v>Nuevo     </v>
      </c>
      <c r="W178" s="112" t="str">
        <f t="shared" si="114"/>
        <v>Activa     </v>
      </c>
    </row>
    <row r="179" ht="49.5" customHeight="1">
      <c r="A179" s="110" t="s">
        <v>800</v>
      </c>
      <c r="B179" s="110" t="s">
        <v>801</v>
      </c>
      <c r="C179" s="110" t="s">
        <v>802</v>
      </c>
      <c r="D179" s="110"/>
      <c r="E179" s="111" t="s">
        <v>803</v>
      </c>
      <c r="F179" s="111" t="s">
        <v>804</v>
      </c>
      <c r="G179" s="110" t="s">
        <v>804</v>
      </c>
      <c r="H179" s="113">
        <v>30.0</v>
      </c>
      <c r="I179" s="110" t="s">
        <v>70</v>
      </c>
      <c r="J179" s="112">
        <v>49890.0</v>
      </c>
      <c r="K179" s="113" t="s">
        <v>71</v>
      </c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 t="s">
        <v>72</v>
      </c>
      <c r="W179" s="112" t="s">
        <v>73</v>
      </c>
    </row>
    <row r="180" ht="49.5" customHeight="1">
      <c r="A180" s="110" t="s">
        <v>805</v>
      </c>
      <c r="B180" s="110" t="s">
        <v>806</v>
      </c>
      <c r="C180" s="110" t="s">
        <v>807</v>
      </c>
      <c r="D180" s="110"/>
      <c r="E180" s="111" t="s">
        <v>808</v>
      </c>
      <c r="F180" s="111" t="s">
        <v>809</v>
      </c>
      <c r="G180" s="110" t="s">
        <v>766</v>
      </c>
      <c r="H180" s="113">
        <v>30.0</v>
      </c>
      <c r="I180" s="110" t="s">
        <v>70</v>
      </c>
      <c r="J180" s="112">
        <v>33390.0</v>
      </c>
      <c r="K180" s="113" t="s">
        <v>71</v>
      </c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 t="s">
        <v>72</v>
      </c>
      <c r="W180" s="112" t="s">
        <v>73</v>
      </c>
    </row>
    <row r="181" ht="49.5" customHeight="1">
      <c r="A181" s="110" t="s">
        <v>810</v>
      </c>
      <c r="B181" s="110" t="s">
        <v>811</v>
      </c>
      <c r="C181" s="110" t="s">
        <v>812</v>
      </c>
      <c r="D181" s="110"/>
      <c r="E181" s="111" t="s">
        <v>813</v>
      </c>
      <c r="F181" s="112" t="s">
        <v>814</v>
      </c>
      <c r="G181" s="110" t="s">
        <v>70</v>
      </c>
      <c r="H181" s="113">
        <v>30.0</v>
      </c>
      <c r="I181" s="110" t="s">
        <v>70</v>
      </c>
      <c r="J181" s="112">
        <v>4490.0</v>
      </c>
      <c r="K181" s="113" t="s">
        <v>71</v>
      </c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0" t="s">
        <v>72</v>
      </c>
      <c r="W181" s="112" t="s">
        <v>73</v>
      </c>
    </row>
    <row r="182" ht="49.5" customHeight="1">
      <c r="A182" s="110" t="s">
        <v>815</v>
      </c>
      <c r="B182" s="110" t="s">
        <v>816</v>
      </c>
      <c r="C182" s="110" t="s">
        <v>817</v>
      </c>
      <c r="D182" s="110"/>
      <c r="E182" s="111" t="s">
        <v>818</v>
      </c>
      <c r="F182" s="112" t="s">
        <v>819</v>
      </c>
      <c r="G182" s="110" t="s">
        <v>70</v>
      </c>
      <c r="H182" s="113">
        <v>30.0</v>
      </c>
      <c r="I182" s="110" t="s">
        <v>70</v>
      </c>
      <c r="J182" s="112">
        <v>17190.0</v>
      </c>
      <c r="K182" s="113" t="s">
        <v>71</v>
      </c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0" t="s">
        <v>72</v>
      </c>
      <c r="W182" s="112" t="s">
        <v>73</v>
      </c>
    </row>
    <row r="183" ht="49.5" customHeight="1">
      <c r="A183" s="110" t="s">
        <v>820</v>
      </c>
      <c r="B183" s="110" t="s">
        <v>821</v>
      </c>
      <c r="C183" s="110" t="s">
        <v>822</v>
      </c>
      <c r="D183" s="110"/>
      <c r="E183" s="111" t="s">
        <v>823</v>
      </c>
      <c r="F183" s="111" t="s">
        <v>824</v>
      </c>
      <c r="G183" s="110" t="s">
        <v>825</v>
      </c>
      <c r="H183" s="113">
        <v>30.0</v>
      </c>
      <c r="I183" s="110" t="s">
        <v>70</v>
      </c>
      <c r="J183" s="112">
        <v>181790.0</v>
      </c>
      <c r="K183" s="113" t="s">
        <v>71</v>
      </c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 t="s">
        <v>72</v>
      </c>
      <c r="W183" s="112" t="s">
        <v>73</v>
      </c>
    </row>
    <row r="184" ht="49.5" customHeight="1">
      <c r="A184" s="110" t="s">
        <v>63</v>
      </c>
      <c r="B184" s="110" t="s">
        <v>826</v>
      </c>
      <c r="C184" s="110"/>
      <c r="D184" s="110"/>
      <c r="E184" s="112" t="s">
        <v>63</v>
      </c>
      <c r="F184" s="111" t="s">
        <v>827</v>
      </c>
      <c r="G184" s="110" t="s">
        <v>70</v>
      </c>
      <c r="H184" s="110" t="s">
        <v>666</v>
      </c>
      <c r="I184" s="110" t="s">
        <v>70</v>
      </c>
      <c r="J184" s="112">
        <v>25690.0</v>
      </c>
      <c r="K184" s="113" t="s">
        <v>71</v>
      </c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 t="s">
        <v>72</v>
      </c>
      <c r="W184" s="112" t="s">
        <v>73</v>
      </c>
    </row>
    <row r="185" ht="49.5" customHeight="1">
      <c r="A185" s="110" t="s">
        <v>63</v>
      </c>
      <c r="B185" s="110" t="s">
        <v>826</v>
      </c>
      <c r="C185" s="110" t="s">
        <v>828</v>
      </c>
      <c r="D185" s="110" t="s">
        <v>828</v>
      </c>
      <c r="E185" s="111" t="s">
        <v>829</v>
      </c>
      <c r="F185" s="114" t="str">
        <f>"     "&amp;F184</f>
        <v>     Pack Short Dama Drb 2.40.38 C/lycra</v>
      </c>
      <c r="G185" s="110" t="s">
        <v>830</v>
      </c>
      <c r="H185" s="113">
        <v>10.0</v>
      </c>
      <c r="I185" s="110" t="s">
        <v>70</v>
      </c>
      <c r="J185" s="112">
        <f>J184</f>
        <v>25690</v>
      </c>
      <c r="K185" s="110" t="str">
        <f>K184&amp;"     "</f>
        <v>$     </v>
      </c>
      <c r="L185" s="110" t="str">
        <f t="shared" ref="L185:U185" si="115">L184</f>
        <v/>
      </c>
      <c r="M185" s="110" t="str">
        <f t="shared" si="115"/>
        <v/>
      </c>
      <c r="N185" s="110" t="str">
        <f t="shared" si="115"/>
        <v/>
      </c>
      <c r="O185" s="110" t="str">
        <f t="shared" si="115"/>
        <v/>
      </c>
      <c r="P185" s="110" t="str">
        <f t="shared" si="115"/>
        <v/>
      </c>
      <c r="Q185" s="110" t="str">
        <f t="shared" si="115"/>
        <v/>
      </c>
      <c r="R185" s="110" t="str">
        <f t="shared" si="115"/>
        <v/>
      </c>
      <c r="S185" s="110" t="str">
        <f t="shared" si="115"/>
        <v/>
      </c>
      <c r="T185" s="110" t="str">
        <f t="shared" si="115"/>
        <v/>
      </c>
      <c r="U185" s="110" t="str">
        <f t="shared" si="115"/>
        <v/>
      </c>
      <c r="V185" s="110" t="str">
        <f t="shared" ref="V185:W185" si="116">V184&amp;"     "</f>
        <v>Nuevo     </v>
      </c>
      <c r="W185" s="112" t="str">
        <f t="shared" si="116"/>
        <v>Activa     </v>
      </c>
    </row>
    <row r="186" ht="49.5" customHeight="1">
      <c r="A186" s="110" t="s">
        <v>63</v>
      </c>
      <c r="B186" s="110" t="s">
        <v>826</v>
      </c>
      <c r="C186" s="110" t="s">
        <v>831</v>
      </c>
      <c r="D186" s="110" t="s">
        <v>831</v>
      </c>
      <c r="E186" s="111" t="s">
        <v>832</v>
      </c>
      <c r="F186" s="114" t="str">
        <f>"     "&amp;F184</f>
        <v>     Pack Short Dama Drb 2.40.38 C/lycra</v>
      </c>
      <c r="G186" s="110" t="s">
        <v>833</v>
      </c>
      <c r="H186" s="113">
        <v>0.0</v>
      </c>
      <c r="I186" s="110" t="s">
        <v>70</v>
      </c>
      <c r="J186" s="112">
        <f>J184</f>
        <v>25690</v>
      </c>
      <c r="K186" s="110" t="str">
        <f>K184&amp;"     "</f>
        <v>$     </v>
      </c>
      <c r="L186" s="110" t="str">
        <f t="shared" ref="L186:U186" si="117">L184</f>
        <v/>
      </c>
      <c r="M186" s="110" t="str">
        <f t="shared" si="117"/>
        <v/>
      </c>
      <c r="N186" s="110" t="str">
        <f t="shared" si="117"/>
        <v/>
      </c>
      <c r="O186" s="110" t="str">
        <f t="shared" si="117"/>
        <v/>
      </c>
      <c r="P186" s="110" t="str">
        <f t="shared" si="117"/>
        <v/>
      </c>
      <c r="Q186" s="110" t="str">
        <f t="shared" si="117"/>
        <v/>
      </c>
      <c r="R186" s="110" t="str">
        <f t="shared" si="117"/>
        <v/>
      </c>
      <c r="S186" s="110" t="str">
        <f t="shared" si="117"/>
        <v/>
      </c>
      <c r="T186" s="110" t="str">
        <f t="shared" si="117"/>
        <v/>
      </c>
      <c r="U186" s="110" t="str">
        <f t="shared" si="117"/>
        <v/>
      </c>
      <c r="V186" s="110" t="str">
        <f t="shared" ref="V186:W186" si="118">V184&amp;"     "</f>
        <v>Nuevo     </v>
      </c>
      <c r="W186" s="112" t="str">
        <f t="shared" si="118"/>
        <v>Activa     </v>
      </c>
    </row>
    <row r="187" ht="49.5" customHeight="1">
      <c r="A187" s="110" t="s">
        <v>63</v>
      </c>
      <c r="B187" s="110" t="s">
        <v>826</v>
      </c>
      <c r="C187" s="110" t="s">
        <v>834</v>
      </c>
      <c r="D187" s="110" t="s">
        <v>834</v>
      </c>
      <c r="E187" s="111" t="s">
        <v>835</v>
      </c>
      <c r="F187" s="114" t="str">
        <f>"     "&amp;F184</f>
        <v>     Pack Short Dama Drb 2.40.38 C/lycra</v>
      </c>
      <c r="G187" s="110" t="s">
        <v>836</v>
      </c>
      <c r="H187" s="113">
        <v>10.0</v>
      </c>
      <c r="I187" s="110" t="s">
        <v>70</v>
      </c>
      <c r="J187" s="112">
        <f>J184</f>
        <v>25690</v>
      </c>
      <c r="K187" s="110" t="str">
        <f>K184&amp;"     "</f>
        <v>$     </v>
      </c>
      <c r="L187" s="110" t="str">
        <f t="shared" ref="L187:U187" si="119">L184</f>
        <v/>
      </c>
      <c r="M187" s="110" t="str">
        <f t="shared" si="119"/>
        <v/>
      </c>
      <c r="N187" s="110" t="str">
        <f t="shared" si="119"/>
        <v/>
      </c>
      <c r="O187" s="110" t="str">
        <f t="shared" si="119"/>
        <v/>
      </c>
      <c r="P187" s="110" t="str">
        <f t="shared" si="119"/>
        <v/>
      </c>
      <c r="Q187" s="110" t="str">
        <f t="shared" si="119"/>
        <v/>
      </c>
      <c r="R187" s="110" t="str">
        <f t="shared" si="119"/>
        <v/>
      </c>
      <c r="S187" s="110" t="str">
        <f t="shared" si="119"/>
        <v/>
      </c>
      <c r="T187" s="110" t="str">
        <f t="shared" si="119"/>
        <v/>
      </c>
      <c r="U187" s="110" t="str">
        <f t="shared" si="119"/>
        <v/>
      </c>
      <c r="V187" s="110" t="str">
        <f t="shared" ref="V187:W187" si="120">V184&amp;"     "</f>
        <v>Nuevo     </v>
      </c>
      <c r="W187" s="112" t="str">
        <f t="shared" si="120"/>
        <v>Activa     </v>
      </c>
    </row>
    <row r="188" ht="49.5" customHeight="1">
      <c r="A188" s="110" t="s">
        <v>63</v>
      </c>
      <c r="B188" s="110" t="s">
        <v>826</v>
      </c>
      <c r="C188" s="110" t="s">
        <v>837</v>
      </c>
      <c r="D188" s="110" t="s">
        <v>837</v>
      </c>
      <c r="E188" s="111" t="s">
        <v>838</v>
      </c>
      <c r="F188" s="114" t="str">
        <f>"     "&amp;F184</f>
        <v>     Pack Short Dama Drb 2.40.38 C/lycra</v>
      </c>
      <c r="G188" s="110" t="s">
        <v>839</v>
      </c>
      <c r="H188" s="113">
        <v>10.0</v>
      </c>
      <c r="I188" s="110" t="s">
        <v>70</v>
      </c>
      <c r="J188" s="112">
        <f>J184</f>
        <v>25690</v>
      </c>
      <c r="K188" s="110" t="str">
        <f>K184&amp;"     "</f>
        <v>$     </v>
      </c>
      <c r="L188" s="110" t="str">
        <f t="shared" ref="L188:U188" si="121">L184</f>
        <v/>
      </c>
      <c r="M188" s="110" t="str">
        <f t="shared" si="121"/>
        <v/>
      </c>
      <c r="N188" s="110" t="str">
        <f t="shared" si="121"/>
        <v/>
      </c>
      <c r="O188" s="110" t="str">
        <f t="shared" si="121"/>
        <v/>
      </c>
      <c r="P188" s="110" t="str">
        <f t="shared" si="121"/>
        <v/>
      </c>
      <c r="Q188" s="110" t="str">
        <f t="shared" si="121"/>
        <v/>
      </c>
      <c r="R188" s="110" t="str">
        <f t="shared" si="121"/>
        <v/>
      </c>
      <c r="S188" s="110" t="str">
        <f t="shared" si="121"/>
        <v/>
      </c>
      <c r="T188" s="110" t="str">
        <f t="shared" si="121"/>
        <v/>
      </c>
      <c r="U188" s="110" t="str">
        <f t="shared" si="121"/>
        <v/>
      </c>
      <c r="V188" s="110" t="str">
        <f t="shared" ref="V188:W188" si="122">V184&amp;"     "</f>
        <v>Nuevo     </v>
      </c>
      <c r="W188" s="112" t="str">
        <f t="shared" si="122"/>
        <v>Activa     </v>
      </c>
    </row>
    <row r="189" ht="49.5" customHeight="1">
      <c r="A189" s="110" t="s">
        <v>63</v>
      </c>
      <c r="B189" s="110" t="s">
        <v>826</v>
      </c>
      <c r="C189" s="110" t="s">
        <v>840</v>
      </c>
      <c r="D189" s="110" t="s">
        <v>840</v>
      </c>
      <c r="E189" s="111" t="s">
        <v>841</v>
      </c>
      <c r="F189" s="114" t="str">
        <f>"     "&amp;F184</f>
        <v>     Pack Short Dama Drb 2.40.38 C/lycra</v>
      </c>
      <c r="G189" s="110" t="s">
        <v>842</v>
      </c>
      <c r="H189" s="113">
        <v>10.0</v>
      </c>
      <c r="I189" s="110" t="s">
        <v>70</v>
      </c>
      <c r="J189" s="112">
        <f>J184</f>
        <v>25690</v>
      </c>
      <c r="K189" s="110" t="str">
        <f>K184&amp;"     "</f>
        <v>$     </v>
      </c>
      <c r="L189" s="110" t="str">
        <f t="shared" ref="L189:U189" si="123">L184</f>
        <v/>
      </c>
      <c r="M189" s="110" t="str">
        <f t="shared" si="123"/>
        <v/>
      </c>
      <c r="N189" s="110" t="str">
        <f t="shared" si="123"/>
        <v/>
      </c>
      <c r="O189" s="110" t="str">
        <f t="shared" si="123"/>
        <v/>
      </c>
      <c r="P189" s="110" t="str">
        <f t="shared" si="123"/>
        <v/>
      </c>
      <c r="Q189" s="110" t="str">
        <f t="shared" si="123"/>
        <v/>
      </c>
      <c r="R189" s="110" t="str">
        <f t="shared" si="123"/>
        <v/>
      </c>
      <c r="S189" s="110" t="str">
        <f t="shared" si="123"/>
        <v/>
      </c>
      <c r="T189" s="110" t="str">
        <f t="shared" si="123"/>
        <v/>
      </c>
      <c r="U189" s="110" t="str">
        <f t="shared" si="123"/>
        <v/>
      </c>
      <c r="V189" s="110" t="str">
        <f t="shared" ref="V189:W189" si="124">V184&amp;"     "</f>
        <v>Nuevo     </v>
      </c>
      <c r="W189" s="112" t="str">
        <f t="shared" si="124"/>
        <v>Activa     </v>
      </c>
    </row>
    <row r="190" ht="49.5" customHeight="1">
      <c r="A190" s="110" t="s">
        <v>63</v>
      </c>
      <c r="B190" s="110" t="s">
        <v>843</v>
      </c>
      <c r="C190" s="110"/>
      <c r="D190" s="110"/>
      <c r="E190" s="112" t="s">
        <v>63</v>
      </c>
      <c r="F190" s="111" t="s">
        <v>844</v>
      </c>
      <c r="G190" s="110" t="s">
        <v>70</v>
      </c>
      <c r="H190" s="110" t="s">
        <v>321</v>
      </c>
      <c r="I190" s="110" t="s">
        <v>70</v>
      </c>
      <c r="J190" s="112">
        <v>15190.0</v>
      </c>
      <c r="K190" s="113" t="s">
        <v>71</v>
      </c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 t="s">
        <v>72</v>
      </c>
      <c r="W190" s="112" t="s">
        <v>73</v>
      </c>
    </row>
    <row r="191" ht="49.5" customHeight="1">
      <c r="A191" s="110" t="s">
        <v>63</v>
      </c>
      <c r="B191" s="110" t="s">
        <v>843</v>
      </c>
      <c r="C191" s="110" t="s">
        <v>845</v>
      </c>
      <c r="D191" s="110" t="s">
        <v>845</v>
      </c>
      <c r="E191" s="111" t="s">
        <v>846</v>
      </c>
      <c r="F191" s="114" t="str">
        <f>"     "&amp;F190</f>
        <v>     Pack Short Dama Drb 2.40.39.38 Liso C/lycra</v>
      </c>
      <c r="G191" s="110" t="s">
        <v>836</v>
      </c>
      <c r="H191" s="113">
        <v>10.0</v>
      </c>
      <c r="I191" s="110" t="s">
        <v>70</v>
      </c>
      <c r="J191" s="112">
        <f>J190</f>
        <v>15190</v>
      </c>
      <c r="K191" s="110" t="str">
        <f>K190&amp;"     "</f>
        <v>$     </v>
      </c>
      <c r="L191" s="110" t="str">
        <f t="shared" ref="L191:U191" si="125">L190</f>
        <v/>
      </c>
      <c r="M191" s="110" t="str">
        <f t="shared" si="125"/>
        <v/>
      </c>
      <c r="N191" s="110" t="str">
        <f t="shared" si="125"/>
        <v/>
      </c>
      <c r="O191" s="110" t="str">
        <f t="shared" si="125"/>
        <v/>
      </c>
      <c r="P191" s="110" t="str">
        <f t="shared" si="125"/>
        <v/>
      </c>
      <c r="Q191" s="110" t="str">
        <f t="shared" si="125"/>
        <v/>
      </c>
      <c r="R191" s="110" t="str">
        <f t="shared" si="125"/>
        <v/>
      </c>
      <c r="S191" s="110" t="str">
        <f t="shared" si="125"/>
        <v/>
      </c>
      <c r="T191" s="110" t="str">
        <f t="shared" si="125"/>
        <v/>
      </c>
      <c r="U191" s="110" t="str">
        <f t="shared" si="125"/>
        <v/>
      </c>
      <c r="V191" s="110" t="str">
        <f t="shared" ref="V191:W191" si="126">V190&amp;"     "</f>
        <v>Nuevo     </v>
      </c>
      <c r="W191" s="112" t="str">
        <f t="shared" si="126"/>
        <v>Activa     </v>
      </c>
    </row>
    <row r="192" ht="49.5" customHeight="1">
      <c r="A192" s="110" t="s">
        <v>63</v>
      </c>
      <c r="B192" s="110" t="s">
        <v>843</v>
      </c>
      <c r="C192" s="110" t="s">
        <v>847</v>
      </c>
      <c r="D192" s="110" t="s">
        <v>847</v>
      </c>
      <c r="E192" s="111" t="s">
        <v>848</v>
      </c>
      <c r="F192" s="114" t="str">
        <f>"     "&amp;F190</f>
        <v>     Pack Short Dama Drb 2.40.39.38 Liso C/lycra</v>
      </c>
      <c r="G192" s="110" t="s">
        <v>849</v>
      </c>
      <c r="H192" s="113">
        <v>10.0</v>
      </c>
      <c r="I192" s="110" t="s">
        <v>70</v>
      </c>
      <c r="J192" s="112">
        <f>J190</f>
        <v>15190</v>
      </c>
      <c r="K192" s="110" t="str">
        <f>K190&amp;"     "</f>
        <v>$     </v>
      </c>
      <c r="L192" s="110" t="str">
        <f t="shared" ref="L192:U192" si="127">L190</f>
        <v/>
      </c>
      <c r="M192" s="110" t="str">
        <f t="shared" si="127"/>
        <v/>
      </c>
      <c r="N192" s="110" t="str">
        <f t="shared" si="127"/>
        <v/>
      </c>
      <c r="O192" s="110" t="str">
        <f t="shared" si="127"/>
        <v/>
      </c>
      <c r="P192" s="110" t="str">
        <f t="shared" si="127"/>
        <v/>
      </c>
      <c r="Q192" s="110" t="str">
        <f t="shared" si="127"/>
        <v/>
      </c>
      <c r="R192" s="110" t="str">
        <f t="shared" si="127"/>
        <v/>
      </c>
      <c r="S192" s="110" t="str">
        <f t="shared" si="127"/>
        <v/>
      </c>
      <c r="T192" s="110" t="str">
        <f t="shared" si="127"/>
        <v/>
      </c>
      <c r="U192" s="110" t="str">
        <f t="shared" si="127"/>
        <v/>
      </c>
      <c r="V192" s="110" t="str">
        <f t="shared" ref="V192:W192" si="128">V190&amp;"     "</f>
        <v>Nuevo     </v>
      </c>
      <c r="W192" s="112" t="str">
        <f t="shared" si="128"/>
        <v>Activa     </v>
      </c>
    </row>
    <row r="193" ht="49.5" customHeight="1">
      <c r="A193" s="110" t="s">
        <v>63</v>
      </c>
      <c r="B193" s="110" t="s">
        <v>843</v>
      </c>
      <c r="C193" s="110" t="s">
        <v>850</v>
      </c>
      <c r="D193" s="110" t="s">
        <v>850</v>
      </c>
      <c r="E193" s="111" t="s">
        <v>851</v>
      </c>
      <c r="F193" s="114" t="str">
        <f>"     "&amp;F190</f>
        <v>     Pack Short Dama Drb 2.40.39.38 Liso C/lycra</v>
      </c>
      <c r="G193" s="110" t="s">
        <v>842</v>
      </c>
      <c r="H193" s="113">
        <v>10.0</v>
      </c>
      <c r="I193" s="110" t="s">
        <v>70</v>
      </c>
      <c r="J193" s="112">
        <f>J190</f>
        <v>15190</v>
      </c>
      <c r="K193" s="110" t="str">
        <f>K190&amp;"     "</f>
        <v>$     </v>
      </c>
      <c r="L193" s="110" t="str">
        <f t="shared" ref="L193:U193" si="129">L190</f>
        <v/>
      </c>
      <c r="M193" s="110" t="str">
        <f t="shared" si="129"/>
        <v/>
      </c>
      <c r="N193" s="110" t="str">
        <f t="shared" si="129"/>
        <v/>
      </c>
      <c r="O193" s="110" t="str">
        <f t="shared" si="129"/>
        <v/>
      </c>
      <c r="P193" s="110" t="str">
        <f t="shared" si="129"/>
        <v/>
      </c>
      <c r="Q193" s="110" t="str">
        <f t="shared" si="129"/>
        <v/>
      </c>
      <c r="R193" s="110" t="str">
        <f t="shared" si="129"/>
        <v/>
      </c>
      <c r="S193" s="110" t="str">
        <f t="shared" si="129"/>
        <v/>
      </c>
      <c r="T193" s="110" t="str">
        <f t="shared" si="129"/>
        <v/>
      </c>
      <c r="U193" s="110" t="str">
        <f t="shared" si="129"/>
        <v/>
      </c>
      <c r="V193" s="110" t="str">
        <f t="shared" ref="V193:W193" si="130">V190&amp;"     "</f>
        <v>Nuevo     </v>
      </c>
      <c r="W193" s="112" t="str">
        <f t="shared" si="130"/>
        <v>Activa     </v>
      </c>
    </row>
    <row r="194" ht="49.5" customHeight="1">
      <c r="A194" s="110" t="s">
        <v>63</v>
      </c>
      <c r="B194" s="110" t="s">
        <v>852</v>
      </c>
      <c r="C194" s="110"/>
      <c r="D194" s="110"/>
      <c r="E194" s="112" t="s">
        <v>63</v>
      </c>
      <c r="F194" s="111" t="s">
        <v>853</v>
      </c>
      <c r="G194" s="110" t="s">
        <v>70</v>
      </c>
      <c r="H194" s="110" t="s">
        <v>854</v>
      </c>
      <c r="I194" s="110" t="s">
        <v>70</v>
      </c>
      <c r="J194" s="112">
        <v>9990.0</v>
      </c>
      <c r="K194" s="113" t="s">
        <v>71</v>
      </c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 t="s">
        <v>72</v>
      </c>
      <c r="W194" s="112" t="s">
        <v>73</v>
      </c>
    </row>
    <row r="195" ht="49.5" customHeight="1">
      <c r="A195" s="110" t="s">
        <v>63</v>
      </c>
      <c r="B195" s="110" t="s">
        <v>852</v>
      </c>
      <c r="C195" s="110" t="s">
        <v>855</v>
      </c>
      <c r="D195" s="110" t="s">
        <v>855</v>
      </c>
      <c r="E195" s="111" t="s">
        <v>856</v>
      </c>
      <c r="F195" s="114" t="str">
        <f>"     "&amp;F194</f>
        <v>     Pack Short Niño Drb 2.40.36 Futbol</v>
      </c>
      <c r="G195" s="110" t="s">
        <v>857</v>
      </c>
      <c r="H195" s="113">
        <v>10.0</v>
      </c>
      <c r="I195" s="110" t="s">
        <v>70</v>
      </c>
      <c r="J195" s="112">
        <f>J194</f>
        <v>9990</v>
      </c>
      <c r="K195" s="110" t="str">
        <f>K194&amp;"     "</f>
        <v>$     </v>
      </c>
      <c r="L195" s="110" t="str">
        <f t="shared" ref="L195:U195" si="131">L194</f>
        <v/>
      </c>
      <c r="M195" s="110" t="str">
        <f t="shared" si="131"/>
        <v/>
      </c>
      <c r="N195" s="110" t="str">
        <f t="shared" si="131"/>
        <v/>
      </c>
      <c r="O195" s="110" t="str">
        <f t="shared" si="131"/>
        <v/>
      </c>
      <c r="P195" s="110" t="str">
        <f t="shared" si="131"/>
        <v/>
      </c>
      <c r="Q195" s="110" t="str">
        <f t="shared" si="131"/>
        <v/>
      </c>
      <c r="R195" s="110" t="str">
        <f t="shared" si="131"/>
        <v/>
      </c>
      <c r="S195" s="110" t="str">
        <f t="shared" si="131"/>
        <v/>
      </c>
      <c r="T195" s="110" t="str">
        <f t="shared" si="131"/>
        <v/>
      </c>
      <c r="U195" s="110" t="str">
        <f t="shared" si="131"/>
        <v/>
      </c>
      <c r="V195" s="110" t="str">
        <f t="shared" ref="V195:W195" si="132">V194&amp;"     "</f>
        <v>Nuevo     </v>
      </c>
      <c r="W195" s="112" t="str">
        <f t="shared" si="132"/>
        <v>Activa     </v>
      </c>
    </row>
    <row r="196" ht="49.5" customHeight="1">
      <c r="A196" s="110" t="s">
        <v>63</v>
      </c>
      <c r="B196" s="110" t="s">
        <v>852</v>
      </c>
      <c r="C196" s="110" t="s">
        <v>858</v>
      </c>
      <c r="D196" s="110" t="s">
        <v>858</v>
      </c>
      <c r="E196" s="111" t="s">
        <v>859</v>
      </c>
      <c r="F196" s="114" t="str">
        <f>"     "&amp;F194</f>
        <v>     Pack Short Niño Drb 2.40.36 Futbol</v>
      </c>
      <c r="G196" s="110" t="s">
        <v>860</v>
      </c>
      <c r="H196" s="113">
        <v>10.0</v>
      </c>
      <c r="I196" s="110" t="s">
        <v>70</v>
      </c>
      <c r="J196" s="112">
        <f>J194</f>
        <v>9990</v>
      </c>
      <c r="K196" s="110" t="str">
        <f>K194&amp;"     "</f>
        <v>$     </v>
      </c>
      <c r="L196" s="110" t="str">
        <f t="shared" ref="L196:U196" si="133">L194</f>
        <v/>
      </c>
      <c r="M196" s="110" t="str">
        <f t="shared" si="133"/>
        <v/>
      </c>
      <c r="N196" s="110" t="str">
        <f t="shared" si="133"/>
        <v/>
      </c>
      <c r="O196" s="110" t="str">
        <f t="shared" si="133"/>
        <v/>
      </c>
      <c r="P196" s="110" t="str">
        <f t="shared" si="133"/>
        <v/>
      </c>
      <c r="Q196" s="110" t="str">
        <f t="shared" si="133"/>
        <v/>
      </c>
      <c r="R196" s="110" t="str">
        <f t="shared" si="133"/>
        <v/>
      </c>
      <c r="S196" s="110" t="str">
        <f t="shared" si="133"/>
        <v/>
      </c>
      <c r="T196" s="110" t="str">
        <f t="shared" si="133"/>
        <v/>
      </c>
      <c r="U196" s="110" t="str">
        <f t="shared" si="133"/>
        <v/>
      </c>
      <c r="V196" s="110" t="str">
        <f t="shared" ref="V196:W196" si="134">V194&amp;"     "</f>
        <v>Nuevo     </v>
      </c>
      <c r="W196" s="112" t="str">
        <f t="shared" si="134"/>
        <v>Activa     </v>
      </c>
    </row>
    <row r="197" ht="49.5" customHeight="1">
      <c r="A197" s="110" t="s">
        <v>63</v>
      </c>
      <c r="B197" s="110" t="s">
        <v>852</v>
      </c>
      <c r="C197" s="110" t="s">
        <v>861</v>
      </c>
      <c r="D197" s="110" t="s">
        <v>861</v>
      </c>
      <c r="E197" s="111" t="s">
        <v>862</v>
      </c>
      <c r="F197" s="114" t="str">
        <f>"     "&amp;F194</f>
        <v>     Pack Short Niño Drb 2.40.36 Futbol</v>
      </c>
      <c r="G197" s="110" t="s">
        <v>863</v>
      </c>
      <c r="H197" s="113">
        <v>10.0</v>
      </c>
      <c r="I197" s="110" t="s">
        <v>70</v>
      </c>
      <c r="J197" s="112">
        <f>J194</f>
        <v>9990</v>
      </c>
      <c r="K197" s="110" t="str">
        <f>K194&amp;"     "</f>
        <v>$     </v>
      </c>
      <c r="L197" s="110" t="str">
        <f t="shared" ref="L197:U197" si="135">L194</f>
        <v/>
      </c>
      <c r="M197" s="110" t="str">
        <f t="shared" si="135"/>
        <v/>
      </c>
      <c r="N197" s="110" t="str">
        <f t="shared" si="135"/>
        <v/>
      </c>
      <c r="O197" s="110" t="str">
        <f t="shared" si="135"/>
        <v/>
      </c>
      <c r="P197" s="110" t="str">
        <f t="shared" si="135"/>
        <v/>
      </c>
      <c r="Q197" s="110" t="str">
        <f t="shared" si="135"/>
        <v/>
      </c>
      <c r="R197" s="110" t="str">
        <f t="shared" si="135"/>
        <v/>
      </c>
      <c r="S197" s="110" t="str">
        <f t="shared" si="135"/>
        <v/>
      </c>
      <c r="T197" s="110" t="str">
        <f t="shared" si="135"/>
        <v/>
      </c>
      <c r="U197" s="110" t="str">
        <f t="shared" si="135"/>
        <v/>
      </c>
      <c r="V197" s="110" t="str">
        <f t="shared" ref="V197:W197" si="136">V194&amp;"     "</f>
        <v>Nuevo     </v>
      </c>
      <c r="W197" s="112" t="str">
        <f t="shared" si="136"/>
        <v>Activa     </v>
      </c>
    </row>
    <row r="198" ht="49.5" customHeight="1">
      <c r="A198" s="110" t="s">
        <v>63</v>
      </c>
      <c r="B198" s="110" t="s">
        <v>852</v>
      </c>
      <c r="C198" s="110" t="s">
        <v>864</v>
      </c>
      <c r="D198" s="110" t="s">
        <v>864</v>
      </c>
      <c r="E198" s="111" t="s">
        <v>865</v>
      </c>
      <c r="F198" s="114" t="str">
        <f>"     "&amp;F194</f>
        <v>     Pack Short Niño Drb 2.40.36 Futbol</v>
      </c>
      <c r="G198" s="110" t="s">
        <v>866</v>
      </c>
      <c r="H198" s="113">
        <v>10.0</v>
      </c>
      <c r="I198" s="110" t="s">
        <v>70</v>
      </c>
      <c r="J198" s="112">
        <f>J194</f>
        <v>9990</v>
      </c>
      <c r="K198" s="110" t="str">
        <f>K194&amp;"     "</f>
        <v>$     </v>
      </c>
      <c r="L198" s="110" t="str">
        <f t="shared" ref="L198:U198" si="137">L194</f>
        <v/>
      </c>
      <c r="M198" s="110" t="str">
        <f t="shared" si="137"/>
        <v/>
      </c>
      <c r="N198" s="110" t="str">
        <f t="shared" si="137"/>
        <v/>
      </c>
      <c r="O198" s="110" t="str">
        <f t="shared" si="137"/>
        <v/>
      </c>
      <c r="P198" s="110" t="str">
        <f t="shared" si="137"/>
        <v/>
      </c>
      <c r="Q198" s="110" t="str">
        <f t="shared" si="137"/>
        <v/>
      </c>
      <c r="R198" s="110" t="str">
        <f t="shared" si="137"/>
        <v/>
      </c>
      <c r="S198" s="110" t="str">
        <f t="shared" si="137"/>
        <v/>
      </c>
      <c r="T198" s="110" t="str">
        <f t="shared" si="137"/>
        <v/>
      </c>
      <c r="U198" s="110" t="str">
        <f t="shared" si="137"/>
        <v/>
      </c>
      <c r="V198" s="110" t="str">
        <f t="shared" ref="V198:W198" si="138">V194&amp;"     "</f>
        <v>Nuevo     </v>
      </c>
      <c r="W198" s="112" t="str">
        <f t="shared" si="138"/>
        <v>Activa     </v>
      </c>
    </row>
    <row r="199" ht="49.5" customHeight="1">
      <c r="A199" s="110" t="s">
        <v>63</v>
      </c>
      <c r="B199" s="110" t="s">
        <v>852</v>
      </c>
      <c r="C199" s="110" t="s">
        <v>867</v>
      </c>
      <c r="D199" s="110" t="s">
        <v>867</v>
      </c>
      <c r="E199" s="111" t="s">
        <v>868</v>
      </c>
      <c r="F199" s="114" t="str">
        <f>"     "&amp;F194</f>
        <v>     Pack Short Niño Drb 2.40.36 Futbol</v>
      </c>
      <c r="G199" s="110" t="s">
        <v>869</v>
      </c>
      <c r="H199" s="113">
        <v>10.0</v>
      </c>
      <c r="I199" s="110" t="s">
        <v>70</v>
      </c>
      <c r="J199" s="112">
        <f>J194</f>
        <v>9990</v>
      </c>
      <c r="K199" s="110" t="str">
        <f>K194&amp;"     "</f>
        <v>$     </v>
      </c>
      <c r="L199" s="110" t="str">
        <f t="shared" ref="L199:U199" si="139">L194</f>
        <v/>
      </c>
      <c r="M199" s="110" t="str">
        <f t="shared" si="139"/>
        <v/>
      </c>
      <c r="N199" s="110" t="str">
        <f t="shared" si="139"/>
        <v/>
      </c>
      <c r="O199" s="110" t="str">
        <f t="shared" si="139"/>
        <v/>
      </c>
      <c r="P199" s="110" t="str">
        <f t="shared" si="139"/>
        <v/>
      </c>
      <c r="Q199" s="110" t="str">
        <f t="shared" si="139"/>
        <v/>
      </c>
      <c r="R199" s="110" t="str">
        <f t="shared" si="139"/>
        <v/>
      </c>
      <c r="S199" s="110" t="str">
        <f t="shared" si="139"/>
        <v/>
      </c>
      <c r="T199" s="110" t="str">
        <f t="shared" si="139"/>
        <v/>
      </c>
      <c r="U199" s="110" t="str">
        <f t="shared" si="139"/>
        <v/>
      </c>
      <c r="V199" s="110" t="str">
        <f t="shared" ref="V199:W199" si="140">V194&amp;"     "</f>
        <v>Nuevo     </v>
      </c>
      <c r="W199" s="112" t="str">
        <f t="shared" si="140"/>
        <v>Activa     </v>
      </c>
    </row>
    <row r="200" ht="49.5" customHeight="1">
      <c r="A200" s="110" t="s">
        <v>63</v>
      </c>
      <c r="B200" s="110" t="s">
        <v>852</v>
      </c>
      <c r="C200" s="110" t="s">
        <v>870</v>
      </c>
      <c r="D200" s="110" t="s">
        <v>870</v>
      </c>
      <c r="E200" s="111" t="s">
        <v>871</v>
      </c>
      <c r="F200" s="114" t="str">
        <f>"     "&amp;F194</f>
        <v>     Pack Short Niño Drb 2.40.36 Futbol</v>
      </c>
      <c r="G200" s="110" t="s">
        <v>872</v>
      </c>
      <c r="H200" s="113">
        <v>10.0</v>
      </c>
      <c r="I200" s="110" t="s">
        <v>70</v>
      </c>
      <c r="J200" s="112">
        <f>J194</f>
        <v>9990</v>
      </c>
      <c r="K200" s="110" t="str">
        <f>K194&amp;"     "</f>
        <v>$     </v>
      </c>
      <c r="L200" s="110" t="str">
        <f t="shared" ref="L200:U200" si="141">L194</f>
        <v/>
      </c>
      <c r="M200" s="110" t="str">
        <f t="shared" si="141"/>
        <v/>
      </c>
      <c r="N200" s="110" t="str">
        <f t="shared" si="141"/>
        <v/>
      </c>
      <c r="O200" s="110" t="str">
        <f t="shared" si="141"/>
        <v/>
      </c>
      <c r="P200" s="110" t="str">
        <f t="shared" si="141"/>
        <v/>
      </c>
      <c r="Q200" s="110" t="str">
        <f t="shared" si="141"/>
        <v/>
      </c>
      <c r="R200" s="110" t="str">
        <f t="shared" si="141"/>
        <v/>
      </c>
      <c r="S200" s="110" t="str">
        <f t="shared" si="141"/>
        <v/>
      </c>
      <c r="T200" s="110" t="str">
        <f t="shared" si="141"/>
        <v/>
      </c>
      <c r="U200" s="110" t="str">
        <f t="shared" si="141"/>
        <v/>
      </c>
      <c r="V200" s="110" t="str">
        <f t="shared" ref="V200:W200" si="142">V194&amp;"     "</f>
        <v>Nuevo     </v>
      </c>
      <c r="W200" s="112" t="str">
        <f t="shared" si="142"/>
        <v>Activa     </v>
      </c>
    </row>
    <row r="201" ht="49.5" customHeight="1">
      <c r="A201" s="110" t="s">
        <v>63</v>
      </c>
      <c r="B201" s="110" t="s">
        <v>852</v>
      </c>
      <c r="C201" s="110" t="s">
        <v>873</v>
      </c>
      <c r="D201" s="110" t="s">
        <v>873</v>
      </c>
      <c r="E201" s="111" t="s">
        <v>874</v>
      </c>
      <c r="F201" s="114" t="str">
        <f>"     "&amp;F194</f>
        <v>     Pack Short Niño Drb 2.40.36 Futbol</v>
      </c>
      <c r="G201" s="110" t="s">
        <v>875</v>
      </c>
      <c r="H201" s="113">
        <v>10.0</v>
      </c>
      <c r="I201" s="110" t="s">
        <v>70</v>
      </c>
      <c r="J201" s="112">
        <f>J194</f>
        <v>9990</v>
      </c>
      <c r="K201" s="110" t="str">
        <f>K194&amp;"     "</f>
        <v>$     </v>
      </c>
      <c r="L201" s="110" t="str">
        <f t="shared" ref="L201:U201" si="143">L194</f>
        <v/>
      </c>
      <c r="M201" s="110" t="str">
        <f t="shared" si="143"/>
        <v/>
      </c>
      <c r="N201" s="110" t="str">
        <f t="shared" si="143"/>
        <v/>
      </c>
      <c r="O201" s="110" t="str">
        <f t="shared" si="143"/>
        <v/>
      </c>
      <c r="P201" s="110" t="str">
        <f t="shared" si="143"/>
        <v/>
      </c>
      <c r="Q201" s="110" t="str">
        <f t="shared" si="143"/>
        <v/>
      </c>
      <c r="R201" s="110" t="str">
        <f t="shared" si="143"/>
        <v/>
      </c>
      <c r="S201" s="110" t="str">
        <f t="shared" si="143"/>
        <v/>
      </c>
      <c r="T201" s="110" t="str">
        <f t="shared" si="143"/>
        <v/>
      </c>
      <c r="U201" s="110" t="str">
        <f t="shared" si="143"/>
        <v/>
      </c>
      <c r="V201" s="110" t="str">
        <f t="shared" ref="V201:W201" si="144">V194&amp;"     "</f>
        <v>Nuevo     </v>
      </c>
      <c r="W201" s="112" t="str">
        <f t="shared" si="144"/>
        <v>Activa     </v>
      </c>
    </row>
    <row r="202" ht="49.5" customHeight="1">
      <c r="A202" s="110" t="s">
        <v>63</v>
      </c>
      <c r="B202" s="110" t="s">
        <v>876</v>
      </c>
      <c r="C202" s="110"/>
      <c r="D202" s="110"/>
      <c r="E202" s="112" t="s">
        <v>63</v>
      </c>
      <c r="F202" s="111" t="s">
        <v>877</v>
      </c>
      <c r="G202" s="110" t="s">
        <v>70</v>
      </c>
      <c r="H202" s="110" t="s">
        <v>666</v>
      </c>
      <c r="I202" s="110" t="s">
        <v>70</v>
      </c>
      <c r="J202" s="112">
        <v>6690.0</v>
      </c>
      <c r="K202" s="113" t="s">
        <v>71</v>
      </c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 t="s">
        <v>72</v>
      </c>
      <c r="W202" s="112" t="s">
        <v>73</v>
      </c>
    </row>
    <row r="203" ht="49.5" customHeight="1">
      <c r="A203" s="110" t="s">
        <v>63</v>
      </c>
      <c r="B203" s="110" t="s">
        <v>876</v>
      </c>
      <c r="C203" s="110" t="s">
        <v>878</v>
      </c>
      <c r="D203" s="110" t="s">
        <v>878</v>
      </c>
      <c r="E203" s="111" t="s">
        <v>879</v>
      </c>
      <c r="F203" s="114" t="str">
        <f>"     "&amp;F202</f>
        <v>     Pack Media Juvenil 2.20.22 Sin Pie</v>
      </c>
      <c r="G203" s="110" t="s">
        <v>880</v>
      </c>
      <c r="H203" s="113">
        <v>10.0</v>
      </c>
      <c r="I203" s="110" t="s">
        <v>70</v>
      </c>
      <c r="J203" s="112">
        <f>J202</f>
        <v>6690</v>
      </c>
      <c r="K203" s="110" t="str">
        <f>K202&amp;"     "</f>
        <v>$     </v>
      </c>
      <c r="L203" s="110" t="str">
        <f t="shared" ref="L203:U203" si="145">L202</f>
        <v/>
      </c>
      <c r="M203" s="110" t="str">
        <f t="shared" si="145"/>
        <v/>
      </c>
      <c r="N203" s="110" t="str">
        <f t="shared" si="145"/>
        <v/>
      </c>
      <c r="O203" s="110" t="str">
        <f t="shared" si="145"/>
        <v/>
      </c>
      <c r="P203" s="110" t="str">
        <f t="shared" si="145"/>
        <v/>
      </c>
      <c r="Q203" s="110" t="str">
        <f t="shared" si="145"/>
        <v/>
      </c>
      <c r="R203" s="110" t="str">
        <f t="shared" si="145"/>
        <v/>
      </c>
      <c r="S203" s="110" t="str">
        <f t="shared" si="145"/>
        <v/>
      </c>
      <c r="T203" s="110" t="str">
        <f t="shared" si="145"/>
        <v/>
      </c>
      <c r="U203" s="110" t="str">
        <f t="shared" si="145"/>
        <v/>
      </c>
      <c r="V203" s="110" t="str">
        <f t="shared" ref="V203:W203" si="146">V202&amp;"     "</f>
        <v>Nuevo     </v>
      </c>
      <c r="W203" s="112" t="str">
        <f t="shared" si="146"/>
        <v>Activa     </v>
      </c>
    </row>
    <row r="204" ht="49.5" customHeight="1">
      <c r="A204" s="110" t="s">
        <v>63</v>
      </c>
      <c r="B204" s="110" t="s">
        <v>876</v>
      </c>
      <c r="C204" s="110" t="s">
        <v>881</v>
      </c>
      <c r="D204" s="110" t="s">
        <v>881</v>
      </c>
      <c r="E204" s="111" t="s">
        <v>882</v>
      </c>
      <c r="F204" s="114" t="str">
        <f>"     "&amp;F202</f>
        <v>     Pack Media Juvenil 2.20.22 Sin Pie</v>
      </c>
      <c r="G204" s="110" t="s">
        <v>883</v>
      </c>
      <c r="H204" s="113">
        <v>10.0</v>
      </c>
      <c r="I204" s="110" t="s">
        <v>70</v>
      </c>
      <c r="J204" s="112">
        <f>J202</f>
        <v>6690</v>
      </c>
      <c r="K204" s="110" t="str">
        <f>K202&amp;"     "</f>
        <v>$     </v>
      </c>
      <c r="L204" s="110" t="str">
        <f t="shared" ref="L204:U204" si="147">L202</f>
        <v/>
      </c>
      <c r="M204" s="110" t="str">
        <f t="shared" si="147"/>
        <v/>
      </c>
      <c r="N204" s="110" t="str">
        <f t="shared" si="147"/>
        <v/>
      </c>
      <c r="O204" s="110" t="str">
        <f t="shared" si="147"/>
        <v/>
      </c>
      <c r="P204" s="110" t="str">
        <f t="shared" si="147"/>
        <v/>
      </c>
      <c r="Q204" s="110" t="str">
        <f t="shared" si="147"/>
        <v/>
      </c>
      <c r="R204" s="110" t="str">
        <f t="shared" si="147"/>
        <v/>
      </c>
      <c r="S204" s="110" t="str">
        <f t="shared" si="147"/>
        <v/>
      </c>
      <c r="T204" s="110" t="str">
        <f t="shared" si="147"/>
        <v/>
      </c>
      <c r="U204" s="110" t="str">
        <f t="shared" si="147"/>
        <v/>
      </c>
      <c r="V204" s="110" t="str">
        <f t="shared" ref="V204:W204" si="148">V202&amp;"     "</f>
        <v>Nuevo     </v>
      </c>
      <c r="W204" s="112" t="str">
        <f t="shared" si="148"/>
        <v>Activa     </v>
      </c>
    </row>
    <row r="205" ht="49.5" customHeight="1">
      <c r="A205" s="110" t="s">
        <v>63</v>
      </c>
      <c r="B205" s="110" t="s">
        <v>876</v>
      </c>
      <c r="C205" s="110" t="s">
        <v>884</v>
      </c>
      <c r="D205" s="110" t="s">
        <v>884</v>
      </c>
      <c r="E205" s="111" t="s">
        <v>885</v>
      </c>
      <c r="F205" s="114" t="str">
        <f>"     "&amp;F202</f>
        <v>     Pack Media Juvenil 2.20.22 Sin Pie</v>
      </c>
      <c r="G205" s="110" t="s">
        <v>886</v>
      </c>
      <c r="H205" s="113">
        <v>10.0</v>
      </c>
      <c r="I205" s="110" t="s">
        <v>70</v>
      </c>
      <c r="J205" s="112">
        <f>J202</f>
        <v>6690</v>
      </c>
      <c r="K205" s="110" t="str">
        <f>K202&amp;"     "</f>
        <v>$     </v>
      </c>
      <c r="L205" s="110" t="str">
        <f t="shared" ref="L205:U205" si="149">L202</f>
        <v/>
      </c>
      <c r="M205" s="110" t="str">
        <f t="shared" si="149"/>
        <v/>
      </c>
      <c r="N205" s="110" t="str">
        <f t="shared" si="149"/>
        <v/>
      </c>
      <c r="O205" s="110" t="str">
        <f t="shared" si="149"/>
        <v/>
      </c>
      <c r="P205" s="110" t="str">
        <f t="shared" si="149"/>
        <v/>
      </c>
      <c r="Q205" s="110" t="str">
        <f t="shared" si="149"/>
        <v/>
      </c>
      <c r="R205" s="110" t="str">
        <f t="shared" si="149"/>
        <v/>
      </c>
      <c r="S205" s="110" t="str">
        <f t="shared" si="149"/>
        <v/>
      </c>
      <c r="T205" s="110" t="str">
        <f t="shared" si="149"/>
        <v/>
      </c>
      <c r="U205" s="110" t="str">
        <f t="shared" si="149"/>
        <v/>
      </c>
      <c r="V205" s="110" t="str">
        <f t="shared" ref="V205:W205" si="150">V202&amp;"     "</f>
        <v>Nuevo     </v>
      </c>
      <c r="W205" s="112" t="str">
        <f t="shared" si="150"/>
        <v>Activa     </v>
      </c>
    </row>
    <row r="206" ht="49.5" customHeight="1">
      <c r="A206" s="110" t="s">
        <v>63</v>
      </c>
      <c r="B206" s="110" t="s">
        <v>876</v>
      </c>
      <c r="C206" s="110" t="s">
        <v>887</v>
      </c>
      <c r="D206" s="110" t="s">
        <v>887</v>
      </c>
      <c r="E206" s="111" t="s">
        <v>888</v>
      </c>
      <c r="F206" s="114" t="str">
        <f>"     "&amp;F202</f>
        <v>     Pack Media Juvenil 2.20.22 Sin Pie</v>
      </c>
      <c r="G206" s="110" t="s">
        <v>889</v>
      </c>
      <c r="H206" s="113">
        <v>10.0</v>
      </c>
      <c r="I206" s="110" t="s">
        <v>70</v>
      </c>
      <c r="J206" s="112">
        <f>J202</f>
        <v>6690</v>
      </c>
      <c r="K206" s="110" t="str">
        <f>K202&amp;"     "</f>
        <v>$     </v>
      </c>
      <c r="L206" s="110" t="str">
        <f t="shared" ref="L206:U206" si="151">L202</f>
        <v/>
      </c>
      <c r="M206" s="110" t="str">
        <f t="shared" si="151"/>
        <v/>
      </c>
      <c r="N206" s="110" t="str">
        <f t="shared" si="151"/>
        <v/>
      </c>
      <c r="O206" s="110" t="str">
        <f t="shared" si="151"/>
        <v/>
      </c>
      <c r="P206" s="110" t="str">
        <f t="shared" si="151"/>
        <v/>
      </c>
      <c r="Q206" s="110" t="str">
        <f t="shared" si="151"/>
        <v/>
      </c>
      <c r="R206" s="110" t="str">
        <f t="shared" si="151"/>
        <v/>
      </c>
      <c r="S206" s="110" t="str">
        <f t="shared" si="151"/>
        <v/>
      </c>
      <c r="T206" s="110" t="str">
        <f t="shared" si="151"/>
        <v/>
      </c>
      <c r="U206" s="110" t="str">
        <f t="shared" si="151"/>
        <v/>
      </c>
      <c r="V206" s="110" t="str">
        <f t="shared" ref="V206:W206" si="152">V202&amp;"     "</f>
        <v>Nuevo     </v>
      </c>
      <c r="W206" s="112" t="str">
        <f t="shared" si="152"/>
        <v>Activa     </v>
      </c>
    </row>
    <row r="207" ht="49.5" customHeight="1">
      <c r="A207" s="110" t="s">
        <v>890</v>
      </c>
      <c r="B207" s="110" t="s">
        <v>891</v>
      </c>
      <c r="C207" s="110" t="s">
        <v>892</v>
      </c>
      <c r="D207" s="110"/>
      <c r="E207" s="111" t="s">
        <v>893</v>
      </c>
      <c r="F207" s="111" t="s">
        <v>894</v>
      </c>
      <c r="G207" s="110" t="s">
        <v>895</v>
      </c>
      <c r="H207" s="113">
        <v>10.0</v>
      </c>
      <c r="I207" s="110" t="s">
        <v>70</v>
      </c>
      <c r="J207" s="112">
        <v>14190.0</v>
      </c>
      <c r="K207" s="113" t="s">
        <v>71</v>
      </c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 t="s">
        <v>72</v>
      </c>
      <c r="W207" s="112" t="s">
        <v>73</v>
      </c>
    </row>
    <row r="208" ht="49.5" customHeight="1">
      <c r="A208" s="110" t="s">
        <v>63</v>
      </c>
      <c r="B208" s="110" t="s">
        <v>896</v>
      </c>
      <c r="C208" s="110"/>
      <c r="D208" s="110"/>
      <c r="E208" s="112" t="s">
        <v>63</v>
      </c>
      <c r="F208" s="111" t="s">
        <v>897</v>
      </c>
      <c r="G208" s="110" t="s">
        <v>70</v>
      </c>
      <c r="H208" s="110" t="s">
        <v>321</v>
      </c>
      <c r="I208" s="110" t="s">
        <v>70</v>
      </c>
      <c r="J208" s="112">
        <v>7590.0</v>
      </c>
      <c r="K208" s="113" t="s">
        <v>71</v>
      </c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 t="s">
        <v>72</v>
      </c>
      <c r="W208" s="112" t="s">
        <v>73</v>
      </c>
    </row>
    <row r="209" ht="49.5" customHeight="1">
      <c r="A209" s="110" t="s">
        <v>63</v>
      </c>
      <c r="B209" s="110" t="s">
        <v>896</v>
      </c>
      <c r="C209" s="110" t="s">
        <v>898</v>
      </c>
      <c r="D209" s="110" t="s">
        <v>898</v>
      </c>
      <c r="E209" s="111" t="s">
        <v>899</v>
      </c>
      <c r="F209" s="114" t="str">
        <f>"     "&amp;F208</f>
        <v>     Tripack Media Adulto 2.20.14 - Lisa Team</v>
      </c>
      <c r="G209" s="110" t="s">
        <v>900</v>
      </c>
      <c r="H209" s="113">
        <v>10.0</v>
      </c>
      <c r="I209" s="110" t="s">
        <v>70</v>
      </c>
      <c r="J209" s="112">
        <f>J208</f>
        <v>7590</v>
      </c>
      <c r="K209" s="110" t="str">
        <f>K208&amp;"     "</f>
        <v>$     </v>
      </c>
      <c r="L209" s="110" t="str">
        <f t="shared" ref="L209:U209" si="153">L208</f>
        <v/>
      </c>
      <c r="M209" s="110" t="str">
        <f t="shared" si="153"/>
        <v/>
      </c>
      <c r="N209" s="110" t="str">
        <f t="shared" si="153"/>
        <v/>
      </c>
      <c r="O209" s="110" t="str">
        <f t="shared" si="153"/>
        <v/>
      </c>
      <c r="P209" s="110" t="str">
        <f t="shared" si="153"/>
        <v/>
      </c>
      <c r="Q209" s="110" t="str">
        <f t="shared" si="153"/>
        <v/>
      </c>
      <c r="R209" s="110" t="str">
        <f t="shared" si="153"/>
        <v/>
      </c>
      <c r="S209" s="110" t="str">
        <f t="shared" si="153"/>
        <v/>
      </c>
      <c r="T209" s="110" t="str">
        <f t="shared" si="153"/>
        <v/>
      </c>
      <c r="U209" s="110" t="str">
        <f t="shared" si="153"/>
        <v/>
      </c>
      <c r="V209" s="110" t="str">
        <f t="shared" ref="V209:W209" si="154">V208&amp;"     "</f>
        <v>Nuevo     </v>
      </c>
      <c r="W209" s="112" t="str">
        <f t="shared" si="154"/>
        <v>Activa     </v>
      </c>
    </row>
    <row r="210" ht="49.5" customHeight="1">
      <c r="A210" s="110" t="s">
        <v>63</v>
      </c>
      <c r="B210" s="110" t="s">
        <v>896</v>
      </c>
      <c r="C210" s="110" t="s">
        <v>901</v>
      </c>
      <c r="D210" s="110" t="s">
        <v>901</v>
      </c>
      <c r="E210" s="111" t="s">
        <v>902</v>
      </c>
      <c r="F210" s="114" t="str">
        <f>"     "&amp;F208</f>
        <v>     Tripack Media Adulto 2.20.14 - Lisa Team</v>
      </c>
      <c r="G210" s="110" t="s">
        <v>903</v>
      </c>
      <c r="H210" s="113">
        <v>10.0</v>
      </c>
      <c r="I210" s="110" t="s">
        <v>70</v>
      </c>
      <c r="J210" s="112">
        <f>J208</f>
        <v>7590</v>
      </c>
      <c r="K210" s="110" t="str">
        <f>K208&amp;"     "</f>
        <v>$     </v>
      </c>
      <c r="L210" s="110" t="str">
        <f t="shared" ref="L210:U210" si="155">L208</f>
        <v/>
      </c>
      <c r="M210" s="110" t="str">
        <f t="shared" si="155"/>
        <v/>
      </c>
      <c r="N210" s="110" t="str">
        <f t="shared" si="155"/>
        <v/>
      </c>
      <c r="O210" s="110" t="str">
        <f t="shared" si="155"/>
        <v/>
      </c>
      <c r="P210" s="110" t="str">
        <f t="shared" si="155"/>
        <v/>
      </c>
      <c r="Q210" s="110" t="str">
        <f t="shared" si="155"/>
        <v/>
      </c>
      <c r="R210" s="110" t="str">
        <f t="shared" si="155"/>
        <v/>
      </c>
      <c r="S210" s="110" t="str">
        <f t="shared" si="155"/>
        <v/>
      </c>
      <c r="T210" s="110" t="str">
        <f t="shared" si="155"/>
        <v/>
      </c>
      <c r="U210" s="110" t="str">
        <f t="shared" si="155"/>
        <v/>
      </c>
      <c r="V210" s="110" t="str">
        <f t="shared" ref="V210:W210" si="156">V208&amp;"     "</f>
        <v>Nuevo     </v>
      </c>
      <c r="W210" s="112" t="str">
        <f t="shared" si="156"/>
        <v>Activa     </v>
      </c>
    </row>
    <row r="211" ht="49.5" customHeight="1">
      <c r="A211" s="110" t="s">
        <v>63</v>
      </c>
      <c r="B211" s="110" t="s">
        <v>896</v>
      </c>
      <c r="C211" s="110" t="s">
        <v>904</v>
      </c>
      <c r="D211" s="110" t="s">
        <v>904</v>
      </c>
      <c r="E211" s="111" t="s">
        <v>905</v>
      </c>
      <c r="F211" s="114" t="str">
        <f>"     "&amp;F208</f>
        <v>     Tripack Media Adulto 2.20.14 - Lisa Team</v>
      </c>
      <c r="G211" s="110" t="s">
        <v>906</v>
      </c>
      <c r="H211" s="113">
        <v>10.0</v>
      </c>
      <c r="I211" s="110" t="s">
        <v>70</v>
      </c>
      <c r="J211" s="112">
        <f>J208</f>
        <v>7590</v>
      </c>
      <c r="K211" s="110" t="str">
        <f>K208&amp;"     "</f>
        <v>$     </v>
      </c>
      <c r="L211" s="110" t="str">
        <f t="shared" ref="L211:U211" si="157">L208</f>
        <v/>
      </c>
      <c r="M211" s="110" t="str">
        <f t="shared" si="157"/>
        <v/>
      </c>
      <c r="N211" s="110" t="str">
        <f t="shared" si="157"/>
        <v/>
      </c>
      <c r="O211" s="110" t="str">
        <f t="shared" si="157"/>
        <v/>
      </c>
      <c r="P211" s="110" t="str">
        <f t="shared" si="157"/>
        <v/>
      </c>
      <c r="Q211" s="110" t="str">
        <f t="shared" si="157"/>
        <v/>
      </c>
      <c r="R211" s="110" t="str">
        <f t="shared" si="157"/>
        <v/>
      </c>
      <c r="S211" s="110" t="str">
        <f t="shared" si="157"/>
        <v/>
      </c>
      <c r="T211" s="110" t="str">
        <f t="shared" si="157"/>
        <v/>
      </c>
      <c r="U211" s="110" t="str">
        <f t="shared" si="157"/>
        <v/>
      </c>
      <c r="V211" s="110" t="str">
        <f t="shared" ref="V211:W211" si="158">V208&amp;"     "</f>
        <v>Nuevo     </v>
      </c>
      <c r="W211" s="112" t="str">
        <f t="shared" si="158"/>
        <v>Activa     </v>
      </c>
    </row>
    <row r="212" ht="49.5" customHeight="1">
      <c r="A212" s="110" t="s">
        <v>907</v>
      </c>
      <c r="B212" s="110" t="s">
        <v>908</v>
      </c>
      <c r="C212" s="110" t="s">
        <v>909</v>
      </c>
      <c r="D212" s="110"/>
      <c r="E212" s="111" t="s">
        <v>910</v>
      </c>
      <c r="F212" s="111" t="s">
        <v>911</v>
      </c>
      <c r="G212" s="110" t="s">
        <v>463</v>
      </c>
      <c r="H212" s="113">
        <v>1.0</v>
      </c>
      <c r="I212" s="110" t="s">
        <v>70</v>
      </c>
      <c r="J212" s="112">
        <v>35090.0</v>
      </c>
      <c r="K212" s="113" t="s">
        <v>71</v>
      </c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 t="s">
        <v>72</v>
      </c>
      <c r="W212" s="112" t="s">
        <v>73</v>
      </c>
    </row>
    <row r="213" ht="49.5" customHeight="1">
      <c r="A213" s="110" t="s">
        <v>912</v>
      </c>
      <c r="B213" s="110" t="s">
        <v>913</v>
      </c>
      <c r="C213" s="110" t="s">
        <v>914</v>
      </c>
      <c r="D213" s="110"/>
      <c r="E213" s="111" t="s">
        <v>915</v>
      </c>
      <c r="F213" s="111" t="s">
        <v>916</v>
      </c>
      <c r="G213" s="110" t="s">
        <v>271</v>
      </c>
      <c r="H213" s="113">
        <v>1.0</v>
      </c>
      <c r="I213" s="110" t="s">
        <v>70</v>
      </c>
      <c r="J213" s="112">
        <v>14990.0</v>
      </c>
      <c r="K213" s="113" t="s">
        <v>71</v>
      </c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 t="s">
        <v>72</v>
      </c>
      <c r="W213" s="112" t="s">
        <v>73</v>
      </c>
    </row>
    <row r="214" ht="49.5" customHeight="1">
      <c r="A214" s="110" t="s">
        <v>363</v>
      </c>
      <c r="B214" s="110" t="s">
        <v>917</v>
      </c>
      <c r="C214" s="110" t="s">
        <v>365</v>
      </c>
      <c r="D214" s="110"/>
      <c r="E214" s="111" t="s">
        <v>366</v>
      </c>
      <c r="F214" s="112" t="s">
        <v>918</v>
      </c>
      <c r="G214" s="110" t="s">
        <v>70</v>
      </c>
      <c r="H214" s="113">
        <v>30.0</v>
      </c>
      <c r="I214" s="110" t="s">
        <v>70</v>
      </c>
      <c r="J214" s="112">
        <v>17190.0</v>
      </c>
      <c r="K214" s="113" t="s">
        <v>71</v>
      </c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0" t="s">
        <v>72</v>
      </c>
      <c r="W214" s="112" t="s">
        <v>73</v>
      </c>
    </row>
    <row r="215" ht="49.5" customHeight="1">
      <c r="A215" s="110" t="s">
        <v>919</v>
      </c>
      <c r="B215" s="110" t="s">
        <v>920</v>
      </c>
      <c r="C215" s="110" t="s">
        <v>921</v>
      </c>
      <c r="D215" s="110"/>
      <c r="E215" s="111" t="s">
        <v>922</v>
      </c>
      <c r="F215" s="111" t="s">
        <v>923</v>
      </c>
      <c r="G215" s="110" t="s">
        <v>79</v>
      </c>
      <c r="H215" s="113">
        <v>30.0</v>
      </c>
      <c r="I215" s="110" t="s">
        <v>70</v>
      </c>
      <c r="J215" s="112">
        <v>1164990.0</v>
      </c>
      <c r="K215" s="113" t="s">
        <v>71</v>
      </c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 t="s">
        <v>72</v>
      </c>
      <c r="W215" s="112" t="s">
        <v>73</v>
      </c>
    </row>
    <row r="216" ht="49.5" customHeight="1">
      <c r="A216" s="110" t="s">
        <v>924</v>
      </c>
      <c r="B216" s="110" t="s">
        <v>925</v>
      </c>
      <c r="C216" s="110" t="s">
        <v>926</v>
      </c>
      <c r="D216" s="110"/>
      <c r="E216" s="111" t="s">
        <v>927</v>
      </c>
      <c r="F216" s="111" t="s">
        <v>928</v>
      </c>
      <c r="G216" s="110" t="s">
        <v>928</v>
      </c>
      <c r="H216" s="113">
        <v>10.0</v>
      </c>
      <c r="I216" s="110" t="s">
        <v>70</v>
      </c>
      <c r="J216" s="112">
        <v>19490.0</v>
      </c>
      <c r="K216" s="113" t="s">
        <v>71</v>
      </c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 t="s">
        <v>72</v>
      </c>
      <c r="W216" s="112" t="s">
        <v>73</v>
      </c>
    </row>
    <row r="217" ht="49.5" customHeight="1">
      <c r="A217" s="110" t="s">
        <v>929</v>
      </c>
      <c r="B217" s="110" t="s">
        <v>930</v>
      </c>
      <c r="C217" s="110" t="s">
        <v>931</v>
      </c>
      <c r="D217" s="110"/>
      <c r="E217" s="111" t="s">
        <v>932</v>
      </c>
      <c r="F217" s="111" t="s">
        <v>933</v>
      </c>
      <c r="G217" s="110" t="s">
        <v>79</v>
      </c>
      <c r="H217" s="113">
        <v>30.0</v>
      </c>
      <c r="I217" s="110" t="s">
        <v>70</v>
      </c>
      <c r="J217" s="112">
        <v>60490.0</v>
      </c>
      <c r="K217" s="113" t="s">
        <v>71</v>
      </c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 t="s">
        <v>72</v>
      </c>
      <c r="W217" s="112" t="s">
        <v>73</v>
      </c>
    </row>
    <row r="218" ht="49.5" customHeight="1">
      <c r="A218" s="110" t="s">
        <v>934</v>
      </c>
      <c r="B218" s="110" t="s">
        <v>935</v>
      </c>
      <c r="C218" s="110" t="s">
        <v>936</v>
      </c>
      <c r="D218" s="110"/>
      <c r="E218" s="111" t="s">
        <v>937</v>
      </c>
      <c r="F218" s="111" t="s">
        <v>938</v>
      </c>
      <c r="G218" s="110" t="s">
        <v>939</v>
      </c>
      <c r="H218" s="113">
        <v>30.0</v>
      </c>
      <c r="I218" s="110" t="s">
        <v>70</v>
      </c>
      <c r="J218" s="112">
        <v>271990.0</v>
      </c>
      <c r="K218" s="113" t="s">
        <v>71</v>
      </c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 t="s">
        <v>72</v>
      </c>
      <c r="W218" s="112" t="s">
        <v>73</v>
      </c>
    </row>
    <row r="219" ht="49.5" customHeight="1">
      <c r="A219" s="110" t="s">
        <v>940</v>
      </c>
      <c r="B219" s="110" t="s">
        <v>941</v>
      </c>
      <c r="C219" s="110" t="s">
        <v>942</v>
      </c>
      <c r="D219" s="110"/>
      <c r="E219" s="111" t="s">
        <v>943</v>
      </c>
      <c r="F219" s="111" t="s">
        <v>944</v>
      </c>
      <c r="G219" s="110" t="s">
        <v>939</v>
      </c>
      <c r="H219" s="113">
        <v>30.0</v>
      </c>
      <c r="I219" s="110" t="s">
        <v>70</v>
      </c>
      <c r="J219" s="112">
        <v>2172390.0</v>
      </c>
      <c r="K219" s="113" t="s">
        <v>71</v>
      </c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 t="s">
        <v>72</v>
      </c>
      <c r="W219" s="112" t="s">
        <v>73</v>
      </c>
    </row>
    <row r="220" ht="49.5" customHeight="1">
      <c r="A220" s="110" t="s">
        <v>945</v>
      </c>
      <c r="B220" s="110" t="s">
        <v>946</v>
      </c>
      <c r="C220" s="110" t="s">
        <v>947</v>
      </c>
      <c r="D220" s="110"/>
      <c r="E220" s="111" t="s">
        <v>948</v>
      </c>
      <c r="F220" s="111" t="s">
        <v>949</v>
      </c>
      <c r="G220" s="110" t="s">
        <v>939</v>
      </c>
      <c r="H220" s="113">
        <v>30.0</v>
      </c>
      <c r="I220" s="110" t="s">
        <v>70</v>
      </c>
      <c r="J220" s="112">
        <v>505090.0</v>
      </c>
      <c r="K220" s="113" t="s">
        <v>71</v>
      </c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 t="s">
        <v>72</v>
      </c>
      <c r="W220" s="112" t="s">
        <v>73</v>
      </c>
    </row>
    <row r="221" ht="49.5" customHeight="1">
      <c r="A221" s="110" t="s">
        <v>950</v>
      </c>
      <c r="B221" s="110" t="s">
        <v>951</v>
      </c>
      <c r="C221" s="110" t="s">
        <v>952</v>
      </c>
      <c r="D221" s="110"/>
      <c r="E221" s="111" t="s">
        <v>953</v>
      </c>
      <c r="F221" s="111" t="s">
        <v>954</v>
      </c>
      <c r="G221" s="110" t="s">
        <v>79</v>
      </c>
      <c r="H221" s="113">
        <v>30.0</v>
      </c>
      <c r="I221" s="110" t="s">
        <v>70</v>
      </c>
      <c r="J221" s="112">
        <v>271290.0</v>
      </c>
      <c r="K221" s="113" t="s">
        <v>71</v>
      </c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 t="s">
        <v>72</v>
      </c>
      <c r="W221" s="112" t="s">
        <v>73</v>
      </c>
    </row>
    <row r="222" ht="49.5" customHeight="1">
      <c r="A222" s="110" t="s">
        <v>955</v>
      </c>
      <c r="B222" s="110" t="s">
        <v>956</v>
      </c>
      <c r="C222" s="110" t="s">
        <v>957</v>
      </c>
      <c r="D222" s="110"/>
      <c r="E222" s="111" t="s">
        <v>958</v>
      </c>
      <c r="F222" s="111" t="s">
        <v>959</v>
      </c>
      <c r="G222" s="110" t="s">
        <v>79</v>
      </c>
      <c r="H222" s="113">
        <v>30.0</v>
      </c>
      <c r="I222" s="110" t="s">
        <v>70</v>
      </c>
      <c r="J222" s="112">
        <v>503190.0</v>
      </c>
      <c r="K222" s="113" t="s">
        <v>71</v>
      </c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 t="s">
        <v>72</v>
      </c>
      <c r="W222" s="112" t="s">
        <v>73</v>
      </c>
    </row>
    <row r="223" ht="49.5" customHeight="1">
      <c r="A223" s="110" t="s">
        <v>960</v>
      </c>
      <c r="B223" s="110" t="s">
        <v>961</v>
      </c>
      <c r="C223" s="110" t="s">
        <v>962</v>
      </c>
      <c r="D223" s="110"/>
      <c r="E223" s="111" t="s">
        <v>963</v>
      </c>
      <c r="F223" s="111" t="s">
        <v>964</v>
      </c>
      <c r="G223" s="110" t="s">
        <v>79</v>
      </c>
      <c r="H223" s="113">
        <v>30.0</v>
      </c>
      <c r="I223" s="110" t="s">
        <v>70</v>
      </c>
      <c r="J223" s="112">
        <v>2164790.0</v>
      </c>
      <c r="K223" s="113" t="s">
        <v>71</v>
      </c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 t="s">
        <v>72</v>
      </c>
      <c r="W223" s="112" t="s">
        <v>73</v>
      </c>
    </row>
    <row r="224" ht="49.5" customHeight="1">
      <c r="A224" s="110" t="s">
        <v>965</v>
      </c>
      <c r="B224" s="110" t="s">
        <v>966</v>
      </c>
      <c r="C224" s="110" t="s">
        <v>967</v>
      </c>
      <c r="D224" s="110"/>
      <c r="E224" s="111" t="s">
        <v>968</v>
      </c>
      <c r="F224" s="111" t="s">
        <v>969</v>
      </c>
      <c r="G224" s="110" t="s">
        <v>939</v>
      </c>
      <c r="H224" s="113">
        <v>30.0</v>
      </c>
      <c r="I224" s="110" t="s">
        <v>70</v>
      </c>
      <c r="J224" s="112">
        <v>1170790.0</v>
      </c>
      <c r="K224" s="113" t="s">
        <v>71</v>
      </c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 t="s">
        <v>72</v>
      </c>
      <c r="W224" s="112" t="s">
        <v>73</v>
      </c>
    </row>
    <row r="225" ht="49.5" customHeight="1">
      <c r="A225" s="110" t="s">
        <v>970</v>
      </c>
      <c r="B225" s="110" t="s">
        <v>971</v>
      </c>
      <c r="C225" s="110" t="s">
        <v>972</v>
      </c>
      <c r="D225" s="110"/>
      <c r="E225" s="111" t="s">
        <v>973</v>
      </c>
      <c r="F225" s="111" t="s">
        <v>974</v>
      </c>
      <c r="G225" s="110" t="s">
        <v>271</v>
      </c>
      <c r="H225" s="113">
        <v>10.0</v>
      </c>
      <c r="I225" s="110" t="s">
        <v>70</v>
      </c>
      <c r="J225" s="112">
        <v>27790.0</v>
      </c>
      <c r="K225" s="113" t="s">
        <v>71</v>
      </c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 t="s">
        <v>72</v>
      </c>
      <c r="W225" s="112" t="s">
        <v>73</v>
      </c>
    </row>
    <row r="226" ht="49.5" customHeight="1">
      <c r="A226" s="110" t="s">
        <v>975</v>
      </c>
      <c r="B226" s="110" t="s">
        <v>976</v>
      </c>
      <c r="C226" s="110" t="s">
        <v>977</v>
      </c>
      <c r="D226" s="110"/>
      <c r="E226" s="111" t="s">
        <v>978</v>
      </c>
      <c r="F226" s="111" t="s">
        <v>979</v>
      </c>
      <c r="G226" s="110" t="s">
        <v>84</v>
      </c>
      <c r="H226" s="113">
        <v>30.0</v>
      </c>
      <c r="I226" s="110" t="s">
        <v>70</v>
      </c>
      <c r="J226" s="112">
        <v>17090.0</v>
      </c>
      <c r="K226" s="113" t="s">
        <v>71</v>
      </c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 t="s">
        <v>72</v>
      </c>
      <c r="W226" s="112" t="s">
        <v>73</v>
      </c>
    </row>
    <row r="227" ht="49.5" customHeight="1">
      <c r="A227" s="110" t="s">
        <v>980</v>
      </c>
      <c r="B227" s="110" t="s">
        <v>981</v>
      </c>
      <c r="C227" s="110" t="s">
        <v>982</v>
      </c>
      <c r="D227" s="110"/>
      <c r="E227" s="111" t="s">
        <v>983</v>
      </c>
      <c r="F227" s="111" t="s">
        <v>984</v>
      </c>
      <c r="G227" s="110" t="s">
        <v>165</v>
      </c>
      <c r="H227" s="113">
        <v>10.0</v>
      </c>
      <c r="I227" s="110" t="s">
        <v>70</v>
      </c>
      <c r="J227" s="112">
        <v>26190.0</v>
      </c>
      <c r="K227" s="113" t="s">
        <v>71</v>
      </c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 t="s">
        <v>72</v>
      </c>
      <c r="W227" s="112" t="s">
        <v>73</v>
      </c>
    </row>
    <row r="228" ht="49.5" customHeight="1">
      <c r="A228" s="110" t="s">
        <v>985</v>
      </c>
      <c r="B228" s="110" t="s">
        <v>986</v>
      </c>
      <c r="C228" s="110" t="s">
        <v>987</v>
      </c>
      <c r="D228" s="110"/>
      <c r="E228" s="111" t="s">
        <v>988</v>
      </c>
      <c r="F228" s="111" t="s">
        <v>989</v>
      </c>
      <c r="G228" s="110" t="s">
        <v>84</v>
      </c>
      <c r="H228" s="113">
        <v>30.0</v>
      </c>
      <c r="I228" s="110" t="s">
        <v>70</v>
      </c>
      <c r="J228" s="112">
        <v>28290.0</v>
      </c>
      <c r="K228" s="113" t="s">
        <v>71</v>
      </c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 t="s">
        <v>72</v>
      </c>
      <c r="W228" s="112" t="s">
        <v>73</v>
      </c>
    </row>
    <row r="229" ht="49.5" customHeight="1">
      <c r="A229" s="110" t="s">
        <v>990</v>
      </c>
      <c r="B229" s="110" t="s">
        <v>991</v>
      </c>
      <c r="C229" s="110" t="s">
        <v>992</v>
      </c>
      <c r="D229" s="110"/>
      <c r="E229" s="111" t="s">
        <v>993</v>
      </c>
      <c r="F229" s="111" t="s">
        <v>994</v>
      </c>
      <c r="G229" s="110" t="s">
        <v>995</v>
      </c>
      <c r="H229" s="113">
        <v>10.0</v>
      </c>
      <c r="I229" s="110" t="s">
        <v>70</v>
      </c>
      <c r="J229" s="112">
        <v>25890.0</v>
      </c>
      <c r="K229" s="113" t="s">
        <v>71</v>
      </c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 t="s">
        <v>72</v>
      </c>
      <c r="W229" s="112" t="s">
        <v>73</v>
      </c>
    </row>
    <row r="230" ht="49.5" customHeight="1">
      <c r="A230" s="110" t="s">
        <v>996</v>
      </c>
      <c r="B230" s="110" t="s">
        <v>997</v>
      </c>
      <c r="C230" s="110" t="s">
        <v>998</v>
      </c>
      <c r="D230" s="110"/>
      <c r="E230" s="111" t="s">
        <v>999</v>
      </c>
      <c r="F230" s="111" t="s">
        <v>1000</v>
      </c>
      <c r="G230" s="110" t="s">
        <v>138</v>
      </c>
      <c r="H230" s="113">
        <v>30.0</v>
      </c>
      <c r="I230" s="110" t="s">
        <v>70</v>
      </c>
      <c r="J230" s="112">
        <v>41590.0</v>
      </c>
      <c r="K230" s="113" t="s">
        <v>71</v>
      </c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 t="s">
        <v>72</v>
      </c>
      <c r="W230" s="112" t="s">
        <v>73</v>
      </c>
    </row>
    <row r="231" ht="49.5" customHeight="1">
      <c r="A231" s="110" t="s">
        <v>1001</v>
      </c>
      <c r="B231" s="110" t="s">
        <v>1002</v>
      </c>
      <c r="C231" s="110" t="s">
        <v>1003</v>
      </c>
      <c r="D231" s="110"/>
      <c r="E231" s="111" t="s">
        <v>1004</v>
      </c>
      <c r="F231" s="111" t="s">
        <v>1005</v>
      </c>
      <c r="G231" s="110" t="s">
        <v>138</v>
      </c>
      <c r="H231" s="113">
        <v>30.0</v>
      </c>
      <c r="I231" s="110" t="s">
        <v>70</v>
      </c>
      <c r="J231" s="112">
        <v>16690.0</v>
      </c>
      <c r="K231" s="113" t="s">
        <v>71</v>
      </c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 t="s">
        <v>72</v>
      </c>
      <c r="W231" s="112" t="s">
        <v>73</v>
      </c>
    </row>
    <row r="232" ht="49.5" customHeight="1">
      <c r="A232" s="110" t="s">
        <v>1006</v>
      </c>
      <c r="B232" s="110" t="s">
        <v>1007</v>
      </c>
      <c r="C232" s="110" t="s">
        <v>1008</v>
      </c>
      <c r="D232" s="110"/>
      <c r="E232" s="111" t="s">
        <v>1009</v>
      </c>
      <c r="F232" s="111" t="s">
        <v>1010</v>
      </c>
      <c r="G232" s="110" t="s">
        <v>165</v>
      </c>
      <c r="H232" s="113">
        <v>30.0</v>
      </c>
      <c r="I232" s="110" t="s">
        <v>70</v>
      </c>
      <c r="J232" s="112">
        <v>17290.0</v>
      </c>
      <c r="K232" s="113" t="s">
        <v>71</v>
      </c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 t="s">
        <v>72</v>
      </c>
      <c r="W232" s="112" t="s">
        <v>73</v>
      </c>
    </row>
    <row r="233" ht="49.5" customHeight="1">
      <c r="A233" s="110" t="s">
        <v>1011</v>
      </c>
      <c r="B233" s="110" t="s">
        <v>1012</v>
      </c>
      <c r="C233" s="110" t="s">
        <v>1013</v>
      </c>
      <c r="D233" s="110"/>
      <c r="E233" s="111" t="s">
        <v>1014</v>
      </c>
      <c r="F233" s="111" t="s">
        <v>1015</v>
      </c>
      <c r="G233" s="110" t="s">
        <v>84</v>
      </c>
      <c r="H233" s="113">
        <v>30.0</v>
      </c>
      <c r="I233" s="110" t="s">
        <v>70</v>
      </c>
      <c r="J233" s="112">
        <v>27790.0</v>
      </c>
      <c r="K233" s="113" t="s">
        <v>71</v>
      </c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 t="s">
        <v>72</v>
      </c>
      <c r="W233" s="112" t="s">
        <v>73</v>
      </c>
    </row>
    <row r="234" ht="49.5" customHeight="1">
      <c r="A234" s="110" t="s">
        <v>1016</v>
      </c>
      <c r="B234" s="110" t="s">
        <v>1017</v>
      </c>
      <c r="C234" s="110" t="s">
        <v>1018</v>
      </c>
      <c r="D234" s="110"/>
      <c r="E234" s="111" t="s">
        <v>1019</v>
      </c>
      <c r="F234" s="111" t="s">
        <v>1020</v>
      </c>
      <c r="G234" s="110" t="s">
        <v>144</v>
      </c>
      <c r="H234" s="113">
        <v>30.0</v>
      </c>
      <c r="I234" s="110" t="s">
        <v>70</v>
      </c>
      <c r="J234" s="112">
        <v>16690.0</v>
      </c>
      <c r="K234" s="113" t="s">
        <v>71</v>
      </c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 t="s">
        <v>72</v>
      </c>
      <c r="W234" s="112" t="s">
        <v>73</v>
      </c>
    </row>
    <row r="235" ht="49.5" customHeight="1">
      <c r="A235" s="110" t="s">
        <v>1021</v>
      </c>
      <c r="B235" s="110" t="s">
        <v>1022</v>
      </c>
      <c r="C235" s="110" t="s">
        <v>1023</v>
      </c>
      <c r="D235" s="110"/>
      <c r="E235" s="111" t="s">
        <v>1024</v>
      </c>
      <c r="F235" s="111" t="s">
        <v>1025</v>
      </c>
      <c r="G235" s="110" t="s">
        <v>79</v>
      </c>
      <c r="H235" s="113">
        <v>30.0</v>
      </c>
      <c r="I235" s="110" t="s">
        <v>70</v>
      </c>
      <c r="J235" s="112">
        <v>26590.0</v>
      </c>
      <c r="K235" s="113" t="s">
        <v>71</v>
      </c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 t="s">
        <v>72</v>
      </c>
      <c r="W235" s="112" t="s">
        <v>73</v>
      </c>
    </row>
    <row r="236" ht="49.5" customHeight="1">
      <c r="A236" s="110" t="s">
        <v>1026</v>
      </c>
      <c r="B236" s="110" t="s">
        <v>1027</v>
      </c>
      <c r="C236" s="110" t="s">
        <v>1028</v>
      </c>
      <c r="D236" s="110"/>
      <c r="E236" s="111" t="s">
        <v>1029</v>
      </c>
      <c r="F236" s="111" t="s">
        <v>1030</v>
      </c>
      <c r="G236" s="110" t="s">
        <v>308</v>
      </c>
      <c r="H236" s="113">
        <v>30.0</v>
      </c>
      <c r="I236" s="110" t="s">
        <v>70</v>
      </c>
      <c r="J236" s="112">
        <v>32990.0</v>
      </c>
      <c r="K236" s="113" t="s">
        <v>71</v>
      </c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 t="s">
        <v>72</v>
      </c>
      <c r="W236" s="112" t="s">
        <v>73</v>
      </c>
    </row>
    <row r="237" ht="49.5" customHeight="1">
      <c r="A237" s="110" t="s">
        <v>1031</v>
      </c>
      <c r="B237" s="110" t="s">
        <v>1032</v>
      </c>
      <c r="C237" s="110" t="s">
        <v>1033</v>
      </c>
      <c r="D237" s="110"/>
      <c r="E237" s="111" t="s">
        <v>1034</v>
      </c>
      <c r="F237" s="111" t="s">
        <v>1035</v>
      </c>
      <c r="G237" s="110" t="s">
        <v>308</v>
      </c>
      <c r="H237" s="113">
        <v>30.0</v>
      </c>
      <c r="I237" s="110" t="s">
        <v>70</v>
      </c>
      <c r="J237" s="112">
        <v>33690.0</v>
      </c>
      <c r="K237" s="113" t="s">
        <v>71</v>
      </c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 t="s">
        <v>72</v>
      </c>
      <c r="W237" s="112" t="s">
        <v>73</v>
      </c>
    </row>
    <row r="238" ht="49.5" customHeight="1">
      <c r="A238" s="110" t="s">
        <v>1036</v>
      </c>
      <c r="B238" s="110" t="s">
        <v>1037</v>
      </c>
      <c r="C238" s="110" t="s">
        <v>1038</v>
      </c>
      <c r="D238" s="110"/>
      <c r="E238" s="111" t="s">
        <v>1039</v>
      </c>
      <c r="F238" s="111" t="s">
        <v>1040</v>
      </c>
      <c r="G238" s="110" t="s">
        <v>90</v>
      </c>
      <c r="H238" s="113">
        <v>30.0</v>
      </c>
      <c r="I238" s="110" t="s">
        <v>70</v>
      </c>
      <c r="J238" s="112">
        <v>17090.0</v>
      </c>
      <c r="K238" s="113" t="s">
        <v>71</v>
      </c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 t="s">
        <v>72</v>
      </c>
      <c r="W238" s="112" t="s">
        <v>73</v>
      </c>
    </row>
    <row r="239" ht="49.5" customHeight="1">
      <c r="A239" s="110" t="s">
        <v>1041</v>
      </c>
      <c r="B239" s="110" t="s">
        <v>1042</v>
      </c>
      <c r="C239" s="110" t="s">
        <v>1043</v>
      </c>
      <c r="D239" s="110"/>
      <c r="E239" s="111" t="s">
        <v>1044</v>
      </c>
      <c r="F239" s="111" t="s">
        <v>1045</v>
      </c>
      <c r="G239" s="110" t="s">
        <v>165</v>
      </c>
      <c r="H239" s="113">
        <v>30.0</v>
      </c>
      <c r="I239" s="110" t="s">
        <v>70</v>
      </c>
      <c r="J239" s="112">
        <v>41590.0</v>
      </c>
      <c r="K239" s="113" t="s">
        <v>71</v>
      </c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 t="s">
        <v>72</v>
      </c>
      <c r="W239" s="112" t="s">
        <v>73</v>
      </c>
    </row>
    <row r="240" ht="49.5" customHeight="1">
      <c r="A240" s="110" t="s">
        <v>1046</v>
      </c>
      <c r="B240" s="110" t="s">
        <v>1047</v>
      </c>
      <c r="C240" s="110" t="s">
        <v>1048</v>
      </c>
      <c r="D240" s="110"/>
      <c r="E240" s="111" t="s">
        <v>988</v>
      </c>
      <c r="F240" s="111" t="s">
        <v>1049</v>
      </c>
      <c r="G240" s="110" t="s">
        <v>271</v>
      </c>
      <c r="H240" s="113">
        <v>30.0</v>
      </c>
      <c r="I240" s="110" t="s">
        <v>70</v>
      </c>
      <c r="J240" s="112">
        <v>28290.0</v>
      </c>
      <c r="K240" s="113" t="s">
        <v>71</v>
      </c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 t="s">
        <v>72</v>
      </c>
      <c r="W240" s="112" t="s">
        <v>73</v>
      </c>
    </row>
    <row r="241" ht="49.5" customHeight="1">
      <c r="A241" s="110" t="s">
        <v>1050</v>
      </c>
      <c r="B241" s="110" t="s">
        <v>1051</v>
      </c>
      <c r="C241" s="110" t="s">
        <v>1052</v>
      </c>
      <c r="D241" s="110"/>
      <c r="E241" s="111" t="s">
        <v>1053</v>
      </c>
      <c r="F241" s="111" t="s">
        <v>1054</v>
      </c>
      <c r="G241" s="110" t="s">
        <v>165</v>
      </c>
      <c r="H241" s="113">
        <v>30.0</v>
      </c>
      <c r="I241" s="110" t="s">
        <v>70</v>
      </c>
      <c r="J241" s="112">
        <v>16690.0</v>
      </c>
      <c r="K241" s="113" t="s">
        <v>71</v>
      </c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 t="s">
        <v>72</v>
      </c>
      <c r="W241" s="112" t="s">
        <v>73</v>
      </c>
    </row>
    <row r="242" ht="49.5" customHeight="1">
      <c r="A242" s="110" t="s">
        <v>1055</v>
      </c>
      <c r="B242" s="110" t="s">
        <v>1056</v>
      </c>
      <c r="C242" s="110" t="s">
        <v>1057</v>
      </c>
      <c r="D242" s="110"/>
      <c r="E242" s="111" t="s">
        <v>1058</v>
      </c>
      <c r="F242" s="111" t="s">
        <v>1059</v>
      </c>
      <c r="G242" s="110" t="s">
        <v>90</v>
      </c>
      <c r="H242" s="113">
        <v>30.0</v>
      </c>
      <c r="I242" s="110" t="s">
        <v>70</v>
      </c>
      <c r="J242" s="112">
        <v>17090.0</v>
      </c>
      <c r="K242" s="113" t="s">
        <v>71</v>
      </c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 t="s">
        <v>72</v>
      </c>
      <c r="W242" s="112" t="s">
        <v>73</v>
      </c>
    </row>
    <row r="243" ht="49.5" customHeight="1">
      <c r="A243" s="110" t="s">
        <v>1060</v>
      </c>
      <c r="B243" s="110" t="s">
        <v>1061</v>
      </c>
      <c r="C243" s="110" t="s">
        <v>1062</v>
      </c>
      <c r="D243" s="110"/>
      <c r="E243" s="111" t="s">
        <v>1063</v>
      </c>
      <c r="F243" s="111" t="s">
        <v>1064</v>
      </c>
      <c r="G243" s="110" t="s">
        <v>84</v>
      </c>
      <c r="H243" s="113">
        <v>30.0</v>
      </c>
      <c r="I243" s="110" t="s">
        <v>70</v>
      </c>
      <c r="J243" s="112">
        <v>28590.0</v>
      </c>
      <c r="K243" s="113" t="s">
        <v>71</v>
      </c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 t="s">
        <v>72</v>
      </c>
      <c r="W243" s="112" t="s">
        <v>73</v>
      </c>
    </row>
    <row r="244" ht="49.5" customHeight="1">
      <c r="A244" s="110" t="s">
        <v>1065</v>
      </c>
      <c r="B244" s="110" t="s">
        <v>1066</v>
      </c>
      <c r="C244" s="110" t="s">
        <v>1067</v>
      </c>
      <c r="D244" s="110"/>
      <c r="E244" s="111" t="s">
        <v>1068</v>
      </c>
      <c r="F244" s="111" t="s">
        <v>1069</v>
      </c>
      <c r="G244" s="110" t="s">
        <v>165</v>
      </c>
      <c r="H244" s="113">
        <v>30.0</v>
      </c>
      <c r="I244" s="110" t="s">
        <v>70</v>
      </c>
      <c r="J244" s="112">
        <v>16690.0</v>
      </c>
      <c r="K244" s="113" t="s">
        <v>71</v>
      </c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 t="s">
        <v>72</v>
      </c>
      <c r="W244" s="112" t="s">
        <v>73</v>
      </c>
    </row>
    <row r="245" ht="49.5" customHeight="1">
      <c r="A245" s="110" t="s">
        <v>1070</v>
      </c>
      <c r="B245" s="110" t="s">
        <v>1071</v>
      </c>
      <c r="C245" s="110" t="s">
        <v>1072</v>
      </c>
      <c r="D245" s="110"/>
      <c r="E245" s="111" t="s">
        <v>1073</v>
      </c>
      <c r="F245" s="111" t="s">
        <v>1074</v>
      </c>
      <c r="G245" s="110" t="s">
        <v>165</v>
      </c>
      <c r="H245" s="113">
        <v>10.0</v>
      </c>
      <c r="I245" s="110" t="s">
        <v>70</v>
      </c>
      <c r="J245" s="112">
        <v>27590.0</v>
      </c>
      <c r="K245" s="113" t="s">
        <v>71</v>
      </c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 t="s">
        <v>72</v>
      </c>
      <c r="W245" s="112" t="s">
        <v>73</v>
      </c>
    </row>
    <row r="246" ht="49.5" customHeight="1">
      <c r="A246" s="110" t="s">
        <v>1075</v>
      </c>
      <c r="B246" s="110" t="s">
        <v>1076</v>
      </c>
      <c r="C246" s="110" t="s">
        <v>1077</v>
      </c>
      <c r="D246" s="110"/>
      <c r="E246" s="111" t="s">
        <v>1078</v>
      </c>
      <c r="F246" s="111" t="s">
        <v>1079</v>
      </c>
      <c r="G246" s="110" t="s">
        <v>165</v>
      </c>
      <c r="H246" s="113">
        <v>30.0</v>
      </c>
      <c r="I246" s="110" t="s">
        <v>70</v>
      </c>
      <c r="J246" s="112" t="s">
        <v>63</v>
      </c>
      <c r="K246" s="113" t="s">
        <v>71</v>
      </c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 t="s">
        <v>72</v>
      </c>
      <c r="W246" s="112" t="s">
        <v>73</v>
      </c>
    </row>
    <row r="247" ht="49.5" customHeight="1">
      <c r="A247" s="110" t="s">
        <v>1080</v>
      </c>
      <c r="B247" s="110" t="s">
        <v>1081</v>
      </c>
      <c r="C247" s="110" t="s">
        <v>1082</v>
      </c>
      <c r="D247" s="110"/>
      <c r="E247" s="111" t="s">
        <v>1083</v>
      </c>
      <c r="F247" s="111" t="s">
        <v>1084</v>
      </c>
      <c r="G247" s="110" t="s">
        <v>90</v>
      </c>
      <c r="H247" s="113">
        <v>30.0</v>
      </c>
      <c r="I247" s="110" t="s">
        <v>70</v>
      </c>
      <c r="J247" s="112">
        <v>16690.0</v>
      </c>
      <c r="K247" s="113" t="s">
        <v>71</v>
      </c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 t="s">
        <v>72</v>
      </c>
      <c r="W247" s="112" t="s">
        <v>73</v>
      </c>
    </row>
    <row r="248" ht="49.5" customHeight="1">
      <c r="A248" s="110" t="s">
        <v>1085</v>
      </c>
      <c r="B248" s="110" t="s">
        <v>1086</v>
      </c>
      <c r="C248" s="110" t="s">
        <v>1087</v>
      </c>
      <c r="D248" s="110"/>
      <c r="E248" s="111" t="s">
        <v>1088</v>
      </c>
      <c r="F248" s="111" t="s">
        <v>1089</v>
      </c>
      <c r="G248" s="110" t="s">
        <v>1089</v>
      </c>
      <c r="H248" s="113">
        <v>30.0</v>
      </c>
      <c r="I248" s="110" t="s">
        <v>70</v>
      </c>
      <c r="J248" s="112">
        <v>15190.0</v>
      </c>
      <c r="K248" s="113" t="s">
        <v>71</v>
      </c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 t="s">
        <v>72</v>
      </c>
      <c r="W248" s="112" t="s">
        <v>73</v>
      </c>
    </row>
    <row r="249" ht="49.5" customHeight="1">
      <c r="A249" s="110" t="s">
        <v>1090</v>
      </c>
      <c r="B249" s="110" t="s">
        <v>1091</v>
      </c>
      <c r="C249" s="110" t="s">
        <v>1092</v>
      </c>
      <c r="D249" s="110"/>
      <c r="E249" s="111" t="s">
        <v>1093</v>
      </c>
      <c r="F249" s="111" t="s">
        <v>1094</v>
      </c>
      <c r="G249" s="110" t="s">
        <v>1094</v>
      </c>
      <c r="H249" s="113">
        <v>10.0</v>
      </c>
      <c r="I249" s="110" t="s">
        <v>70</v>
      </c>
      <c r="J249" s="112">
        <v>26290.0</v>
      </c>
      <c r="K249" s="113" t="s">
        <v>71</v>
      </c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 t="s">
        <v>72</v>
      </c>
      <c r="W249" s="112" t="s">
        <v>73</v>
      </c>
    </row>
    <row r="250" ht="49.5" customHeight="1">
      <c r="A250" s="110" t="s">
        <v>1095</v>
      </c>
      <c r="B250" s="110" t="s">
        <v>1096</v>
      </c>
      <c r="C250" s="110" t="s">
        <v>1097</v>
      </c>
      <c r="D250" s="110"/>
      <c r="E250" s="111" t="s">
        <v>1098</v>
      </c>
      <c r="F250" s="111" t="s">
        <v>1099</v>
      </c>
      <c r="G250" s="110" t="s">
        <v>1099</v>
      </c>
      <c r="H250" s="113">
        <v>30.0</v>
      </c>
      <c r="I250" s="110" t="s">
        <v>70</v>
      </c>
      <c r="J250" s="112">
        <v>14390.0</v>
      </c>
      <c r="K250" s="113" t="s">
        <v>71</v>
      </c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 t="s">
        <v>72</v>
      </c>
      <c r="W250" s="112" t="s">
        <v>73</v>
      </c>
    </row>
    <row r="251" ht="49.5" customHeight="1">
      <c r="A251" s="110" t="s">
        <v>1100</v>
      </c>
      <c r="B251" s="110" t="s">
        <v>1101</v>
      </c>
      <c r="C251" s="110" t="s">
        <v>1102</v>
      </c>
      <c r="D251" s="110"/>
      <c r="E251" s="111" t="s">
        <v>1103</v>
      </c>
      <c r="F251" s="111" t="s">
        <v>1104</v>
      </c>
      <c r="G251" s="110" t="s">
        <v>1104</v>
      </c>
      <c r="H251" s="113">
        <v>30.0</v>
      </c>
      <c r="I251" s="110" t="s">
        <v>70</v>
      </c>
      <c r="J251" s="112">
        <v>10490.0</v>
      </c>
      <c r="K251" s="113" t="s">
        <v>71</v>
      </c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 t="s">
        <v>72</v>
      </c>
      <c r="W251" s="112" t="s">
        <v>73</v>
      </c>
    </row>
    <row r="252" ht="49.5" customHeight="1">
      <c r="A252" s="110" t="s">
        <v>1105</v>
      </c>
      <c r="B252" s="110" t="s">
        <v>1106</v>
      </c>
      <c r="C252" s="110" t="s">
        <v>1107</v>
      </c>
      <c r="D252" s="110"/>
      <c r="E252" s="111" t="s">
        <v>1108</v>
      </c>
      <c r="F252" s="111" t="s">
        <v>1109</v>
      </c>
      <c r="G252" s="110" t="s">
        <v>1109</v>
      </c>
      <c r="H252" s="113">
        <v>10.0</v>
      </c>
      <c r="I252" s="110" t="s">
        <v>70</v>
      </c>
      <c r="J252" s="112">
        <v>25890.0</v>
      </c>
      <c r="K252" s="113" t="s">
        <v>71</v>
      </c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 t="s">
        <v>72</v>
      </c>
      <c r="W252" s="112" t="s">
        <v>73</v>
      </c>
    </row>
    <row r="253" ht="49.5" customHeight="1">
      <c r="A253" s="110" t="s">
        <v>1110</v>
      </c>
      <c r="B253" s="110" t="s">
        <v>1111</v>
      </c>
      <c r="C253" s="110" t="s">
        <v>1112</v>
      </c>
      <c r="D253" s="110"/>
      <c r="E253" s="111" t="s">
        <v>1113</v>
      </c>
      <c r="F253" s="111" t="s">
        <v>1114</v>
      </c>
      <c r="G253" s="110" t="s">
        <v>213</v>
      </c>
      <c r="H253" s="113">
        <v>30.0</v>
      </c>
      <c r="I253" s="110" t="s">
        <v>70</v>
      </c>
      <c r="J253" s="112">
        <v>7190.0</v>
      </c>
      <c r="K253" s="113" t="s">
        <v>71</v>
      </c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 t="s">
        <v>72</v>
      </c>
      <c r="W253" s="112" t="s">
        <v>73</v>
      </c>
    </row>
    <row r="254" ht="49.5" customHeight="1">
      <c r="A254" s="110" t="s">
        <v>1115</v>
      </c>
      <c r="B254" s="110" t="s">
        <v>1116</v>
      </c>
      <c r="C254" s="110" t="s">
        <v>1117</v>
      </c>
      <c r="D254" s="110"/>
      <c r="E254" s="111" t="s">
        <v>1118</v>
      </c>
      <c r="F254" s="111" t="s">
        <v>1119</v>
      </c>
      <c r="G254" s="110" t="s">
        <v>213</v>
      </c>
      <c r="H254" s="113">
        <v>30.0</v>
      </c>
      <c r="I254" s="110" t="s">
        <v>70</v>
      </c>
      <c r="J254" s="112">
        <v>8290.0</v>
      </c>
      <c r="K254" s="113" t="s">
        <v>71</v>
      </c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 t="s">
        <v>72</v>
      </c>
      <c r="W254" s="112" t="s">
        <v>73</v>
      </c>
    </row>
    <row r="255" ht="49.5" customHeight="1">
      <c r="A255" s="110" t="s">
        <v>1120</v>
      </c>
      <c r="B255" s="110" t="s">
        <v>1121</v>
      </c>
      <c r="C255" s="110" t="s">
        <v>1122</v>
      </c>
      <c r="D255" s="110"/>
      <c r="E255" s="111" t="s">
        <v>1123</v>
      </c>
      <c r="F255" s="111" t="s">
        <v>1124</v>
      </c>
      <c r="G255" s="110" t="s">
        <v>1124</v>
      </c>
      <c r="H255" s="113">
        <v>30.0</v>
      </c>
      <c r="I255" s="110" t="s">
        <v>70</v>
      </c>
      <c r="J255" s="112">
        <v>7190.0</v>
      </c>
      <c r="K255" s="113" t="s">
        <v>71</v>
      </c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 t="s">
        <v>72</v>
      </c>
      <c r="W255" s="112" t="s">
        <v>73</v>
      </c>
    </row>
    <row r="256" ht="49.5" customHeight="1">
      <c r="A256" s="110" t="s">
        <v>1125</v>
      </c>
      <c r="B256" s="110" t="s">
        <v>1126</v>
      </c>
      <c r="C256" s="110" t="s">
        <v>1127</v>
      </c>
      <c r="D256" s="110"/>
      <c r="E256" s="111" t="s">
        <v>1128</v>
      </c>
      <c r="F256" s="111" t="s">
        <v>1129</v>
      </c>
      <c r="G256" s="110" t="s">
        <v>1129</v>
      </c>
      <c r="H256" s="113">
        <v>30.0</v>
      </c>
      <c r="I256" s="110" t="s">
        <v>70</v>
      </c>
      <c r="J256" s="112">
        <v>33890.0</v>
      </c>
      <c r="K256" s="113" t="s">
        <v>71</v>
      </c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 t="s">
        <v>72</v>
      </c>
      <c r="W256" s="112" t="s">
        <v>73</v>
      </c>
    </row>
    <row r="257" ht="49.5" customHeight="1">
      <c r="A257" s="110" t="s">
        <v>1130</v>
      </c>
      <c r="B257" s="110" t="s">
        <v>1131</v>
      </c>
      <c r="C257" s="110" t="s">
        <v>1132</v>
      </c>
      <c r="D257" s="110"/>
      <c r="E257" s="111" t="s">
        <v>1133</v>
      </c>
      <c r="F257" s="111" t="s">
        <v>1134</v>
      </c>
      <c r="G257" s="110" t="s">
        <v>1134</v>
      </c>
      <c r="H257" s="113">
        <v>30.0</v>
      </c>
      <c r="I257" s="110" t="s">
        <v>70</v>
      </c>
      <c r="J257" s="112">
        <v>3690.0</v>
      </c>
      <c r="K257" s="113" t="s">
        <v>71</v>
      </c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 t="s">
        <v>72</v>
      </c>
      <c r="W257" s="112" t="s">
        <v>73</v>
      </c>
    </row>
    <row r="258" ht="49.5" customHeight="1">
      <c r="A258" s="110" t="s">
        <v>1135</v>
      </c>
      <c r="B258" s="110" t="s">
        <v>1136</v>
      </c>
      <c r="C258" s="110" t="s">
        <v>1137</v>
      </c>
      <c r="D258" s="110"/>
      <c r="E258" s="111" t="s">
        <v>1138</v>
      </c>
      <c r="F258" s="111" t="s">
        <v>1139</v>
      </c>
      <c r="G258" s="110" t="s">
        <v>1139</v>
      </c>
      <c r="H258" s="113">
        <v>30.0</v>
      </c>
      <c r="I258" s="110" t="s">
        <v>70</v>
      </c>
      <c r="J258" s="112">
        <v>4190.0</v>
      </c>
      <c r="K258" s="113" t="s">
        <v>71</v>
      </c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 t="s">
        <v>72</v>
      </c>
      <c r="W258" s="112" t="s">
        <v>73</v>
      </c>
    </row>
    <row r="259" ht="49.5" customHeight="1">
      <c r="A259" s="110" t="s">
        <v>1140</v>
      </c>
      <c r="B259" s="110" t="s">
        <v>1141</v>
      </c>
      <c r="C259" s="110" t="s">
        <v>1142</v>
      </c>
      <c r="D259" s="110"/>
      <c r="E259" s="111" t="s">
        <v>1143</v>
      </c>
      <c r="F259" s="111" t="s">
        <v>1144</v>
      </c>
      <c r="G259" s="110" t="s">
        <v>1144</v>
      </c>
      <c r="H259" s="113">
        <v>30.0</v>
      </c>
      <c r="I259" s="110" t="s">
        <v>70</v>
      </c>
      <c r="J259" s="112">
        <v>5490.0</v>
      </c>
      <c r="K259" s="113" t="s">
        <v>71</v>
      </c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 t="s">
        <v>72</v>
      </c>
      <c r="W259" s="112" t="s">
        <v>73</v>
      </c>
    </row>
    <row r="260" ht="49.5" customHeight="1">
      <c r="A260" s="110" t="s">
        <v>1145</v>
      </c>
      <c r="B260" s="110" t="s">
        <v>1146</v>
      </c>
      <c r="C260" s="110" t="s">
        <v>1147</v>
      </c>
      <c r="D260" s="110"/>
      <c r="E260" s="111" t="s">
        <v>174</v>
      </c>
      <c r="F260" s="111" t="s">
        <v>1148</v>
      </c>
      <c r="G260" s="110" t="s">
        <v>1149</v>
      </c>
      <c r="H260" s="113">
        <v>30.0</v>
      </c>
      <c r="I260" s="110" t="s">
        <v>70</v>
      </c>
      <c r="J260" s="112">
        <v>7790.0</v>
      </c>
      <c r="K260" s="113" t="s">
        <v>71</v>
      </c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 t="s">
        <v>72</v>
      </c>
      <c r="W260" s="112" t="s">
        <v>73</v>
      </c>
    </row>
    <row r="261" ht="49.5" customHeight="1">
      <c r="A261" s="110" t="s">
        <v>1150</v>
      </c>
      <c r="B261" s="110" t="s">
        <v>1151</v>
      </c>
      <c r="C261" s="110" t="s">
        <v>1152</v>
      </c>
      <c r="D261" s="110"/>
      <c r="E261" s="111" t="s">
        <v>1153</v>
      </c>
      <c r="F261" s="111" t="s">
        <v>1154</v>
      </c>
      <c r="G261" s="110" t="s">
        <v>90</v>
      </c>
      <c r="H261" s="113">
        <v>30.0</v>
      </c>
      <c r="I261" s="110" t="s">
        <v>70</v>
      </c>
      <c r="J261" s="112">
        <v>7690.0</v>
      </c>
      <c r="K261" s="113" t="s">
        <v>71</v>
      </c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 t="s">
        <v>72</v>
      </c>
      <c r="W261" s="112" t="s">
        <v>73</v>
      </c>
    </row>
    <row r="262" ht="49.5" customHeight="1">
      <c r="A262" s="110" t="s">
        <v>1155</v>
      </c>
      <c r="B262" s="110" t="s">
        <v>1156</v>
      </c>
      <c r="C262" s="110" t="s">
        <v>1157</v>
      </c>
      <c r="D262" s="110"/>
      <c r="E262" s="111" t="s">
        <v>1158</v>
      </c>
      <c r="F262" s="111" t="s">
        <v>1159</v>
      </c>
      <c r="G262" s="110" t="s">
        <v>1160</v>
      </c>
      <c r="H262" s="113">
        <v>30.0</v>
      </c>
      <c r="I262" s="110" t="s">
        <v>70</v>
      </c>
      <c r="J262" s="112">
        <v>44190.0</v>
      </c>
      <c r="K262" s="113" t="s">
        <v>71</v>
      </c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 t="s">
        <v>72</v>
      </c>
      <c r="W262" s="112" t="s">
        <v>73</v>
      </c>
    </row>
    <row r="263" ht="49.5" customHeight="1">
      <c r="A263" s="110" t="s">
        <v>1161</v>
      </c>
      <c r="B263" s="110" t="s">
        <v>1162</v>
      </c>
      <c r="C263" s="110" t="s">
        <v>1163</v>
      </c>
      <c r="D263" s="110"/>
      <c r="E263" s="111" t="s">
        <v>1164</v>
      </c>
      <c r="F263" s="111" t="s">
        <v>1165</v>
      </c>
      <c r="G263" s="110" t="s">
        <v>1160</v>
      </c>
      <c r="H263" s="113">
        <v>30.0</v>
      </c>
      <c r="I263" s="110" t="s">
        <v>70</v>
      </c>
      <c r="J263" s="112">
        <v>73590.0</v>
      </c>
      <c r="K263" s="113" t="s">
        <v>71</v>
      </c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 t="s">
        <v>72</v>
      </c>
      <c r="W263" s="112" t="s">
        <v>73</v>
      </c>
    </row>
    <row r="264" ht="49.5" customHeight="1">
      <c r="A264" s="110" t="s">
        <v>1166</v>
      </c>
      <c r="B264" s="110" t="s">
        <v>1167</v>
      </c>
      <c r="C264" s="110" t="s">
        <v>1168</v>
      </c>
      <c r="D264" s="110"/>
      <c r="E264" s="111" t="s">
        <v>1169</v>
      </c>
      <c r="F264" s="111" t="s">
        <v>1170</v>
      </c>
      <c r="G264" s="110" t="s">
        <v>1171</v>
      </c>
      <c r="H264" s="113">
        <v>30.0</v>
      </c>
      <c r="I264" s="110" t="s">
        <v>70</v>
      </c>
      <c r="J264" s="112">
        <v>29890.0</v>
      </c>
      <c r="K264" s="113" t="s">
        <v>71</v>
      </c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 t="s">
        <v>72</v>
      </c>
      <c r="W264" s="112" t="s">
        <v>73</v>
      </c>
    </row>
    <row r="265" ht="49.5" customHeight="1">
      <c r="A265" s="110" t="s">
        <v>1172</v>
      </c>
      <c r="B265" s="110" t="s">
        <v>1173</v>
      </c>
      <c r="C265" s="110" t="s">
        <v>1174</v>
      </c>
      <c r="D265" s="110"/>
      <c r="E265" s="111" t="s">
        <v>1175</v>
      </c>
      <c r="F265" s="111" t="s">
        <v>1176</v>
      </c>
      <c r="G265" s="110" t="s">
        <v>1177</v>
      </c>
      <c r="H265" s="113">
        <v>30.0</v>
      </c>
      <c r="I265" s="110" t="s">
        <v>70</v>
      </c>
      <c r="J265" s="112">
        <v>47190.0</v>
      </c>
      <c r="K265" s="113" t="s">
        <v>71</v>
      </c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 t="s">
        <v>72</v>
      </c>
      <c r="W265" s="112" t="s">
        <v>73</v>
      </c>
    </row>
    <row r="266" ht="49.5" customHeight="1">
      <c r="A266" s="110" t="s">
        <v>1178</v>
      </c>
      <c r="B266" s="110" t="s">
        <v>1179</v>
      </c>
      <c r="C266" s="110" t="s">
        <v>1180</v>
      </c>
      <c r="D266" s="110"/>
      <c r="E266" s="111" t="s">
        <v>1181</v>
      </c>
      <c r="F266" s="111" t="s">
        <v>1182</v>
      </c>
      <c r="G266" s="110" t="s">
        <v>486</v>
      </c>
      <c r="H266" s="113">
        <v>30.0</v>
      </c>
      <c r="I266" s="110" t="s">
        <v>70</v>
      </c>
      <c r="J266" s="112">
        <v>29890.0</v>
      </c>
      <c r="K266" s="113" t="s">
        <v>71</v>
      </c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 t="s">
        <v>72</v>
      </c>
      <c r="W266" s="112" t="s">
        <v>73</v>
      </c>
    </row>
    <row r="267" ht="49.5" customHeight="1">
      <c r="A267" s="110" t="s">
        <v>1183</v>
      </c>
      <c r="B267" s="110" t="s">
        <v>1184</v>
      </c>
      <c r="C267" s="110" t="s">
        <v>1185</v>
      </c>
      <c r="D267" s="110"/>
      <c r="E267" s="111" t="s">
        <v>1186</v>
      </c>
      <c r="F267" s="111" t="s">
        <v>1187</v>
      </c>
      <c r="G267" s="110" t="s">
        <v>79</v>
      </c>
      <c r="H267" s="113">
        <v>30.0</v>
      </c>
      <c r="I267" s="110" t="s">
        <v>70</v>
      </c>
      <c r="J267" s="112">
        <v>8990.0</v>
      </c>
      <c r="K267" s="113" t="s">
        <v>71</v>
      </c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 t="s">
        <v>72</v>
      </c>
      <c r="W267" s="112" t="s">
        <v>73</v>
      </c>
    </row>
    <row r="268" ht="49.5" customHeight="1">
      <c r="A268" s="110" t="s">
        <v>1188</v>
      </c>
      <c r="B268" s="110" t="s">
        <v>1189</v>
      </c>
      <c r="C268" s="110" t="s">
        <v>1190</v>
      </c>
      <c r="D268" s="110"/>
      <c r="E268" s="111" t="s">
        <v>1191</v>
      </c>
      <c r="F268" s="111" t="s">
        <v>1192</v>
      </c>
      <c r="G268" s="110" t="s">
        <v>165</v>
      </c>
      <c r="H268" s="113">
        <v>10.0</v>
      </c>
      <c r="I268" s="110" t="s">
        <v>70</v>
      </c>
      <c r="J268" s="112">
        <v>8390.0</v>
      </c>
      <c r="K268" s="113" t="s">
        <v>71</v>
      </c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 t="s">
        <v>72</v>
      </c>
      <c r="W268" s="112" t="s">
        <v>73</v>
      </c>
    </row>
    <row r="269" ht="49.5" customHeight="1">
      <c r="A269" s="110" t="s">
        <v>1193</v>
      </c>
      <c r="B269" s="110" t="s">
        <v>1194</v>
      </c>
      <c r="C269" s="110" t="s">
        <v>1195</v>
      </c>
      <c r="D269" s="110"/>
      <c r="E269" s="111" t="s">
        <v>1196</v>
      </c>
      <c r="F269" s="111" t="s">
        <v>1197</v>
      </c>
      <c r="G269" s="110" t="s">
        <v>1198</v>
      </c>
      <c r="H269" s="113">
        <v>30.0</v>
      </c>
      <c r="I269" s="110" t="s">
        <v>70</v>
      </c>
      <c r="J269" s="112">
        <v>12490.0</v>
      </c>
      <c r="K269" s="113" t="s">
        <v>71</v>
      </c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 t="s">
        <v>72</v>
      </c>
      <c r="W269" s="112" t="s">
        <v>73</v>
      </c>
    </row>
    <row r="270" ht="49.5" customHeight="1">
      <c r="A270" s="110" t="s">
        <v>1199</v>
      </c>
      <c r="B270" s="110" t="s">
        <v>1200</v>
      </c>
      <c r="C270" s="110" t="s">
        <v>1201</v>
      </c>
      <c r="D270" s="110"/>
      <c r="E270" s="111" t="s">
        <v>1202</v>
      </c>
      <c r="F270" s="111" t="s">
        <v>1203</v>
      </c>
      <c r="G270" s="110" t="s">
        <v>427</v>
      </c>
      <c r="H270" s="113">
        <v>30.0</v>
      </c>
      <c r="I270" s="110" t="s">
        <v>70</v>
      </c>
      <c r="J270" s="112">
        <v>8890.0</v>
      </c>
      <c r="K270" s="113" t="s">
        <v>71</v>
      </c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 t="s">
        <v>72</v>
      </c>
      <c r="W270" s="112" t="s">
        <v>73</v>
      </c>
    </row>
    <row r="271" ht="49.5" customHeight="1">
      <c r="A271" s="110" t="s">
        <v>1204</v>
      </c>
      <c r="B271" s="110" t="s">
        <v>1205</v>
      </c>
      <c r="C271" s="110" t="s">
        <v>1206</v>
      </c>
      <c r="D271" s="110"/>
      <c r="E271" s="111" t="s">
        <v>1207</v>
      </c>
      <c r="F271" s="111" t="s">
        <v>1208</v>
      </c>
      <c r="G271" s="110" t="s">
        <v>1209</v>
      </c>
      <c r="H271" s="113">
        <v>30.0</v>
      </c>
      <c r="I271" s="110" t="s">
        <v>70</v>
      </c>
      <c r="J271" s="112">
        <v>44190.0</v>
      </c>
      <c r="K271" s="113" t="s">
        <v>71</v>
      </c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 t="s">
        <v>72</v>
      </c>
      <c r="W271" s="112" t="s">
        <v>73</v>
      </c>
    </row>
    <row r="272" ht="49.5" customHeight="1">
      <c r="A272" s="110" t="s">
        <v>1210</v>
      </c>
      <c r="B272" s="110" t="s">
        <v>1211</v>
      </c>
      <c r="C272" s="110" t="s">
        <v>1212</v>
      </c>
      <c r="D272" s="110"/>
      <c r="E272" s="111" t="s">
        <v>1213</v>
      </c>
      <c r="F272" s="111" t="s">
        <v>1214</v>
      </c>
      <c r="G272" s="110" t="s">
        <v>1215</v>
      </c>
      <c r="H272" s="113">
        <v>30.0</v>
      </c>
      <c r="I272" s="110" t="s">
        <v>70</v>
      </c>
      <c r="J272" s="112">
        <v>29890.0</v>
      </c>
      <c r="K272" s="113" t="s">
        <v>71</v>
      </c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 t="s">
        <v>72</v>
      </c>
      <c r="W272" s="112" t="s">
        <v>73</v>
      </c>
    </row>
    <row r="273" ht="49.5" customHeight="1">
      <c r="A273" s="110" t="s">
        <v>1216</v>
      </c>
      <c r="B273" s="110" t="s">
        <v>1217</v>
      </c>
      <c r="C273" s="110" t="s">
        <v>1218</v>
      </c>
      <c r="D273" s="110"/>
      <c r="E273" s="111" t="s">
        <v>1219</v>
      </c>
      <c r="F273" s="111" t="s">
        <v>1220</v>
      </c>
      <c r="G273" s="110" t="s">
        <v>90</v>
      </c>
      <c r="H273" s="113">
        <v>10.0</v>
      </c>
      <c r="I273" s="110" t="s">
        <v>70</v>
      </c>
      <c r="J273" s="112">
        <v>12790.0</v>
      </c>
      <c r="K273" s="113" t="s">
        <v>71</v>
      </c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 t="s">
        <v>72</v>
      </c>
      <c r="W273" s="112" t="s">
        <v>73</v>
      </c>
    </row>
    <row r="274" ht="49.5" customHeight="1">
      <c r="A274" s="110" t="s">
        <v>1221</v>
      </c>
      <c r="B274" s="110" t="s">
        <v>1222</v>
      </c>
      <c r="C274" s="110" t="s">
        <v>1223</v>
      </c>
      <c r="D274" s="110"/>
      <c r="E274" s="111" t="s">
        <v>1224</v>
      </c>
      <c r="F274" s="111" t="s">
        <v>1225</v>
      </c>
      <c r="G274" s="110" t="s">
        <v>1226</v>
      </c>
      <c r="H274" s="113">
        <v>10.0</v>
      </c>
      <c r="I274" s="110" t="s">
        <v>70</v>
      </c>
      <c r="J274" s="112">
        <v>47190.0</v>
      </c>
      <c r="K274" s="113" t="s">
        <v>71</v>
      </c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 t="s">
        <v>72</v>
      </c>
      <c r="W274" s="112" t="s">
        <v>73</v>
      </c>
    </row>
    <row r="275" ht="49.5" customHeight="1">
      <c r="A275" s="110" t="s">
        <v>1227</v>
      </c>
      <c r="B275" s="110" t="s">
        <v>1228</v>
      </c>
      <c r="C275" s="110" t="s">
        <v>1229</v>
      </c>
      <c r="D275" s="110"/>
      <c r="E275" s="111" t="s">
        <v>1230</v>
      </c>
      <c r="F275" s="111" t="s">
        <v>1231</v>
      </c>
      <c r="G275" s="110" t="s">
        <v>138</v>
      </c>
      <c r="H275" s="113">
        <v>30.0</v>
      </c>
      <c r="I275" s="110" t="s">
        <v>70</v>
      </c>
      <c r="J275" s="112">
        <v>6990.0</v>
      </c>
      <c r="K275" s="113" t="s">
        <v>71</v>
      </c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 t="s">
        <v>72</v>
      </c>
      <c r="W275" s="112" t="s">
        <v>73</v>
      </c>
    </row>
    <row r="276" ht="49.5" customHeight="1">
      <c r="A276" s="110" t="s">
        <v>1232</v>
      </c>
      <c r="B276" s="110" t="s">
        <v>1233</v>
      </c>
      <c r="C276" s="110" t="s">
        <v>1234</v>
      </c>
      <c r="D276" s="110"/>
      <c r="E276" s="111" t="s">
        <v>1235</v>
      </c>
      <c r="F276" s="111" t="s">
        <v>1236</v>
      </c>
      <c r="G276" s="110" t="s">
        <v>1237</v>
      </c>
      <c r="H276" s="113">
        <v>10.0</v>
      </c>
      <c r="I276" s="110" t="s">
        <v>70</v>
      </c>
      <c r="J276" s="112">
        <v>47190.0</v>
      </c>
      <c r="K276" s="113" t="s">
        <v>71</v>
      </c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 t="s">
        <v>72</v>
      </c>
      <c r="W276" s="112" t="s">
        <v>73</v>
      </c>
    </row>
    <row r="277" ht="49.5" customHeight="1">
      <c r="A277" s="110" t="s">
        <v>1238</v>
      </c>
      <c r="B277" s="110" t="s">
        <v>1239</v>
      </c>
      <c r="C277" s="110" t="s">
        <v>1240</v>
      </c>
      <c r="D277" s="110"/>
      <c r="E277" s="111" t="s">
        <v>1241</v>
      </c>
      <c r="F277" s="111" t="s">
        <v>1242</v>
      </c>
      <c r="G277" s="110" t="s">
        <v>90</v>
      </c>
      <c r="H277" s="113">
        <v>10.0</v>
      </c>
      <c r="I277" s="110" t="s">
        <v>70</v>
      </c>
      <c r="J277" s="112">
        <v>9590.0</v>
      </c>
      <c r="K277" s="113" t="s">
        <v>71</v>
      </c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 t="s">
        <v>72</v>
      </c>
      <c r="W277" s="112" t="s">
        <v>73</v>
      </c>
    </row>
    <row r="278" ht="49.5" customHeight="1">
      <c r="A278" s="110" t="s">
        <v>1243</v>
      </c>
      <c r="B278" s="110" t="s">
        <v>1244</v>
      </c>
      <c r="C278" s="110" t="s">
        <v>1245</v>
      </c>
      <c r="D278" s="110"/>
      <c r="E278" s="111" t="s">
        <v>1246</v>
      </c>
      <c r="F278" s="111" t="s">
        <v>1247</v>
      </c>
      <c r="G278" s="110" t="s">
        <v>90</v>
      </c>
      <c r="H278" s="113">
        <v>30.0</v>
      </c>
      <c r="I278" s="110" t="s">
        <v>70</v>
      </c>
      <c r="J278" s="112">
        <v>8990.0</v>
      </c>
      <c r="K278" s="113" t="s">
        <v>71</v>
      </c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 t="s">
        <v>72</v>
      </c>
      <c r="W278" s="112" t="s">
        <v>73</v>
      </c>
    </row>
    <row r="279" ht="49.5" customHeight="1">
      <c r="A279" s="110" t="s">
        <v>1248</v>
      </c>
      <c r="B279" s="110" t="s">
        <v>1249</v>
      </c>
      <c r="C279" s="110" t="s">
        <v>1250</v>
      </c>
      <c r="D279" s="110"/>
      <c r="E279" s="111" t="s">
        <v>1251</v>
      </c>
      <c r="F279" s="111" t="s">
        <v>1252</v>
      </c>
      <c r="G279" s="110" t="s">
        <v>84</v>
      </c>
      <c r="H279" s="113">
        <v>10.0</v>
      </c>
      <c r="I279" s="110" t="s">
        <v>70</v>
      </c>
      <c r="J279" s="112">
        <v>6690.0</v>
      </c>
      <c r="K279" s="113" t="s">
        <v>71</v>
      </c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 t="s">
        <v>72</v>
      </c>
      <c r="W279" s="112" t="s">
        <v>73</v>
      </c>
    </row>
    <row r="280" ht="49.5" customHeight="1">
      <c r="A280" s="110" t="s">
        <v>1253</v>
      </c>
      <c r="B280" s="110" t="s">
        <v>1254</v>
      </c>
      <c r="C280" s="110" t="s">
        <v>1255</v>
      </c>
      <c r="D280" s="110"/>
      <c r="E280" s="111" t="s">
        <v>1256</v>
      </c>
      <c r="F280" s="111" t="s">
        <v>1257</v>
      </c>
      <c r="G280" s="110" t="s">
        <v>138</v>
      </c>
      <c r="H280" s="113">
        <v>30.0</v>
      </c>
      <c r="I280" s="110" t="s">
        <v>70</v>
      </c>
      <c r="J280" s="112">
        <v>130790.0</v>
      </c>
      <c r="K280" s="113" t="s">
        <v>71</v>
      </c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 t="s">
        <v>72</v>
      </c>
      <c r="W280" s="112" t="s">
        <v>73</v>
      </c>
    </row>
    <row r="281" ht="49.5" customHeight="1">
      <c r="A281" s="110" t="s">
        <v>1258</v>
      </c>
      <c r="B281" s="110" t="s">
        <v>1259</v>
      </c>
      <c r="C281" s="110" t="s">
        <v>1260</v>
      </c>
      <c r="D281" s="110"/>
      <c r="E281" s="111" t="s">
        <v>1261</v>
      </c>
      <c r="F281" s="111" t="s">
        <v>1262</v>
      </c>
      <c r="G281" s="110" t="s">
        <v>165</v>
      </c>
      <c r="H281" s="113">
        <v>10.0</v>
      </c>
      <c r="I281" s="110" t="s">
        <v>70</v>
      </c>
      <c r="J281" s="112">
        <v>6690.0</v>
      </c>
      <c r="K281" s="113" t="s">
        <v>71</v>
      </c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 t="s">
        <v>72</v>
      </c>
      <c r="W281" s="112" t="s">
        <v>73</v>
      </c>
    </row>
    <row r="282" ht="49.5" customHeight="1">
      <c r="A282" s="110" t="s">
        <v>1263</v>
      </c>
      <c r="B282" s="110" t="s">
        <v>1264</v>
      </c>
      <c r="C282" s="110" t="s">
        <v>1265</v>
      </c>
      <c r="D282" s="110"/>
      <c r="E282" s="111" t="s">
        <v>1266</v>
      </c>
      <c r="F282" s="111" t="s">
        <v>1267</v>
      </c>
      <c r="G282" s="110" t="s">
        <v>144</v>
      </c>
      <c r="H282" s="113">
        <v>30.0</v>
      </c>
      <c r="I282" s="110" t="s">
        <v>70</v>
      </c>
      <c r="J282" s="112">
        <v>7690.0</v>
      </c>
      <c r="K282" s="113" t="s">
        <v>71</v>
      </c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 t="s">
        <v>72</v>
      </c>
      <c r="W282" s="112" t="s">
        <v>73</v>
      </c>
    </row>
    <row r="283" ht="49.5" customHeight="1">
      <c r="A283" s="110" t="s">
        <v>1268</v>
      </c>
      <c r="B283" s="110" t="s">
        <v>1269</v>
      </c>
      <c r="C283" s="110" t="s">
        <v>1270</v>
      </c>
      <c r="D283" s="110"/>
      <c r="E283" s="111" t="s">
        <v>1271</v>
      </c>
      <c r="F283" s="111" t="s">
        <v>1272</v>
      </c>
      <c r="G283" s="110" t="s">
        <v>1209</v>
      </c>
      <c r="H283" s="113">
        <v>30.0</v>
      </c>
      <c r="I283" s="110" t="s">
        <v>70</v>
      </c>
      <c r="J283" s="112">
        <v>58890.0</v>
      </c>
      <c r="K283" s="113" t="s">
        <v>71</v>
      </c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 t="s">
        <v>72</v>
      </c>
      <c r="W283" s="112" t="s">
        <v>73</v>
      </c>
    </row>
    <row r="284" ht="49.5" customHeight="1">
      <c r="A284" s="110" t="s">
        <v>693</v>
      </c>
      <c r="B284" s="110" t="s">
        <v>1273</v>
      </c>
      <c r="C284" s="110" t="s">
        <v>695</v>
      </c>
      <c r="D284" s="110"/>
      <c r="E284" s="111" t="s">
        <v>696</v>
      </c>
      <c r="F284" s="112" t="s">
        <v>1274</v>
      </c>
      <c r="G284" s="110" t="s">
        <v>70</v>
      </c>
      <c r="H284" s="113">
        <v>30.0</v>
      </c>
      <c r="I284" s="110" t="s">
        <v>70</v>
      </c>
      <c r="J284" s="112">
        <v>5390.0</v>
      </c>
      <c r="K284" s="113" t="s">
        <v>71</v>
      </c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0" t="s">
        <v>72</v>
      </c>
      <c r="W284" s="112" t="s">
        <v>73</v>
      </c>
    </row>
    <row r="285" ht="49.5" customHeight="1">
      <c r="A285" s="110" t="s">
        <v>1275</v>
      </c>
      <c r="B285" s="110" t="s">
        <v>1276</v>
      </c>
      <c r="C285" s="110" t="s">
        <v>1277</v>
      </c>
      <c r="D285" s="110"/>
      <c r="E285" s="111" t="s">
        <v>1278</v>
      </c>
      <c r="F285" s="111" t="s">
        <v>1279</v>
      </c>
      <c r="G285" s="110" t="s">
        <v>1280</v>
      </c>
      <c r="H285" s="113">
        <v>30.0</v>
      </c>
      <c r="I285" s="110" t="s">
        <v>70</v>
      </c>
      <c r="J285" s="112">
        <v>8690.0</v>
      </c>
      <c r="K285" s="113" t="s">
        <v>71</v>
      </c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 t="s">
        <v>72</v>
      </c>
      <c r="W285" s="112" t="s">
        <v>73</v>
      </c>
    </row>
    <row r="286" ht="49.5" customHeight="1">
      <c r="A286" s="110" t="s">
        <v>1275</v>
      </c>
      <c r="B286" s="110" t="s">
        <v>1281</v>
      </c>
      <c r="C286" s="110" t="s">
        <v>1282</v>
      </c>
      <c r="D286" s="110"/>
      <c r="E286" s="111" t="s">
        <v>1283</v>
      </c>
      <c r="F286" s="111" t="s">
        <v>1279</v>
      </c>
      <c r="G286" s="110" t="s">
        <v>1284</v>
      </c>
      <c r="H286" s="113">
        <v>30.0</v>
      </c>
      <c r="I286" s="110" t="s">
        <v>70</v>
      </c>
      <c r="J286" s="112">
        <v>8690.0</v>
      </c>
      <c r="K286" s="113" t="s">
        <v>71</v>
      </c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 t="s">
        <v>72</v>
      </c>
      <c r="W286" s="112" t="s">
        <v>73</v>
      </c>
    </row>
    <row r="287" ht="49.5" customHeight="1">
      <c r="A287" s="110" t="s">
        <v>1275</v>
      </c>
      <c r="B287" s="110" t="s">
        <v>1285</v>
      </c>
      <c r="C287" s="110" t="s">
        <v>1286</v>
      </c>
      <c r="D287" s="110"/>
      <c r="E287" s="111" t="s">
        <v>1287</v>
      </c>
      <c r="F287" s="111" t="s">
        <v>1279</v>
      </c>
      <c r="G287" s="110" t="s">
        <v>1288</v>
      </c>
      <c r="H287" s="113">
        <v>30.0</v>
      </c>
      <c r="I287" s="110" t="s">
        <v>70</v>
      </c>
      <c r="J287" s="112">
        <v>8690.0</v>
      </c>
      <c r="K287" s="113" t="s">
        <v>71</v>
      </c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 t="s">
        <v>72</v>
      </c>
      <c r="W287" s="112" t="s">
        <v>73</v>
      </c>
    </row>
    <row r="288" ht="49.5" customHeight="1">
      <c r="A288" s="110" t="s">
        <v>63</v>
      </c>
      <c r="B288" s="110" t="s">
        <v>1289</v>
      </c>
      <c r="C288" s="110"/>
      <c r="D288" s="110"/>
      <c r="E288" s="112" t="s">
        <v>1289</v>
      </c>
      <c r="F288" s="111" t="s">
        <v>1290</v>
      </c>
      <c r="G288" s="110" t="s">
        <v>70</v>
      </c>
      <c r="H288" s="110" t="s">
        <v>460</v>
      </c>
      <c r="I288" s="110" t="s">
        <v>70</v>
      </c>
      <c r="J288" s="112">
        <v>7390.0</v>
      </c>
      <c r="K288" s="113" t="s">
        <v>71</v>
      </c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 t="s">
        <v>72</v>
      </c>
      <c r="W288" s="112" t="s">
        <v>73</v>
      </c>
    </row>
    <row r="289" ht="49.5" customHeight="1">
      <c r="A289" s="110" t="s">
        <v>63</v>
      </c>
      <c r="B289" s="110" t="s">
        <v>1289</v>
      </c>
      <c r="C289" s="110" t="s">
        <v>1291</v>
      </c>
      <c r="D289" s="110" t="s">
        <v>1291</v>
      </c>
      <c r="E289" s="111" t="s">
        <v>1292</v>
      </c>
      <c r="F289" s="114" t="str">
        <f>"     "&amp;F288</f>
        <v>     Top Niña Lady Genny As-79 Deportivo Seamless</v>
      </c>
      <c r="G289" s="110" t="s">
        <v>1293</v>
      </c>
      <c r="H289" s="113">
        <v>30.0</v>
      </c>
      <c r="I289" s="110" t="s">
        <v>70</v>
      </c>
      <c r="J289" s="112">
        <f>J288</f>
        <v>7390</v>
      </c>
      <c r="K289" s="110" t="str">
        <f>K288&amp;"     "</f>
        <v>$     </v>
      </c>
      <c r="L289" s="110" t="str">
        <f t="shared" ref="L289:U289" si="159">L288</f>
        <v/>
      </c>
      <c r="M289" s="110" t="str">
        <f t="shared" si="159"/>
        <v/>
      </c>
      <c r="N289" s="110" t="str">
        <f t="shared" si="159"/>
        <v/>
      </c>
      <c r="O289" s="110" t="str">
        <f t="shared" si="159"/>
        <v/>
      </c>
      <c r="P289" s="110" t="str">
        <f t="shared" si="159"/>
        <v/>
      </c>
      <c r="Q289" s="110" t="str">
        <f t="shared" si="159"/>
        <v/>
      </c>
      <c r="R289" s="110" t="str">
        <f t="shared" si="159"/>
        <v/>
      </c>
      <c r="S289" s="110" t="str">
        <f t="shared" si="159"/>
        <v/>
      </c>
      <c r="T289" s="110" t="str">
        <f t="shared" si="159"/>
        <v/>
      </c>
      <c r="U289" s="110" t="str">
        <f t="shared" si="159"/>
        <v/>
      </c>
      <c r="V289" s="110" t="str">
        <f t="shared" ref="V289:W289" si="160">V288&amp;"     "</f>
        <v>Nuevo     </v>
      </c>
      <c r="W289" s="112" t="str">
        <f t="shared" si="160"/>
        <v>Activa     </v>
      </c>
    </row>
    <row r="290" ht="49.5" customHeight="1">
      <c r="A290" s="110" t="s">
        <v>63</v>
      </c>
      <c r="B290" s="110" t="s">
        <v>1289</v>
      </c>
      <c r="C290" s="110" t="s">
        <v>1294</v>
      </c>
      <c r="D290" s="110" t="s">
        <v>1294</v>
      </c>
      <c r="E290" s="111" t="s">
        <v>1295</v>
      </c>
      <c r="F290" s="114" t="str">
        <f>"     "&amp;F288</f>
        <v>     Top Niña Lady Genny As-79 Deportivo Seamless</v>
      </c>
      <c r="G290" s="110" t="s">
        <v>1296</v>
      </c>
      <c r="H290" s="113">
        <v>30.0</v>
      </c>
      <c r="I290" s="110" t="s">
        <v>70</v>
      </c>
      <c r="J290" s="112">
        <f>J288</f>
        <v>7390</v>
      </c>
      <c r="K290" s="110" t="str">
        <f>K288&amp;"     "</f>
        <v>$     </v>
      </c>
      <c r="L290" s="110" t="str">
        <f t="shared" ref="L290:U290" si="161">L288</f>
        <v/>
      </c>
      <c r="M290" s="110" t="str">
        <f t="shared" si="161"/>
        <v/>
      </c>
      <c r="N290" s="110" t="str">
        <f t="shared" si="161"/>
        <v/>
      </c>
      <c r="O290" s="110" t="str">
        <f t="shared" si="161"/>
        <v/>
      </c>
      <c r="P290" s="110" t="str">
        <f t="shared" si="161"/>
        <v/>
      </c>
      <c r="Q290" s="110" t="str">
        <f t="shared" si="161"/>
        <v/>
      </c>
      <c r="R290" s="110" t="str">
        <f t="shared" si="161"/>
        <v/>
      </c>
      <c r="S290" s="110" t="str">
        <f t="shared" si="161"/>
        <v/>
      </c>
      <c r="T290" s="110" t="str">
        <f t="shared" si="161"/>
        <v/>
      </c>
      <c r="U290" s="110" t="str">
        <f t="shared" si="161"/>
        <v/>
      </c>
      <c r="V290" s="110" t="str">
        <f t="shared" ref="V290:W290" si="162">V288&amp;"     "</f>
        <v>Nuevo     </v>
      </c>
      <c r="W290" s="112" t="str">
        <f t="shared" si="162"/>
        <v>Activa     </v>
      </c>
    </row>
    <row r="291" ht="49.5" customHeight="1">
      <c r="A291" s="110" t="s">
        <v>63</v>
      </c>
      <c r="B291" s="110" t="s">
        <v>1297</v>
      </c>
      <c r="C291" s="110"/>
      <c r="D291" s="110"/>
      <c r="E291" s="112" t="s">
        <v>1297</v>
      </c>
      <c r="F291" s="111" t="s">
        <v>1298</v>
      </c>
      <c r="G291" s="110" t="s">
        <v>70</v>
      </c>
      <c r="H291" s="110" t="s">
        <v>1299</v>
      </c>
      <c r="I291" s="110" t="s">
        <v>70</v>
      </c>
      <c r="J291" s="112">
        <v>9390.0</v>
      </c>
      <c r="K291" s="113" t="s">
        <v>71</v>
      </c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 t="s">
        <v>72</v>
      </c>
      <c r="W291" s="112" t="s">
        <v>73</v>
      </c>
    </row>
    <row r="292" ht="49.5" customHeight="1">
      <c r="A292" s="110" t="s">
        <v>63</v>
      </c>
      <c r="B292" s="110" t="s">
        <v>1297</v>
      </c>
      <c r="C292" s="110" t="s">
        <v>1300</v>
      </c>
      <c r="D292" s="110" t="s">
        <v>1300</v>
      </c>
      <c r="E292" s="111" t="s">
        <v>1301</v>
      </c>
      <c r="F292" s="114" t="str">
        <f>"     "&amp;F291</f>
        <v>     Top Niña Lady Genny As-87 Seamless Deportivo</v>
      </c>
      <c r="G292" s="110" t="s">
        <v>1302</v>
      </c>
      <c r="H292" s="113">
        <v>30.0</v>
      </c>
      <c r="I292" s="110" t="s">
        <v>70</v>
      </c>
      <c r="J292" s="112">
        <f>J291</f>
        <v>9390</v>
      </c>
      <c r="K292" s="110" t="str">
        <f>K291&amp;"     "</f>
        <v>$     </v>
      </c>
      <c r="L292" s="110" t="str">
        <f t="shared" ref="L292:U292" si="163">L291</f>
        <v/>
      </c>
      <c r="M292" s="110" t="str">
        <f t="shared" si="163"/>
        <v/>
      </c>
      <c r="N292" s="110" t="str">
        <f t="shared" si="163"/>
        <v/>
      </c>
      <c r="O292" s="110" t="str">
        <f t="shared" si="163"/>
        <v/>
      </c>
      <c r="P292" s="110" t="str">
        <f t="shared" si="163"/>
        <v/>
      </c>
      <c r="Q292" s="110" t="str">
        <f t="shared" si="163"/>
        <v/>
      </c>
      <c r="R292" s="110" t="str">
        <f t="shared" si="163"/>
        <v/>
      </c>
      <c r="S292" s="110" t="str">
        <f t="shared" si="163"/>
        <v/>
      </c>
      <c r="T292" s="110" t="str">
        <f t="shared" si="163"/>
        <v/>
      </c>
      <c r="U292" s="110" t="str">
        <f t="shared" si="163"/>
        <v/>
      </c>
      <c r="V292" s="110" t="str">
        <f t="shared" ref="V292:W292" si="164">V291&amp;"     "</f>
        <v>Nuevo     </v>
      </c>
      <c r="W292" s="112" t="str">
        <f t="shared" si="164"/>
        <v>Activa     </v>
      </c>
    </row>
    <row r="293" ht="49.5" customHeight="1">
      <c r="A293" s="110" t="s">
        <v>63</v>
      </c>
      <c r="B293" s="110" t="s">
        <v>1297</v>
      </c>
      <c r="C293" s="110" t="s">
        <v>1303</v>
      </c>
      <c r="D293" s="110" t="s">
        <v>1303</v>
      </c>
      <c r="E293" s="111" t="s">
        <v>1304</v>
      </c>
      <c r="F293" s="114" t="str">
        <f>"     "&amp;F291</f>
        <v>     Top Niña Lady Genny As-87 Seamless Deportivo</v>
      </c>
      <c r="G293" s="110" t="s">
        <v>1305</v>
      </c>
      <c r="H293" s="113">
        <v>30.0</v>
      </c>
      <c r="I293" s="110" t="s">
        <v>70</v>
      </c>
      <c r="J293" s="112">
        <f>J291</f>
        <v>9390</v>
      </c>
      <c r="K293" s="110" t="str">
        <f>K291&amp;"     "</f>
        <v>$     </v>
      </c>
      <c r="L293" s="110" t="str">
        <f t="shared" ref="L293:U293" si="165">L291</f>
        <v/>
      </c>
      <c r="M293" s="110" t="str">
        <f t="shared" si="165"/>
        <v/>
      </c>
      <c r="N293" s="110" t="str">
        <f t="shared" si="165"/>
        <v/>
      </c>
      <c r="O293" s="110" t="str">
        <f t="shared" si="165"/>
        <v/>
      </c>
      <c r="P293" s="110" t="str">
        <f t="shared" si="165"/>
        <v/>
      </c>
      <c r="Q293" s="110" t="str">
        <f t="shared" si="165"/>
        <v/>
      </c>
      <c r="R293" s="110" t="str">
        <f t="shared" si="165"/>
        <v/>
      </c>
      <c r="S293" s="110" t="str">
        <f t="shared" si="165"/>
        <v/>
      </c>
      <c r="T293" s="110" t="str">
        <f t="shared" si="165"/>
        <v/>
      </c>
      <c r="U293" s="110" t="str">
        <f t="shared" si="165"/>
        <v/>
      </c>
      <c r="V293" s="110" t="str">
        <f t="shared" ref="V293:W293" si="166">V291&amp;"     "</f>
        <v>Nuevo     </v>
      </c>
      <c r="W293" s="112" t="str">
        <f t="shared" si="166"/>
        <v>Activa     </v>
      </c>
    </row>
    <row r="294" ht="49.5" customHeight="1">
      <c r="A294" s="110" t="s">
        <v>63</v>
      </c>
      <c r="B294" s="110" t="s">
        <v>1297</v>
      </c>
      <c r="C294" s="110" t="s">
        <v>1306</v>
      </c>
      <c r="D294" s="110" t="s">
        <v>1306</v>
      </c>
      <c r="E294" s="111" t="s">
        <v>1307</v>
      </c>
      <c r="F294" s="114" t="str">
        <f>"     "&amp;F291</f>
        <v>     Top Niña Lady Genny As-87 Seamless Deportivo</v>
      </c>
      <c r="G294" s="110" t="s">
        <v>1308</v>
      </c>
      <c r="H294" s="113">
        <v>30.0</v>
      </c>
      <c r="I294" s="110" t="s">
        <v>70</v>
      </c>
      <c r="J294" s="112">
        <f>J291</f>
        <v>9390</v>
      </c>
      <c r="K294" s="110" t="str">
        <f>K291&amp;"     "</f>
        <v>$     </v>
      </c>
      <c r="L294" s="110" t="str">
        <f t="shared" ref="L294:U294" si="167">L291</f>
        <v/>
      </c>
      <c r="M294" s="110" t="str">
        <f t="shared" si="167"/>
        <v/>
      </c>
      <c r="N294" s="110" t="str">
        <f t="shared" si="167"/>
        <v/>
      </c>
      <c r="O294" s="110" t="str">
        <f t="shared" si="167"/>
        <v/>
      </c>
      <c r="P294" s="110" t="str">
        <f t="shared" si="167"/>
        <v/>
      </c>
      <c r="Q294" s="110" t="str">
        <f t="shared" si="167"/>
        <v/>
      </c>
      <c r="R294" s="110" t="str">
        <f t="shared" si="167"/>
        <v/>
      </c>
      <c r="S294" s="110" t="str">
        <f t="shared" si="167"/>
        <v/>
      </c>
      <c r="T294" s="110" t="str">
        <f t="shared" si="167"/>
        <v/>
      </c>
      <c r="U294" s="110" t="str">
        <f t="shared" si="167"/>
        <v/>
      </c>
      <c r="V294" s="110" t="str">
        <f t="shared" ref="V294:W294" si="168">V291&amp;"     "</f>
        <v>Nuevo     </v>
      </c>
      <c r="W294" s="112" t="str">
        <f t="shared" si="168"/>
        <v>Activa     </v>
      </c>
    </row>
    <row r="295" ht="49.5" customHeight="1">
      <c r="A295" s="110" t="s">
        <v>63</v>
      </c>
      <c r="B295" s="110" t="s">
        <v>1297</v>
      </c>
      <c r="C295" s="110" t="s">
        <v>1309</v>
      </c>
      <c r="D295" s="110" t="s">
        <v>1309</v>
      </c>
      <c r="E295" s="111" t="s">
        <v>1310</v>
      </c>
      <c r="F295" s="114" t="str">
        <f>"     "&amp;F291</f>
        <v>     Top Niña Lady Genny As-87 Seamless Deportivo</v>
      </c>
      <c r="G295" s="110" t="s">
        <v>1311</v>
      </c>
      <c r="H295" s="113">
        <v>30.0</v>
      </c>
      <c r="I295" s="110" t="s">
        <v>70</v>
      </c>
      <c r="J295" s="112">
        <f>J291</f>
        <v>9390</v>
      </c>
      <c r="K295" s="110" t="str">
        <f>K291&amp;"     "</f>
        <v>$     </v>
      </c>
      <c r="L295" s="110" t="str">
        <f t="shared" ref="L295:U295" si="169">L291</f>
        <v/>
      </c>
      <c r="M295" s="110" t="str">
        <f t="shared" si="169"/>
        <v/>
      </c>
      <c r="N295" s="110" t="str">
        <f t="shared" si="169"/>
        <v/>
      </c>
      <c r="O295" s="110" t="str">
        <f t="shared" si="169"/>
        <v/>
      </c>
      <c r="P295" s="110" t="str">
        <f t="shared" si="169"/>
        <v/>
      </c>
      <c r="Q295" s="110" t="str">
        <f t="shared" si="169"/>
        <v/>
      </c>
      <c r="R295" s="110" t="str">
        <f t="shared" si="169"/>
        <v/>
      </c>
      <c r="S295" s="110" t="str">
        <f t="shared" si="169"/>
        <v/>
      </c>
      <c r="T295" s="110" t="str">
        <f t="shared" si="169"/>
        <v/>
      </c>
      <c r="U295" s="110" t="str">
        <f t="shared" si="169"/>
        <v/>
      </c>
      <c r="V295" s="110" t="str">
        <f t="shared" ref="V295:W295" si="170">V291&amp;"     "</f>
        <v>Nuevo     </v>
      </c>
      <c r="W295" s="112" t="str">
        <f t="shared" si="170"/>
        <v>Activa     </v>
      </c>
    </row>
    <row r="296" ht="49.5" customHeight="1">
      <c r="A296" s="110" t="s">
        <v>1312</v>
      </c>
      <c r="B296" s="110" t="s">
        <v>1313</v>
      </c>
      <c r="C296" s="110" t="s">
        <v>1314</v>
      </c>
      <c r="D296" s="110"/>
      <c r="E296" s="111" t="s">
        <v>1315</v>
      </c>
      <c r="F296" s="111" t="s">
        <v>1316</v>
      </c>
      <c r="G296" s="110" t="s">
        <v>1316</v>
      </c>
      <c r="H296" s="113">
        <v>30.0</v>
      </c>
      <c r="I296" s="110" t="s">
        <v>70</v>
      </c>
      <c r="J296" s="112">
        <v>19490.0</v>
      </c>
      <c r="K296" s="113" t="s">
        <v>71</v>
      </c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 t="s">
        <v>72</v>
      </c>
      <c r="W296" s="112" t="s">
        <v>73</v>
      </c>
    </row>
    <row r="297" ht="49.5" customHeight="1">
      <c r="A297" s="110" t="s">
        <v>1317</v>
      </c>
      <c r="B297" s="110" t="s">
        <v>1318</v>
      </c>
      <c r="C297" s="110" t="s">
        <v>1319</v>
      </c>
      <c r="D297" s="110"/>
      <c r="E297" s="111" t="s">
        <v>1320</v>
      </c>
      <c r="F297" s="111" t="s">
        <v>1321</v>
      </c>
      <c r="G297" s="110" t="s">
        <v>90</v>
      </c>
      <c r="H297" s="113">
        <v>30.0</v>
      </c>
      <c r="I297" s="110" t="s">
        <v>70</v>
      </c>
      <c r="J297" s="112">
        <v>113890.0</v>
      </c>
      <c r="K297" s="113" t="s">
        <v>71</v>
      </c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 t="s">
        <v>72</v>
      </c>
      <c r="W297" s="112" t="s">
        <v>73</v>
      </c>
    </row>
    <row r="298" ht="49.5" customHeight="1">
      <c r="A298" s="110" t="s">
        <v>1322</v>
      </c>
      <c r="B298" s="110" t="s">
        <v>1323</v>
      </c>
      <c r="C298" s="110" t="s">
        <v>1324</v>
      </c>
      <c r="D298" s="110"/>
      <c r="E298" s="111" t="s">
        <v>1325</v>
      </c>
      <c r="F298" s="111" t="s">
        <v>1326</v>
      </c>
      <c r="G298" s="110" t="s">
        <v>138</v>
      </c>
      <c r="H298" s="113">
        <v>30.0</v>
      </c>
      <c r="I298" s="110" t="s">
        <v>70</v>
      </c>
      <c r="J298" s="112">
        <v>49890.0</v>
      </c>
      <c r="K298" s="113" t="s">
        <v>71</v>
      </c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 t="s">
        <v>72</v>
      </c>
      <c r="W298" s="112" t="s">
        <v>73</v>
      </c>
    </row>
    <row r="299" ht="49.5" customHeight="1">
      <c r="A299" s="110" t="s">
        <v>1327</v>
      </c>
      <c r="B299" s="110" t="s">
        <v>1328</v>
      </c>
      <c r="C299" s="110" t="s">
        <v>1329</v>
      </c>
      <c r="D299" s="110"/>
      <c r="E299" s="111" t="s">
        <v>1330</v>
      </c>
      <c r="F299" s="111" t="s">
        <v>1331</v>
      </c>
      <c r="G299" s="110" t="s">
        <v>1332</v>
      </c>
      <c r="H299" s="113">
        <v>10.0</v>
      </c>
      <c r="I299" s="110" t="s">
        <v>70</v>
      </c>
      <c r="J299" s="112">
        <v>24590.0</v>
      </c>
      <c r="K299" s="113" t="s">
        <v>71</v>
      </c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 t="s">
        <v>72</v>
      </c>
      <c r="W299" s="112" t="s">
        <v>73</v>
      </c>
    </row>
    <row r="300" ht="49.5" customHeight="1">
      <c r="A300" s="110" t="s">
        <v>1333</v>
      </c>
      <c r="B300" s="110" t="s">
        <v>1334</v>
      </c>
      <c r="C300" s="110" t="s">
        <v>1335</v>
      </c>
      <c r="D300" s="110"/>
      <c r="E300" s="111" t="s">
        <v>1336</v>
      </c>
      <c r="F300" s="111" t="s">
        <v>1337</v>
      </c>
      <c r="G300" s="110" t="s">
        <v>1338</v>
      </c>
      <c r="H300" s="113">
        <v>30.0</v>
      </c>
      <c r="I300" s="110" t="s">
        <v>70</v>
      </c>
      <c r="J300" s="112">
        <v>7090.0</v>
      </c>
      <c r="K300" s="113" t="s">
        <v>71</v>
      </c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 t="s">
        <v>72</v>
      </c>
      <c r="W300" s="112" t="s">
        <v>73</v>
      </c>
    </row>
    <row r="301" ht="49.5" customHeight="1">
      <c r="A301" s="110" t="s">
        <v>1339</v>
      </c>
      <c r="B301" s="110" t="s">
        <v>1340</v>
      </c>
      <c r="C301" s="110" t="s">
        <v>1341</v>
      </c>
      <c r="D301" s="110"/>
      <c r="E301" s="111" t="s">
        <v>1342</v>
      </c>
      <c r="F301" s="111" t="s">
        <v>1343</v>
      </c>
      <c r="G301" s="110" t="s">
        <v>1343</v>
      </c>
      <c r="H301" s="113">
        <v>30.0</v>
      </c>
      <c r="I301" s="110" t="s">
        <v>70</v>
      </c>
      <c r="J301" s="112">
        <v>12390.0</v>
      </c>
      <c r="K301" s="113" t="s">
        <v>71</v>
      </c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 t="s">
        <v>72</v>
      </c>
      <c r="W301" s="112" t="s">
        <v>73</v>
      </c>
    </row>
    <row r="302" ht="49.5" customHeight="1">
      <c r="A302" s="110" t="s">
        <v>1344</v>
      </c>
      <c r="B302" s="110" t="s">
        <v>1345</v>
      </c>
      <c r="C302" s="110" t="s">
        <v>1346</v>
      </c>
      <c r="D302" s="110"/>
      <c r="E302" s="111" t="s">
        <v>1347</v>
      </c>
      <c r="F302" s="111" t="s">
        <v>1348</v>
      </c>
      <c r="G302" s="110" t="s">
        <v>1348</v>
      </c>
      <c r="H302" s="113">
        <v>30.0</v>
      </c>
      <c r="I302" s="110" t="s">
        <v>70</v>
      </c>
      <c r="J302" s="112">
        <v>30390.0</v>
      </c>
      <c r="K302" s="113" t="s">
        <v>71</v>
      </c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 t="s">
        <v>72</v>
      </c>
      <c r="W302" s="112" t="s">
        <v>73</v>
      </c>
    </row>
    <row r="303" ht="49.5" customHeight="1">
      <c r="A303" s="110" t="s">
        <v>1349</v>
      </c>
      <c r="B303" s="110" t="s">
        <v>1350</v>
      </c>
      <c r="C303" s="110" t="s">
        <v>1351</v>
      </c>
      <c r="D303" s="110"/>
      <c r="E303" s="111" t="s">
        <v>1352</v>
      </c>
      <c r="F303" s="111" t="s">
        <v>1353</v>
      </c>
      <c r="G303" s="110" t="s">
        <v>165</v>
      </c>
      <c r="H303" s="113">
        <v>10.0</v>
      </c>
      <c r="I303" s="110" t="s">
        <v>70</v>
      </c>
      <c r="J303" s="112">
        <v>6690.0</v>
      </c>
      <c r="K303" s="113" t="s">
        <v>71</v>
      </c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 t="s">
        <v>72</v>
      </c>
      <c r="W303" s="112" t="s">
        <v>73</v>
      </c>
    </row>
    <row r="304" ht="49.5" customHeight="1">
      <c r="A304" s="110" t="s">
        <v>1354</v>
      </c>
      <c r="B304" s="110" t="s">
        <v>1355</v>
      </c>
      <c r="C304" s="110" t="s">
        <v>1356</v>
      </c>
      <c r="D304" s="110"/>
      <c r="E304" s="111" t="s">
        <v>1357</v>
      </c>
      <c r="F304" s="111" t="s">
        <v>1358</v>
      </c>
      <c r="G304" s="110" t="s">
        <v>1359</v>
      </c>
      <c r="H304" s="113">
        <v>20.0</v>
      </c>
      <c r="I304" s="110" t="s">
        <v>70</v>
      </c>
      <c r="J304" s="112">
        <v>9390.0</v>
      </c>
      <c r="K304" s="113" t="s">
        <v>71</v>
      </c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 t="s">
        <v>72</v>
      </c>
      <c r="W304" s="112" t="s">
        <v>73</v>
      </c>
    </row>
    <row r="305" ht="49.5" customHeight="1">
      <c r="A305" s="110" t="s">
        <v>1360</v>
      </c>
      <c r="B305" s="110" t="s">
        <v>1361</v>
      </c>
      <c r="C305" s="110" t="s">
        <v>1362</v>
      </c>
      <c r="D305" s="110"/>
      <c r="E305" s="111" t="s">
        <v>1363</v>
      </c>
      <c r="F305" s="111" t="s">
        <v>1364</v>
      </c>
      <c r="G305" s="110" t="s">
        <v>1364</v>
      </c>
      <c r="H305" s="113">
        <v>20.0</v>
      </c>
      <c r="I305" s="110" t="s">
        <v>70</v>
      </c>
      <c r="J305" s="112">
        <v>6590.0</v>
      </c>
      <c r="K305" s="113" t="s">
        <v>71</v>
      </c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 t="s">
        <v>72</v>
      </c>
      <c r="W305" s="112" t="s">
        <v>73</v>
      </c>
    </row>
    <row r="306" ht="49.5" customHeight="1">
      <c r="A306" s="110" t="s">
        <v>1365</v>
      </c>
      <c r="B306" s="110" t="s">
        <v>1366</v>
      </c>
      <c r="C306" s="110" t="s">
        <v>1367</v>
      </c>
      <c r="D306" s="110"/>
      <c r="E306" s="111" t="s">
        <v>1368</v>
      </c>
      <c r="F306" s="111" t="s">
        <v>1369</v>
      </c>
      <c r="G306" s="110" t="s">
        <v>1369</v>
      </c>
      <c r="H306" s="113">
        <v>10.0</v>
      </c>
      <c r="I306" s="110" t="s">
        <v>70</v>
      </c>
      <c r="J306" s="112">
        <v>7490.0</v>
      </c>
      <c r="K306" s="113" t="s">
        <v>71</v>
      </c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 t="s">
        <v>72</v>
      </c>
      <c r="W306" s="112" t="s">
        <v>73</v>
      </c>
    </row>
    <row r="307" ht="49.5" customHeight="1">
      <c r="A307" s="110" t="s">
        <v>1370</v>
      </c>
      <c r="B307" s="110" t="s">
        <v>1371</v>
      </c>
      <c r="C307" s="110" t="s">
        <v>1372</v>
      </c>
      <c r="D307" s="110"/>
      <c r="E307" s="111" t="s">
        <v>1373</v>
      </c>
      <c r="F307" s="111" t="s">
        <v>1374</v>
      </c>
      <c r="G307" s="110" t="s">
        <v>1374</v>
      </c>
      <c r="H307" s="113">
        <v>30.0</v>
      </c>
      <c r="I307" s="110" t="s">
        <v>70</v>
      </c>
      <c r="J307" s="112">
        <v>13590.0</v>
      </c>
      <c r="K307" s="113" t="s">
        <v>71</v>
      </c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 t="s">
        <v>72</v>
      </c>
      <c r="W307" s="112" t="s">
        <v>73</v>
      </c>
    </row>
    <row r="308" ht="49.5" customHeight="1">
      <c r="A308" s="110" t="s">
        <v>1375</v>
      </c>
      <c r="B308" s="110" t="s">
        <v>1376</v>
      </c>
      <c r="C308" s="110" t="s">
        <v>1377</v>
      </c>
      <c r="D308" s="110"/>
      <c r="E308" s="111" t="s">
        <v>1378</v>
      </c>
      <c r="F308" s="111" t="s">
        <v>1379</v>
      </c>
      <c r="G308" s="110" t="s">
        <v>1379</v>
      </c>
      <c r="H308" s="113">
        <v>30.0</v>
      </c>
      <c r="I308" s="110" t="s">
        <v>70</v>
      </c>
      <c r="J308" s="112">
        <v>13590.0</v>
      </c>
      <c r="K308" s="113" t="s">
        <v>71</v>
      </c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 t="s">
        <v>72</v>
      </c>
      <c r="W308" s="112" t="s">
        <v>73</v>
      </c>
    </row>
    <row r="309" ht="49.5" customHeight="1">
      <c r="A309" s="110" t="s">
        <v>1380</v>
      </c>
      <c r="B309" s="110" t="s">
        <v>1381</v>
      </c>
      <c r="C309" s="110" t="s">
        <v>1382</v>
      </c>
      <c r="D309" s="110"/>
      <c r="E309" s="111" t="s">
        <v>1383</v>
      </c>
      <c r="F309" s="111" t="s">
        <v>1384</v>
      </c>
      <c r="G309" s="110" t="s">
        <v>1384</v>
      </c>
      <c r="H309" s="113">
        <v>20.0</v>
      </c>
      <c r="I309" s="110" t="s">
        <v>70</v>
      </c>
      <c r="J309" s="112">
        <v>16390.0</v>
      </c>
      <c r="K309" s="113" t="s">
        <v>71</v>
      </c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 t="s">
        <v>72</v>
      </c>
      <c r="W309" s="112" t="s">
        <v>73</v>
      </c>
    </row>
    <row r="310" ht="49.5" customHeight="1">
      <c r="A310" s="110" t="s">
        <v>1385</v>
      </c>
      <c r="B310" s="110" t="s">
        <v>1386</v>
      </c>
      <c r="C310" s="110" t="s">
        <v>1387</v>
      </c>
      <c r="D310" s="110"/>
      <c r="E310" s="111" t="s">
        <v>1388</v>
      </c>
      <c r="F310" s="111" t="s">
        <v>1389</v>
      </c>
      <c r="G310" s="110" t="s">
        <v>1389</v>
      </c>
      <c r="H310" s="113">
        <v>30.0</v>
      </c>
      <c r="I310" s="110" t="s">
        <v>70</v>
      </c>
      <c r="J310" s="112">
        <v>13590.0</v>
      </c>
      <c r="K310" s="113" t="s">
        <v>71</v>
      </c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 t="s">
        <v>72</v>
      </c>
      <c r="W310" s="112" t="s">
        <v>73</v>
      </c>
    </row>
    <row r="311" ht="49.5" customHeight="1">
      <c r="A311" s="110" t="s">
        <v>1390</v>
      </c>
      <c r="B311" s="110" t="s">
        <v>1391</v>
      </c>
      <c r="C311" s="110" t="s">
        <v>1392</v>
      </c>
      <c r="D311" s="110"/>
      <c r="E311" s="111" t="s">
        <v>1393</v>
      </c>
      <c r="F311" s="111" t="s">
        <v>1394</v>
      </c>
      <c r="G311" s="110" t="s">
        <v>1394</v>
      </c>
      <c r="H311" s="113">
        <v>10.0</v>
      </c>
      <c r="I311" s="110" t="s">
        <v>70</v>
      </c>
      <c r="J311" s="112">
        <v>6590.0</v>
      </c>
      <c r="K311" s="113" t="s">
        <v>71</v>
      </c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 t="s">
        <v>72</v>
      </c>
      <c r="W311" s="112" t="s">
        <v>73</v>
      </c>
    </row>
    <row r="312" ht="49.5" customHeight="1">
      <c r="A312" s="110" t="s">
        <v>1395</v>
      </c>
      <c r="B312" s="110" t="s">
        <v>1396</v>
      </c>
      <c r="C312" s="110" t="s">
        <v>1397</v>
      </c>
      <c r="D312" s="110"/>
      <c r="E312" s="111" t="s">
        <v>1398</v>
      </c>
      <c r="F312" s="111" t="s">
        <v>1399</v>
      </c>
      <c r="G312" s="110" t="s">
        <v>1399</v>
      </c>
      <c r="H312" s="113">
        <v>10.0</v>
      </c>
      <c r="I312" s="110" t="s">
        <v>70</v>
      </c>
      <c r="J312" s="112">
        <v>7490.0</v>
      </c>
      <c r="K312" s="113" t="s">
        <v>71</v>
      </c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 t="s">
        <v>72</v>
      </c>
      <c r="W312" s="112" t="s">
        <v>73</v>
      </c>
    </row>
    <row r="313" ht="49.5" customHeight="1">
      <c r="A313" s="110" t="s">
        <v>1400</v>
      </c>
      <c r="B313" s="110" t="s">
        <v>1401</v>
      </c>
      <c r="C313" s="110" t="s">
        <v>1402</v>
      </c>
      <c r="D313" s="110"/>
      <c r="E313" s="111" t="s">
        <v>1403</v>
      </c>
      <c r="F313" s="111" t="s">
        <v>1404</v>
      </c>
      <c r="G313" s="110" t="s">
        <v>1404</v>
      </c>
      <c r="H313" s="113">
        <v>20.0</v>
      </c>
      <c r="I313" s="110" t="s">
        <v>70</v>
      </c>
      <c r="J313" s="112">
        <v>6490.0</v>
      </c>
      <c r="K313" s="113" t="s">
        <v>71</v>
      </c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 t="s">
        <v>72</v>
      </c>
      <c r="W313" s="112" t="s">
        <v>73</v>
      </c>
    </row>
    <row r="314" ht="49.5" customHeight="1">
      <c r="A314" s="110" t="s">
        <v>1405</v>
      </c>
      <c r="B314" s="110" t="s">
        <v>1406</v>
      </c>
      <c r="C314" s="110" t="s">
        <v>1407</v>
      </c>
      <c r="D314" s="110"/>
      <c r="E314" s="111" t="s">
        <v>1408</v>
      </c>
      <c r="F314" s="111" t="s">
        <v>1409</v>
      </c>
      <c r="G314" s="110" t="s">
        <v>1409</v>
      </c>
      <c r="H314" s="113">
        <v>20.0</v>
      </c>
      <c r="I314" s="110" t="s">
        <v>70</v>
      </c>
      <c r="J314" s="112">
        <v>16390.0</v>
      </c>
      <c r="K314" s="113" t="s">
        <v>71</v>
      </c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 t="s">
        <v>72</v>
      </c>
      <c r="W314" s="112" t="s">
        <v>73</v>
      </c>
    </row>
    <row r="315" ht="49.5" customHeight="1">
      <c r="A315" s="110" t="s">
        <v>1410</v>
      </c>
      <c r="B315" s="110" t="s">
        <v>1411</v>
      </c>
      <c r="C315" s="110" t="s">
        <v>1412</v>
      </c>
      <c r="D315" s="110"/>
      <c r="E315" s="111" t="s">
        <v>1413</v>
      </c>
      <c r="F315" s="111" t="s">
        <v>1414</v>
      </c>
      <c r="G315" s="110" t="s">
        <v>165</v>
      </c>
      <c r="H315" s="113">
        <v>30.0</v>
      </c>
      <c r="I315" s="110" t="s">
        <v>70</v>
      </c>
      <c r="J315" s="112">
        <v>8790.0</v>
      </c>
      <c r="K315" s="113" t="s">
        <v>71</v>
      </c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 t="s">
        <v>72</v>
      </c>
      <c r="W315" s="112" t="s">
        <v>73</v>
      </c>
    </row>
    <row r="316" ht="49.5" customHeight="1">
      <c r="A316" s="110" t="s">
        <v>1415</v>
      </c>
      <c r="B316" s="110" t="s">
        <v>1416</v>
      </c>
      <c r="C316" s="110" t="s">
        <v>1417</v>
      </c>
      <c r="D316" s="110"/>
      <c r="E316" s="111" t="s">
        <v>1418</v>
      </c>
      <c r="F316" s="111" t="s">
        <v>1419</v>
      </c>
      <c r="G316" s="110" t="s">
        <v>1419</v>
      </c>
      <c r="H316" s="113">
        <v>10.0</v>
      </c>
      <c r="I316" s="110" t="s">
        <v>70</v>
      </c>
      <c r="J316" s="112">
        <v>7290.0</v>
      </c>
      <c r="K316" s="113" t="s">
        <v>71</v>
      </c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 t="s">
        <v>72</v>
      </c>
      <c r="W316" s="112" t="s">
        <v>73</v>
      </c>
    </row>
    <row r="317" ht="49.5" customHeight="1">
      <c r="A317" s="110" t="s">
        <v>1420</v>
      </c>
      <c r="B317" s="110" t="s">
        <v>1421</v>
      </c>
      <c r="C317" s="110" t="s">
        <v>1422</v>
      </c>
      <c r="D317" s="110"/>
      <c r="E317" s="111" t="s">
        <v>1423</v>
      </c>
      <c r="F317" s="111" t="s">
        <v>1424</v>
      </c>
      <c r="G317" s="110" t="s">
        <v>165</v>
      </c>
      <c r="H317" s="113">
        <v>30.0</v>
      </c>
      <c r="I317" s="110" t="s">
        <v>70</v>
      </c>
      <c r="J317" s="112">
        <v>7690.0</v>
      </c>
      <c r="K317" s="113" t="s">
        <v>71</v>
      </c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 t="s">
        <v>72</v>
      </c>
      <c r="W317" s="112" t="s">
        <v>73</v>
      </c>
    </row>
    <row r="318" ht="49.5" customHeight="1">
      <c r="A318" s="110" t="s">
        <v>1425</v>
      </c>
      <c r="B318" s="110" t="s">
        <v>1426</v>
      </c>
      <c r="C318" s="110" t="s">
        <v>1427</v>
      </c>
      <c r="D318" s="110"/>
      <c r="E318" s="111" t="s">
        <v>1428</v>
      </c>
      <c r="F318" s="111" t="s">
        <v>1429</v>
      </c>
      <c r="G318" s="110" t="s">
        <v>1429</v>
      </c>
      <c r="H318" s="113">
        <v>20.0</v>
      </c>
      <c r="I318" s="110" t="s">
        <v>70</v>
      </c>
      <c r="J318" s="112">
        <v>6590.0</v>
      </c>
      <c r="K318" s="113" t="s">
        <v>71</v>
      </c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 t="s">
        <v>72</v>
      </c>
      <c r="W318" s="112" t="s">
        <v>73</v>
      </c>
    </row>
    <row r="319" ht="49.5" customHeight="1">
      <c r="A319" s="110" t="s">
        <v>1430</v>
      </c>
      <c r="B319" s="110" t="s">
        <v>1431</v>
      </c>
      <c r="C319" s="110" t="s">
        <v>1432</v>
      </c>
      <c r="D319" s="110"/>
      <c r="E319" s="111" t="s">
        <v>1433</v>
      </c>
      <c r="F319" s="111" t="s">
        <v>1434</v>
      </c>
      <c r="G319" s="110" t="s">
        <v>1434</v>
      </c>
      <c r="H319" s="113">
        <v>30.0</v>
      </c>
      <c r="I319" s="110" t="s">
        <v>70</v>
      </c>
      <c r="J319" s="112">
        <v>13590.0</v>
      </c>
      <c r="K319" s="113" t="s">
        <v>71</v>
      </c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 t="s">
        <v>72</v>
      </c>
      <c r="W319" s="112" t="s">
        <v>73</v>
      </c>
    </row>
    <row r="320" ht="49.5" customHeight="1">
      <c r="A320" s="110" t="s">
        <v>1435</v>
      </c>
      <c r="B320" s="110" t="s">
        <v>1436</v>
      </c>
      <c r="C320" s="110" t="s">
        <v>1437</v>
      </c>
      <c r="D320" s="110"/>
      <c r="E320" s="111" t="s">
        <v>1438</v>
      </c>
      <c r="F320" s="111" t="s">
        <v>1439</v>
      </c>
      <c r="G320" s="110" t="s">
        <v>1439</v>
      </c>
      <c r="H320" s="113">
        <v>10.0</v>
      </c>
      <c r="I320" s="110" t="s">
        <v>70</v>
      </c>
      <c r="J320" s="112">
        <v>12490.0</v>
      </c>
      <c r="K320" s="113" t="s">
        <v>71</v>
      </c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 t="s">
        <v>72</v>
      </c>
      <c r="W320" s="112" t="s">
        <v>73</v>
      </c>
    </row>
    <row r="321" ht="49.5" customHeight="1">
      <c r="A321" s="110" t="s">
        <v>1440</v>
      </c>
      <c r="B321" s="110" t="s">
        <v>1441</v>
      </c>
      <c r="C321" s="110" t="s">
        <v>1442</v>
      </c>
      <c r="D321" s="110"/>
      <c r="E321" s="111" t="s">
        <v>1443</v>
      </c>
      <c r="F321" s="111" t="s">
        <v>1444</v>
      </c>
      <c r="G321" s="110" t="s">
        <v>1444</v>
      </c>
      <c r="H321" s="113">
        <v>30.0</v>
      </c>
      <c r="I321" s="110" t="s">
        <v>70</v>
      </c>
      <c r="J321" s="112">
        <v>16390.0</v>
      </c>
      <c r="K321" s="113" t="s">
        <v>71</v>
      </c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 t="s">
        <v>72</v>
      </c>
      <c r="W321" s="112" t="s">
        <v>73</v>
      </c>
    </row>
    <row r="322" ht="49.5" customHeight="1">
      <c r="A322" s="110" t="s">
        <v>63</v>
      </c>
      <c r="B322" s="110" t="s">
        <v>1445</v>
      </c>
      <c r="C322" s="110"/>
      <c r="D322" s="110"/>
      <c r="E322" s="112" t="s">
        <v>1445</v>
      </c>
      <c r="F322" s="111" t="s">
        <v>1446</v>
      </c>
      <c r="G322" s="110" t="s">
        <v>70</v>
      </c>
      <c r="H322" s="110" t="s">
        <v>666</v>
      </c>
      <c r="I322" s="110" t="s">
        <v>70</v>
      </c>
      <c r="J322" s="112">
        <v>16890.0</v>
      </c>
      <c r="K322" s="113" t="s">
        <v>71</v>
      </c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 t="s">
        <v>72</v>
      </c>
      <c r="W322" s="112" t="s">
        <v>73</v>
      </c>
    </row>
    <row r="323" ht="49.5" customHeight="1">
      <c r="A323" s="110" t="s">
        <v>63</v>
      </c>
      <c r="B323" s="110" t="s">
        <v>1445</v>
      </c>
      <c r="C323" s="110" t="s">
        <v>1447</v>
      </c>
      <c r="D323" s="110" t="s">
        <v>1447</v>
      </c>
      <c r="E323" s="111" t="s">
        <v>1448</v>
      </c>
      <c r="F323" s="114" t="str">
        <f>"     "&amp;F322</f>
        <v>     Traje De Baño Varón Drb 5.30.06 Boxer Liso</v>
      </c>
      <c r="G323" s="110" t="s">
        <v>657</v>
      </c>
      <c r="H323" s="113">
        <v>10.0</v>
      </c>
      <c r="I323" s="110" t="s">
        <v>70</v>
      </c>
      <c r="J323" s="112">
        <f>J322</f>
        <v>16890</v>
      </c>
      <c r="K323" s="110" t="str">
        <f>K322&amp;"     "</f>
        <v>$     </v>
      </c>
      <c r="L323" s="110" t="str">
        <f t="shared" ref="L323:U323" si="171">L322</f>
        <v/>
      </c>
      <c r="M323" s="110" t="str">
        <f t="shared" si="171"/>
        <v/>
      </c>
      <c r="N323" s="110" t="str">
        <f t="shared" si="171"/>
        <v/>
      </c>
      <c r="O323" s="110" t="str">
        <f t="shared" si="171"/>
        <v/>
      </c>
      <c r="P323" s="110" t="str">
        <f t="shared" si="171"/>
        <v/>
      </c>
      <c r="Q323" s="110" t="str">
        <f t="shared" si="171"/>
        <v/>
      </c>
      <c r="R323" s="110" t="str">
        <f t="shared" si="171"/>
        <v/>
      </c>
      <c r="S323" s="110" t="str">
        <f t="shared" si="171"/>
        <v/>
      </c>
      <c r="T323" s="110" t="str">
        <f t="shared" si="171"/>
        <v/>
      </c>
      <c r="U323" s="110" t="str">
        <f t="shared" si="171"/>
        <v/>
      </c>
      <c r="V323" s="110" t="str">
        <f t="shared" ref="V323:W323" si="172">V322&amp;"     "</f>
        <v>Nuevo     </v>
      </c>
      <c r="W323" s="112" t="str">
        <f t="shared" si="172"/>
        <v>Activa     </v>
      </c>
    </row>
    <row r="324" ht="49.5" customHeight="1">
      <c r="A324" s="110" t="s">
        <v>63</v>
      </c>
      <c r="B324" s="110" t="s">
        <v>1445</v>
      </c>
      <c r="C324" s="110" t="s">
        <v>1449</v>
      </c>
      <c r="D324" s="110" t="s">
        <v>1449</v>
      </c>
      <c r="E324" s="111" t="s">
        <v>1450</v>
      </c>
      <c r="F324" s="114" t="str">
        <f>"     "&amp;F322</f>
        <v>     Traje De Baño Varón Drb 5.30.06 Boxer Liso</v>
      </c>
      <c r="G324" s="110" t="s">
        <v>654</v>
      </c>
      <c r="H324" s="113">
        <v>10.0</v>
      </c>
      <c r="I324" s="110" t="s">
        <v>70</v>
      </c>
      <c r="J324" s="112">
        <f>J322</f>
        <v>16890</v>
      </c>
      <c r="K324" s="110" t="str">
        <f>K322&amp;"     "</f>
        <v>$     </v>
      </c>
      <c r="L324" s="110" t="str">
        <f t="shared" ref="L324:U324" si="173">L322</f>
        <v/>
      </c>
      <c r="M324" s="110" t="str">
        <f t="shared" si="173"/>
        <v/>
      </c>
      <c r="N324" s="110" t="str">
        <f t="shared" si="173"/>
        <v/>
      </c>
      <c r="O324" s="110" t="str">
        <f t="shared" si="173"/>
        <v/>
      </c>
      <c r="P324" s="110" t="str">
        <f t="shared" si="173"/>
        <v/>
      </c>
      <c r="Q324" s="110" t="str">
        <f t="shared" si="173"/>
        <v/>
      </c>
      <c r="R324" s="110" t="str">
        <f t="shared" si="173"/>
        <v/>
      </c>
      <c r="S324" s="110" t="str">
        <f t="shared" si="173"/>
        <v/>
      </c>
      <c r="T324" s="110" t="str">
        <f t="shared" si="173"/>
        <v/>
      </c>
      <c r="U324" s="110" t="str">
        <f t="shared" si="173"/>
        <v/>
      </c>
      <c r="V324" s="110" t="str">
        <f t="shared" ref="V324:W324" si="174">V322&amp;"     "</f>
        <v>Nuevo     </v>
      </c>
      <c r="W324" s="112" t="str">
        <f t="shared" si="174"/>
        <v>Activa     </v>
      </c>
    </row>
    <row r="325" ht="49.5" customHeight="1">
      <c r="A325" s="110" t="s">
        <v>63</v>
      </c>
      <c r="B325" s="110" t="s">
        <v>1445</v>
      </c>
      <c r="C325" s="110" t="s">
        <v>1451</v>
      </c>
      <c r="D325" s="110" t="s">
        <v>1451</v>
      </c>
      <c r="E325" s="111" t="s">
        <v>1452</v>
      </c>
      <c r="F325" s="114" t="str">
        <f>"     "&amp;F322</f>
        <v>     Traje De Baño Varón Drb 5.30.06 Boxer Liso</v>
      </c>
      <c r="G325" s="110" t="s">
        <v>663</v>
      </c>
      <c r="H325" s="113">
        <v>10.0</v>
      </c>
      <c r="I325" s="110" t="s">
        <v>70</v>
      </c>
      <c r="J325" s="112">
        <f>J322</f>
        <v>16890</v>
      </c>
      <c r="K325" s="110" t="str">
        <f>K322&amp;"     "</f>
        <v>$     </v>
      </c>
      <c r="L325" s="110" t="str">
        <f t="shared" ref="L325:U325" si="175">L322</f>
        <v/>
      </c>
      <c r="M325" s="110" t="str">
        <f t="shared" si="175"/>
        <v/>
      </c>
      <c r="N325" s="110" t="str">
        <f t="shared" si="175"/>
        <v/>
      </c>
      <c r="O325" s="110" t="str">
        <f t="shared" si="175"/>
        <v/>
      </c>
      <c r="P325" s="110" t="str">
        <f t="shared" si="175"/>
        <v/>
      </c>
      <c r="Q325" s="110" t="str">
        <f t="shared" si="175"/>
        <v/>
      </c>
      <c r="R325" s="110" t="str">
        <f t="shared" si="175"/>
        <v/>
      </c>
      <c r="S325" s="110" t="str">
        <f t="shared" si="175"/>
        <v/>
      </c>
      <c r="T325" s="110" t="str">
        <f t="shared" si="175"/>
        <v/>
      </c>
      <c r="U325" s="110" t="str">
        <f t="shared" si="175"/>
        <v/>
      </c>
      <c r="V325" s="110" t="str">
        <f t="shared" ref="V325:W325" si="176">V322&amp;"     "</f>
        <v>Nuevo     </v>
      </c>
      <c r="W325" s="112" t="str">
        <f t="shared" si="176"/>
        <v>Activa     </v>
      </c>
    </row>
    <row r="326" ht="49.5" customHeight="1">
      <c r="A326" s="110" t="s">
        <v>63</v>
      </c>
      <c r="B326" s="110" t="s">
        <v>1445</v>
      </c>
      <c r="C326" s="110" t="s">
        <v>1453</v>
      </c>
      <c r="D326" s="110" t="s">
        <v>1453</v>
      </c>
      <c r="E326" s="111" t="s">
        <v>1454</v>
      </c>
      <c r="F326" s="114" t="str">
        <f>"     "&amp;F322</f>
        <v>     Traje De Baño Varón Drb 5.30.06 Boxer Liso</v>
      </c>
      <c r="G326" s="110" t="s">
        <v>660</v>
      </c>
      <c r="H326" s="113">
        <v>10.0</v>
      </c>
      <c r="I326" s="110" t="s">
        <v>70</v>
      </c>
      <c r="J326" s="112">
        <f>J322</f>
        <v>16890</v>
      </c>
      <c r="K326" s="110" t="str">
        <f>K322&amp;"     "</f>
        <v>$     </v>
      </c>
      <c r="L326" s="110" t="str">
        <f t="shared" ref="L326:U326" si="177">L322</f>
        <v/>
      </c>
      <c r="M326" s="110" t="str">
        <f t="shared" si="177"/>
        <v/>
      </c>
      <c r="N326" s="110" t="str">
        <f t="shared" si="177"/>
        <v/>
      </c>
      <c r="O326" s="110" t="str">
        <f t="shared" si="177"/>
        <v/>
      </c>
      <c r="P326" s="110" t="str">
        <f t="shared" si="177"/>
        <v/>
      </c>
      <c r="Q326" s="110" t="str">
        <f t="shared" si="177"/>
        <v/>
      </c>
      <c r="R326" s="110" t="str">
        <f t="shared" si="177"/>
        <v/>
      </c>
      <c r="S326" s="110" t="str">
        <f t="shared" si="177"/>
        <v/>
      </c>
      <c r="T326" s="110" t="str">
        <f t="shared" si="177"/>
        <v/>
      </c>
      <c r="U326" s="110" t="str">
        <f t="shared" si="177"/>
        <v/>
      </c>
      <c r="V326" s="110" t="str">
        <f t="shared" ref="V326:W326" si="178">V322&amp;"     "</f>
        <v>Nuevo     </v>
      </c>
      <c r="W326" s="112" t="str">
        <f t="shared" si="178"/>
        <v>Activa     </v>
      </c>
    </row>
    <row r="327" ht="49.5" customHeight="1">
      <c r="A327" s="110" t="s">
        <v>1455</v>
      </c>
      <c r="B327" s="110" t="s">
        <v>1456</v>
      </c>
      <c r="C327" s="110" t="s">
        <v>1457</v>
      </c>
      <c r="D327" s="110"/>
      <c r="E327" s="111" t="s">
        <v>1458</v>
      </c>
      <c r="F327" s="111" t="s">
        <v>1459</v>
      </c>
      <c r="G327" s="110" t="s">
        <v>1460</v>
      </c>
      <c r="H327" s="113">
        <v>30.0</v>
      </c>
      <c r="I327" s="110" t="s">
        <v>70</v>
      </c>
      <c r="J327" s="112">
        <v>31490.0</v>
      </c>
      <c r="K327" s="113" t="s">
        <v>71</v>
      </c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 t="s">
        <v>72</v>
      </c>
      <c r="W327" s="112" t="s">
        <v>73</v>
      </c>
    </row>
    <row r="328" ht="49.5" customHeight="1">
      <c r="A328" s="110" t="s">
        <v>1461</v>
      </c>
      <c r="B328" s="110" t="s">
        <v>1462</v>
      </c>
      <c r="C328" s="110" t="s">
        <v>1463</v>
      </c>
      <c r="D328" s="110"/>
      <c r="E328" s="111" t="s">
        <v>1464</v>
      </c>
      <c r="F328" s="111" t="s">
        <v>1465</v>
      </c>
      <c r="G328" s="110" t="s">
        <v>1466</v>
      </c>
      <c r="H328" s="113">
        <v>30.0</v>
      </c>
      <c r="I328" s="110" t="s">
        <v>70</v>
      </c>
      <c r="J328" s="112">
        <v>31490.0</v>
      </c>
      <c r="K328" s="113" t="s">
        <v>71</v>
      </c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 t="s">
        <v>72</v>
      </c>
      <c r="W328" s="112" t="s">
        <v>73</v>
      </c>
    </row>
    <row r="329" ht="49.5" customHeight="1">
      <c r="A329" s="110" t="s">
        <v>1467</v>
      </c>
      <c r="B329" s="110" t="s">
        <v>1468</v>
      </c>
      <c r="C329" s="110" t="s">
        <v>1469</v>
      </c>
      <c r="D329" s="110"/>
      <c r="E329" s="111" t="s">
        <v>1470</v>
      </c>
      <c r="F329" s="111" t="s">
        <v>1471</v>
      </c>
      <c r="G329" s="110" t="s">
        <v>138</v>
      </c>
      <c r="H329" s="113">
        <v>30.0</v>
      </c>
      <c r="I329" s="110" t="s">
        <v>70</v>
      </c>
      <c r="J329" s="112">
        <v>256990.0</v>
      </c>
      <c r="K329" s="113" t="s">
        <v>71</v>
      </c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 t="s">
        <v>72</v>
      </c>
      <c r="W329" s="112" t="s">
        <v>73</v>
      </c>
    </row>
    <row r="330" ht="49.5" customHeight="1">
      <c r="A330" s="110" t="s">
        <v>1472</v>
      </c>
      <c r="B330" s="110" t="s">
        <v>1473</v>
      </c>
      <c r="C330" s="110" t="s">
        <v>1474</v>
      </c>
      <c r="D330" s="110"/>
      <c r="E330" s="111" t="s">
        <v>1475</v>
      </c>
      <c r="F330" s="111" t="s">
        <v>1476</v>
      </c>
      <c r="G330" s="110" t="s">
        <v>1476</v>
      </c>
      <c r="H330" s="113">
        <v>30.0</v>
      </c>
      <c r="I330" s="110" t="s">
        <v>70</v>
      </c>
      <c r="J330" s="112">
        <v>18490.0</v>
      </c>
      <c r="K330" s="113" t="s">
        <v>71</v>
      </c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 t="s">
        <v>72</v>
      </c>
      <c r="W330" s="112" t="s">
        <v>73</v>
      </c>
    </row>
    <row r="331" ht="49.5" customHeight="1">
      <c r="A331" s="110" t="s">
        <v>1477</v>
      </c>
      <c r="B331" s="110" t="s">
        <v>1478</v>
      </c>
      <c r="C331" s="110" t="s">
        <v>1479</v>
      </c>
      <c r="D331" s="110"/>
      <c r="E331" s="111" t="s">
        <v>1480</v>
      </c>
      <c r="F331" s="111" t="s">
        <v>1481</v>
      </c>
      <c r="G331" s="110" t="s">
        <v>1481</v>
      </c>
      <c r="H331" s="113">
        <v>30.0</v>
      </c>
      <c r="I331" s="110" t="s">
        <v>70</v>
      </c>
      <c r="J331" s="112">
        <v>38390.0</v>
      </c>
      <c r="K331" s="113" t="s">
        <v>71</v>
      </c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 t="s">
        <v>72</v>
      </c>
      <c r="W331" s="112" t="s">
        <v>73</v>
      </c>
    </row>
    <row r="332" ht="49.5" customHeight="1">
      <c r="A332" s="110" t="s">
        <v>1482</v>
      </c>
      <c r="B332" s="110" t="s">
        <v>1483</v>
      </c>
      <c r="C332" s="110" t="s">
        <v>1484</v>
      </c>
      <c r="D332" s="110"/>
      <c r="E332" s="111" t="s">
        <v>1485</v>
      </c>
      <c r="F332" s="111" t="s">
        <v>1486</v>
      </c>
      <c r="G332" s="110" t="s">
        <v>84</v>
      </c>
      <c r="H332" s="113">
        <v>10.0</v>
      </c>
      <c r="I332" s="110" t="s">
        <v>70</v>
      </c>
      <c r="J332" s="112">
        <v>6890.0</v>
      </c>
      <c r="K332" s="113" t="s">
        <v>71</v>
      </c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 t="s">
        <v>72</v>
      </c>
      <c r="W332" s="112" t="s">
        <v>73</v>
      </c>
    </row>
    <row r="333" ht="49.5" customHeight="1">
      <c r="A333" s="110" t="s">
        <v>1487</v>
      </c>
      <c r="B333" s="110" t="s">
        <v>1488</v>
      </c>
      <c r="C333" s="110" t="s">
        <v>1489</v>
      </c>
      <c r="D333" s="110"/>
      <c r="E333" s="111" t="s">
        <v>1490</v>
      </c>
      <c r="F333" s="111" t="s">
        <v>1491</v>
      </c>
      <c r="G333" s="110" t="s">
        <v>138</v>
      </c>
      <c r="H333" s="113">
        <v>30.0</v>
      </c>
      <c r="I333" s="110" t="s">
        <v>70</v>
      </c>
      <c r="J333" s="112">
        <v>563490.0</v>
      </c>
      <c r="K333" s="113" t="s">
        <v>71</v>
      </c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 t="s">
        <v>72</v>
      </c>
      <c r="W333" s="112" t="s">
        <v>73</v>
      </c>
    </row>
    <row r="334" ht="49.5" customHeight="1">
      <c r="A334" s="110" t="s">
        <v>1492</v>
      </c>
      <c r="B334" s="110" t="s">
        <v>1493</v>
      </c>
      <c r="C334" s="110" t="s">
        <v>1494</v>
      </c>
      <c r="D334" s="110"/>
      <c r="E334" s="111" t="s">
        <v>1495</v>
      </c>
      <c r="F334" s="111" t="s">
        <v>1496</v>
      </c>
      <c r="G334" s="110" t="s">
        <v>302</v>
      </c>
      <c r="H334" s="113">
        <v>30.0</v>
      </c>
      <c r="I334" s="110" t="s">
        <v>70</v>
      </c>
      <c r="J334" s="112">
        <v>31490.0</v>
      </c>
      <c r="K334" s="113" t="s">
        <v>71</v>
      </c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 t="s">
        <v>72</v>
      </c>
      <c r="W334" s="112" t="s">
        <v>73</v>
      </c>
    </row>
    <row r="335" ht="49.5" customHeight="1">
      <c r="A335" s="110" t="s">
        <v>63</v>
      </c>
      <c r="B335" s="110" t="s">
        <v>1497</v>
      </c>
      <c r="C335" s="110"/>
      <c r="D335" s="110"/>
      <c r="E335" s="112" t="s">
        <v>1497</v>
      </c>
      <c r="F335" s="111" t="s">
        <v>1498</v>
      </c>
      <c r="G335" s="110" t="s">
        <v>70</v>
      </c>
      <c r="H335" s="110" t="s">
        <v>666</v>
      </c>
      <c r="I335" s="110" t="s">
        <v>70</v>
      </c>
      <c r="J335" s="112">
        <v>17090.0</v>
      </c>
      <c r="K335" s="113" t="s">
        <v>71</v>
      </c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 t="s">
        <v>72</v>
      </c>
      <c r="W335" s="112" t="s">
        <v>73</v>
      </c>
    </row>
    <row r="336" ht="49.5" customHeight="1">
      <c r="A336" s="110" t="s">
        <v>63</v>
      </c>
      <c r="B336" s="110" t="s">
        <v>1497</v>
      </c>
      <c r="C336" s="110" t="s">
        <v>1499</v>
      </c>
      <c r="D336" s="110" t="s">
        <v>1499</v>
      </c>
      <c r="E336" s="111" t="s">
        <v>1500</v>
      </c>
      <c r="F336" s="114" t="str">
        <f>"     "&amp;F335</f>
        <v>     Traje De Baño Varón Drb 5.30.07 Boxer Combinado</v>
      </c>
      <c r="G336" s="110" t="s">
        <v>196</v>
      </c>
      <c r="H336" s="113">
        <v>10.0</v>
      </c>
      <c r="I336" s="110" t="s">
        <v>70</v>
      </c>
      <c r="J336" s="112">
        <f>J335</f>
        <v>17090</v>
      </c>
      <c r="K336" s="110" t="str">
        <f>K335&amp;"     "</f>
        <v>$     </v>
      </c>
      <c r="L336" s="110" t="str">
        <f t="shared" ref="L336:U336" si="179">L335</f>
        <v/>
      </c>
      <c r="M336" s="110" t="str">
        <f t="shared" si="179"/>
        <v/>
      </c>
      <c r="N336" s="110" t="str">
        <f t="shared" si="179"/>
        <v/>
      </c>
      <c r="O336" s="110" t="str">
        <f t="shared" si="179"/>
        <v/>
      </c>
      <c r="P336" s="110" t="str">
        <f t="shared" si="179"/>
        <v/>
      </c>
      <c r="Q336" s="110" t="str">
        <f t="shared" si="179"/>
        <v/>
      </c>
      <c r="R336" s="110" t="str">
        <f t="shared" si="179"/>
        <v/>
      </c>
      <c r="S336" s="110" t="str">
        <f t="shared" si="179"/>
        <v/>
      </c>
      <c r="T336" s="110" t="str">
        <f t="shared" si="179"/>
        <v/>
      </c>
      <c r="U336" s="110" t="str">
        <f t="shared" si="179"/>
        <v/>
      </c>
      <c r="V336" s="110" t="str">
        <f t="shared" ref="V336:W336" si="180">V335&amp;"     "</f>
        <v>Nuevo     </v>
      </c>
      <c r="W336" s="112" t="str">
        <f t="shared" si="180"/>
        <v>Activa     </v>
      </c>
    </row>
    <row r="337" ht="49.5" customHeight="1">
      <c r="A337" s="110" t="s">
        <v>63</v>
      </c>
      <c r="B337" s="110" t="s">
        <v>1497</v>
      </c>
      <c r="C337" s="110" t="s">
        <v>1501</v>
      </c>
      <c r="D337" s="110" t="s">
        <v>1501</v>
      </c>
      <c r="E337" s="111" t="s">
        <v>1502</v>
      </c>
      <c r="F337" s="114" t="str">
        <f>"     "&amp;F335</f>
        <v>     Traje De Baño Varón Drb 5.30.07 Boxer Combinado</v>
      </c>
      <c r="G337" s="110" t="s">
        <v>202</v>
      </c>
      <c r="H337" s="113">
        <v>10.0</v>
      </c>
      <c r="I337" s="110" t="s">
        <v>70</v>
      </c>
      <c r="J337" s="112">
        <f>J335</f>
        <v>17090</v>
      </c>
      <c r="K337" s="110" t="str">
        <f>K335&amp;"     "</f>
        <v>$     </v>
      </c>
      <c r="L337" s="110" t="str">
        <f t="shared" ref="L337:U337" si="181">L335</f>
        <v/>
      </c>
      <c r="M337" s="110" t="str">
        <f t="shared" si="181"/>
        <v/>
      </c>
      <c r="N337" s="110" t="str">
        <f t="shared" si="181"/>
        <v/>
      </c>
      <c r="O337" s="110" t="str">
        <f t="shared" si="181"/>
        <v/>
      </c>
      <c r="P337" s="110" t="str">
        <f t="shared" si="181"/>
        <v/>
      </c>
      <c r="Q337" s="110" t="str">
        <f t="shared" si="181"/>
        <v/>
      </c>
      <c r="R337" s="110" t="str">
        <f t="shared" si="181"/>
        <v/>
      </c>
      <c r="S337" s="110" t="str">
        <f t="shared" si="181"/>
        <v/>
      </c>
      <c r="T337" s="110" t="str">
        <f t="shared" si="181"/>
        <v/>
      </c>
      <c r="U337" s="110" t="str">
        <f t="shared" si="181"/>
        <v/>
      </c>
      <c r="V337" s="110" t="str">
        <f t="shared" ref="V337:W337" si="182">V335&amp;"     "</f>
        <v>Nuevo     </v>
      </c>
      <c r="W337" s="112" t="str">
        <f t="shared" si="182"/>
        <v>Activa     </v>
      </c>
    </row>
    <row r="338" ht="49.5" customHeight="1">
      <c r="A338" s="110" t="s">
        <v>63</v>
      </c>
      <c r="B338" s="110" t="s">
        <v>1497</v>
      </c>
      <c r="C338" s="110" t="s">
        <v>1503</v>
      </c>
      <c r="D338" s="110" t="s">
        <v>1503</v>
      </c>
      <c r="E338" s="111" t="s">
        <v>1504</v>
      </c>
      <c r="F338" s="114" t="str">
        <f>"     "&amp;F335</f>
        <v>     Traje De Baño Varón Drb 5.30.07 Boxer Combinado</v>
      </c>
      <c r="G338" s="110" t="s">
        <v>193</v>
      </c>
      <c r="H338" s="113">
        <v>10.0</v>
      </c>
      <c r="I338" s="110" t="s">
        <v>70</v>
      </c>
      <c r="J338" s="112">
        <f>J335</f>
        <v>17090</v>
      </c>
      <c r="K338" s="110" t="str">
        <f>K335&amp;"     "</f>
        <v>$     </v>
      </c>
      <c r="L338" s="110" t="str">
        <f t="shared" ref="L338:U338" si="183">L335</f>
        <v/>
      </c>
      <c r="M338" s="110" t="str">
        <f t="shared" si="183"/>
        <v/>
      </c>
      <c r="N338" s="110" t="str">
        <f t="shared" si="183"/>
        <v/>
      </c>
      <c r="O338" s="110" t="str">
        <f t="shared" si="183"/>
        <v/>
      </c>
      <c r="P338" s="110" t="str">
        <f t="shared" si="183"/>
        <v/>
      </c>
      <c r="Q338" s="110" t="str">
        <f t="shared" si="183"/>
        <v/>
      </c>
      <c r="R338" s="110" t="str">
        <f t="shared" si="183"/>
        <v/>
      </c>
      <c r="S338" s="110" t="str">
        <f t="shared" si="183"/>
        <v/>
      </c>
      <c r="T338" s="110" t="str">
        <f t="shared" si="183"/>
        <v/>
      </c>
      <c r="U338" s="110" t="str">
        <f t="shared" si="183"/>
        <v/>
      </c>
      <c r="V338" s="110" t="str">
        <f t="shared" ref="V338:W338" si="184">V335&amp;"     "</f>
        <v>Nuevo     </v>
      </c>
      <c r="W338" s="112" t="str">
        <f t="shared" si="184"/>
        <v>Activa     </v>
      </c>
    </row>
    <row r="339" ht="49.5" customHeight="1">
      <c r="A339" s="110" t="s">
        <v>63</v>
      </c>
      <c r="B339" s="110" t="s">
        <v>1497</v>
      </c>
      <c r="C339" s="110" t="s">
        <v>1505</v>
      </c>
      <c r="D339" s="110" t="s">
        <v>1505</v>
      </c>
      <c r="E339" s="111" t="s">
        <v>1506</v>
      </c>
      <c r="F339" s="114" t="str">
        <f>"     "&amp;F335</f>
        <v>     Traje De Baño Varón Drb 5.30.07 Boxer Combinado</v>
      </c>
      <c r="G339" s="110" t="s">
        <v>199</v>
      </c>
      <c r="H339" s="113">
        <v>10.0</v>
      </c>
      <c r="I339" s="110" t="s">
        <v>70</v>
      </c>
      <c r="J339" s="112">
        <f>J335</f>
        <v>17090</v>
      </c>
      <c r="K339" s="110" t="str">
        <f>K335&amp;"     "</f>
        <v>$     </v>
      </c>
      <c r="L339" s="110" t="str">
        <f t="shared" ref="L339:U339" si="185">L335</f>
        <v/>
      </c>
      <c r="M339" s="110" t="str">
        <f t="shared" si="185"/>
        <v/>
      </c>
      <c r="N339" s="110" t="str">
        <f t="shared" si="185"/>
        <v/>
      </c>
      <c r="O339" s="110" t="str">
        <f t="shared" si="185"/>
        <v/>
      </c>
      <c r="P339" s="110" t="str">
        <f t="shared" si="185"/>
        <v/>
      </c>
      <c r="Q339" s="110" t="str">
        <f t="shared" si="185"/>
        <v/>
      </c>
      <c r="R339" s="110" t="str">
        <f t="shared" si="185"/>
        <v/>
      </c>
      <c r="S339" s="110" t="str">
        <f t="shared" si="185"/>
        <v/>
      </c>
      <c r="T339" s="110" t="str">
        <f t="shared" si="185"/>
        <v/>
      </c>
      <c r="U339" s="110" t="str">
        <f t="shared" si="185"/>
        <v/>
      </c>
      <c r="V339" s="110" t="str">
        <f t="shared" ref="V339:W339" si="186">V335&amp;"     "</f>
        <v>Nuevo     </v>
      </c>
      <c r="W339" s="112" t="str">
        <f t="shared" si="186"/>
        <v>Activa     </v>
      </c>
    </row>
    <row r="340" ht="49.5" customHeight="1">
      <c r="A340" s="110" t="s">
        <v>63</v>
      </c>
      <c r="B340" s="110" t="s">
        <v>1507</v>
      </c>
      <c r="C340" s="110"/>
      <c r="D340" s="110"/>
      <c r="E340" s="112" t="s">
        <v>1507</v>
      </c>
      <c r="F340" s="111" t="s">
        <v>1508</v>
      </c>
      <c r="G340" s="110" t="s">
        <v>70</v>
      </c>
      <c r="H340" s="110" t="s">
        <v>321</v>
      </c>
      <c r="I340" s="110" t="s">
        <v>70</v>
      </c>
      <c r="J340" s="112">
        <v>28290.0</v>
      </c>
      <c r="K340" s="113" t="s">
        <v>71</v>
      </c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 t="s">
        <v>72</v>
      </c>
      <c r="W340" s="112" t="s">
        <v>73</v>
      </c>
    </row>
    <row r="341" ht="49.5" customHeight="1">
      <c r="A341" s="110" t="s">
        <v>63</v>
      </c>
      <c r="B341" s="110" t="s">
        <v>1507</v>
      </c>
      <c r="C341" s="110" t="s">
        <v>1509</v>
      </c>
      <c r="D341" s="110" t="s">
        <v>1509</v>
      </c>
      <c r="E341" s="111" t="s">
        <v>1510</v>
      </c>
      <c r="F341" s="114" t="str">
        <f>"     "&amp;F340</f>
        <v>     Traje De Baño Dama Drb 5.30.01 1 Pieza Bermuda</v>
      </c>
      <c r="G341" s="110" t="s">
        <v>657</v>
      </c>
      <c r="H341" s="113">
        <v>10.0</v>
      </c>
      <c r="I341" s="110" t="s">
        <v>70</v>
      </c>
      <c r="J341" s="112">
        <f>J340</f>
        <v>28290</v>
      </c>
      <c r="K341" s="110" t="str">
        <f>K340&amp;"     "</f>
        <v>$     </v>
      </c>
      <c r="L341" s="110" t="str">
        <f t="shared" ref="L341:U341" si="187">L340</f>
        <v/>
      </c>
      <c r="M341" s="110" t="str">
        <f t="shared" si="187"/>
        <v/>
      </c>
      <c r="N341" s="110" t="str">
        <f t="shared" si="187"/>
        <v/>
      </c>
      <c r="O341" s="110" t="str">
        <f t="shared" si="187"/>
        <v/>
      </c>
      <c r="P341" s="110" t="str">
        <f t="shared" si="187"/>
        <v/>
      </c>
      <c r="Q341" s="110" t="str">
        <f t="shared" si="187"/>
        <v/>
      </c>
      <c r="R341" s="110" t="str">
        <f t="shared" si="187"/>
        <v/>
      </c>
      <c r="S341" s="110" t="str">
        <f t="shared" si="187"/>
        <v/>
      </c>
      <c r="T341" s="110" t="str">
        <f t="shared" si="187"/>
        <v/>
      </c>
      <c r="U341" s="110" t="str">
        <f t="shared" si="187"/>
        <v/>
      </c>
      <c r="V341" s="110" t="str">
        <f t="shared" ref="V341:W341" si="188">V340&amp;"     "</f>
        <v>Nuevo     </v>
      </c>
      <c r="W341" s="112" t="str">
        <f t="shared" si="188"/>
        <v>Activa     </v>
      </c>
    </row>
    <row r="342" ht="49.5" customHeight="1">
      <c r="A342" s="110" t="s">
        <v>63</v>
      </c>
      <c r="B342" s="110" t="s">
        <v>1507</v>
      </c>
      <c r="C342" s="110" t="s">
        <v>1511</v>
      </c>
      <c r="D342" s="110" t="s">
        <v>1511</v>
      </c>
      <c r="E342" s="111" t="s">
        <v>1512</v>
      </c>
      <c r="F342" s="114" t="str">
        <f>"     "&amp;F340</f>
        <v>     Traje De Baño Dama Drb 5.30.01 1 Pieza Bermuda</v>
      </c>
      <c r="G342" s="110" t="s">
        <v>663</v>
      </c>
      <c r="H342" s="113">
        <v>0.0</v>
      </c>
      <c r="I342" s="110" t="s">
        <v>70</v>
      </c>
      <c r="J342" s="112">
        <f>J340</f>
        <v>28290</v>
      </c>
      <c r="K342" s="110" t="str">
        <f>K340&amp;"     "</f>
        <v>$     </v>
      </c>
      <c r="L342" s="110" t="str">
        <f t="shared" ref="L342:U342" si="189">L340</f>
        <v/>
      </c>
      <c r="M342" s="110" t="str">
        <f t="shared" si="189"/>
        <v/>
      </c>
      <c r="N342" s="110" t="str">
        <f t="shared" si="189"/>
        <v/>
      </c>
      <c r="O342" s="110" t="str">
        <f t="shared" si="189"/>
        <v/>
      </c>
      <c r="P342" s="110" t="str">
        <f t="shared" si="189"/>
        <v/>
      </c>
      <c r="Q342" s="110" t="str">
        <f t="shared" si="189"/>
        <v/>
      </c>
      <c r="R342" s="110" t="str">
        <f t="shared" si="189"/>
        <v/>
      </c>
      <c r="S342" s="110" t="str">
        <f t="shared" si="189"/>
        <v/>
      </c>
      <c r="T342" s="110" t="str">
        <f t="shared" si="189"/>
        <v/>
      </c>
      <c r="U342" s="110" t="str">
        <f t="shared" si="189"/>
        <v/>
      </c>
      <c r="V342" s="110" t="str">
        <f t="shared" ref="V342:W342" si="190">V340&amp;"     "</f>
        <v>Nuevo     </v>
      </c>
      <c r="W342" s="112" t="str">
        <f t="shared" si="190"/>
        <v>Activa     </v>
      </c>
    </row>
    <row r="343" ht="49.5" customHeight="1">
      <c r="A343" s="110" t="s">
        <v>63</v>
      </c>
      <c r="B343" s="110" t="s">
        <v>1507</v>
      </c>
      <c r="C343" s="110" t="s">
        <v>1513</v>
      </c>
      <c r="D343" s="110" t="s">
        <v>1513</v>
      </c>
      <c r="E343" s="111" t="s">
        <v>1514</v>
      </c>
      <c r="F343" s="114" t="str">
        <f>"     "&amp;F340</f>
        <v>     Traje De Baño Dama Drb 5.30.01 1 Pieza Bermuda</v>
      </c>
      <c r="G343" s="110" t="s">
        <v>654</v>
      </c>
      <c r="H343" s="113">
        <v>0.0</v>
      </c>
      <c r="I343" s="110" t="s">
        <v>70</v>
      </c>
      <c r="J343" s="112">
        <f>J340</f>
        <v>28290</v>
      </c>
      <c r="K343" s="110" t="str">
        <f>K340&amp;"     "</f>
        <v>$     </v>
      </c>
      <c r="L343" s="110" t="str">
        <f t="shared" ref="L343:U343" si="191">L340</f>
        <v/>
      </c>
      <c r="M343" s="110" t="str">
        <f t="shared" si="191"/>
        <v/>
      </c>
      <c r="N343" s="110" t="str">
        <f t="shared" si="191"/>
        <v/>
      </c>
      <c r="O343" s="110" t="str">
        <f t="shared" si="191"/>
        <v/>
      </c>
      <c r="P343" s="110" t="str">
        <f t="shared" si="191"/>
        <v/>
      </c>
      <c r="Q343" s="110" t="str">
        <f t="shared" si="191"/>
        <v/>
      </c>
      <c r="R343" s="110" t="str">
        <f t="shared" si="191"/>
        <v/>
      </c>
      <c r="S343" s="110" t="str">
        <f t="shared" si="191"/>
        <v/>
      </c>
      <c r="T343" s="110" t="str">
        <f t="shared" si="191"/>
        <v/>
      </c>
      <c r="U343" s="110" t="str">
        <f t="shared" si="191"/>
        <v/>
      </c>
      <c r="V343" s="110" t="str">
        <f t="shared" ref="V343:W343" si="192">V340&amp;"     "</f>
        <v>Nuevo     </v>
      </c>
      <c r="W343" s="112" t="str">
        <f t="shared" si="192"/>
        <v>Activa     </v>
      </c>
    </row>
    <row r="344" ht="49.5" customHeight="1">
      <c r="A344" s="110" t="s">
        <v>63</v>
      </c>
      <c r="B344" s="110" t="s">
        <v>1507</v>
      </c>
      <c r="C344" s="110" t="s">
        <v>1515</v>
      </c>
      <c r="D344" s="110" t="s">
        <v>1515</v>
      </c>
      <c r="E344" s="111" t="s">
        <v>1516</v>
      </c>
      <c r="F344" s="114" t="str">
        <f>"     "&amp;F340</f>
        <v>     Traje De Baño Dama Drb 5.30.01 1 Pieza Bermuda</v>
      </c>
      <c r="G344" s="110" t="s">
        <v>660</v>
      </c>
      <c r="H344" s="113">
        <v>10.0</v>
      </c>
      <c r="I344" s="110" t="s">
        <v>70</v>
      </c>
      <c r="J344" s="112">
        <f>J340</f>
        <v>28290</v>
      </c>
      <c r="K344" s="110" t="str">
        <f>K340&amp;"     "</f>
        <v>$     </v>
      </c>
      <c r="L344" s="110" t="str">
        <f t="shared" ref="L344:U344" si="193">L340</f>
        <v/>
      </c>
      <c r="M344" s="110" t="str">
        <f t="shared" si="193"/>
        <v/>
      </c>
      <c r="N344" s="110" t="str">
        <f t="shared" si="193"/>
        <v/>
      </c>
      <c r="O344" s="110" t="str">
        <f t="shared" si="193"/>
        <v/>
      </c>
      <c r="P344" s="110" t="str">
        <f t="shared" si="193"/>
        <v/>
      </c>
      <c r="Q344" s="110" t="str">
        <f t="shared" si="193"/>
        <v/>
      </c>
      <c r="R344" s="110" t="str">
        <f t="shared" si="193"/>
        <v/>
      </c>
      <c r="S344" s="110" t="str">
        <f t="shared" si="193"/>
        <v/>
      </c>
      <c r="T344" s="110" t="str">
        <f t="shared" si="193"/>
        <v/>
      </c>
      <c r="U344" s="110" t="str">
        <f t="shared" si="193"/>
        <v/>
      </c>
      <c r="V344" s="110" t="str">
        <f t="shared" ref="V344:W344" si="194">V340&amp;"     "</f>
        <v>Nuevo     </v>
      </c>
      <c r="W344" s="112" t="str">
        <f t="shared" si="194"/>
        <v>Activa     </v>
      </c>
    </row>
    <row r="345" ht="49.5" customHeight="1">
      <c r="A345" s="110" t="s">
        <v>63</v>
      </c>
      <c r="B345" s="110" t="s">
        <v>1507</v>
      </c>
      <c r="C345" s="110" t="s">
        <v>1517</v>
      </c>
      <c r="D345" s="110" t="s">
        <v>1517</v>
      </c>
      <c r="E345" s="111" t="s">
        <v>1518</v>
      </c>
      <c r="F345" s="114" t="str">
        <f>"     "&amp;F340</f>
        <v>     Traje De Baño Dama Drb 5.30.01 1 Pieza Bermuda</v>
      </c>
      <c r="G345" s="110" t="s">
        <v>1519</v>
      </c>
      <c r="H345" s="113">
        <v>10.0</v>
      </c>
      <c r="I345" s="110" t="s">
        <v>70</v>
      </c>
      <c r="J345" s="112">
        <f>J340</f>
        <v>28290</v>
      </c>
      <c r="K345" s="110" t="str">
        <f>K340&amp;"     "</f>
        <v>$     </v>
      </c>
      <c r="L345" s="110" t="str">
        <f t="shared" ref="L345:U345" si="195">L340</f>
        <v/>
      </c>
      <c r="M345" s="110" t="str">
        <f t="shared" si="195"/>
        <v/>
      </c>
      <c r="N345" s="110" t="str">
        <f t="shared" si="195"/>
        <v/>
      </c>
      <c r="O345" s="110" t="str">
        <f t="shared" si="195"/>
        <v/>
      </c>
      <c r="P345" s="110" t="str">
        <f t="shared" si="195"/>
        <v/>
      </c>
      <c r="Q345" s="110" t="str">
        <f t="shared" si="195"/>
        <v/>
      </c>
      <c r="R345" s="110" t="str">
        <f t="shared" si="195"/>
        <v/>
      </c>
      <c r="S345" s="110" t="str">
        <f t="shared" si="195"/>
        <v/>
      </c>
      <c r="T345" s="110" t="str">
        <f t="shared" si="195"/>
        <v/>
      </c>
      <c r="U345" s="110" t="str">
        <f t="shared" si="195"/>
        <v/>
      </c>
      <c r="V345" s="110" t="str">
        <f t="shared" ref="V345:W345" si="196">V340&amp;"     "</f>
        <v>Nuevo     </v>
      </c>
      <c r="W345" s="112" t="str">
        <f t="shared" si="196"/>
        <v>Activa     </v>
      </c>
    </row>
    <row r="346" ht="49.5" customHeight="1">
      <c r="A346" s="110" t="s">
        <v>1520</v>
      </c>
      <c r="B346" s="110" t="s">
        <v>1521</v>
      </c>
      <c r="C346" s="110" t="s">
        <v>1522</v>
      </c>
      <c r="D346" s="110"/>
      <c r="E346" s="111" t="s">
        <v>1523</v>
      </c>
      <c r="F346" s="111" t="s">
        <v>1524</v>
      </c>
      <c r="G346" s="110" t="s">
        <v>1525</v>
      </c>
      <c r="H346" s="113">
        <v>30.0</v>
      </c>
      <c r="I346" s="110" t="s">
        <v>70</v>
      </c>
      <c r="J346" s="112">
        <v>29690.0</v>
      </c>
      <c r="K346" s="113" t="s">
        <v>71</v>
      </c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 t="s">
        <v>72</v>
      </c>
      <c r="W346" s="112" t="s">
        <v>73</v>
      </c>
    </row>
    <row r="347" ht="49.5" customHeight="1">
      <c r="A347" s="110" t="s">
        <v>1526</v>
      </c>
      <c r="B347" s="110" t="s">
        <v>1527</v>
      </c>
      <c r="C347" s="110" t="s">
        <v>1528</v>
      </c>
      <c r="D347" s="110"/>
      <c r="E347" s="111" t="s">
        <v>1529</v>
      </c>
      <c r="F347" s="111" t="s">
        <v>1530</v>
      </c>
      <c r="G347" s="110" t="s">
        <v>90</v>
      </c>
      <c r="H347" s="113">
        <v>30.0</v>
      </c>
      <c r="I347" s="110" t="s">
        <v>70</v>
      </c>
      <c r="J347" s="112">
        <v>8090.0</v>
      </c>
      <c r="K347" s="113" t="s">
        <v>71</v>
      </c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 t="s">
        <v>72</v>
      </c>
      <c r="W347" s="112" t="s">
        <v>73</v>
      </c>
    </row>
    <row r="348" ht="49.5" customHeight="1">
      <c r="A348" s="110" t="s">
        <v>1531</v>
      </c>
      <c r="B348" s="110" t="s">
        <v>1532</v>
      </c>
      <c r="C348" s="110" t="s">
        <v>1533</v>
      </c>
      <c r="D348" s="110"/>
      <c r="E348" s="111" t="s">
        <v>1534</v>
      </c>
      <c r="F348" s="111" t="s">
        <v>1535</v>
      </c>
      <c r="G348" s="110" t="s">
        <v>138</v>
      </c>
      <c r="H348" s="113">
        <v>30.0</v>
      </c>
      <c r="I348" s="110" t="s">
        <v>70</v>
      </c>
      <c r="J348" s="112">
        <v>193890.0</v>
      </c>
      <c r="K348" s="113" t="s">
        <v>71</v>
      </c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 t="s">
        <v>72</v>
      </c>
      <c r="W348" s="112" t="s">
        <v>73</v>
      </c>
    </row>
    <row r="349" ht="49.5" customHeight="1">
      <c r="A349" s="110" t="s">
        <v>1536</v>
      </c>
      <c r="B349" s="110" t="s">
        <v>1537</v>
      </c>
      <c r="C349" s="110" t="s">
        <v>1538</v>
      </c>
      <c r="D349" s="110"/>
      <c r="E349" s="111" t="s">
        <v>1539</v>
      </c>
      <c r="F349" s="111" t="s">
        <v>1540</v>
      </c>
      <c r="G349" s="110" t="s">
        <v>1540</v>
      </c>
      <c r="H349" s="113">
        <v>30.0</v>
      </c>
      <c r="I349" s="110" t="s">
        <v>70</v>
      </c>
      <c r="J349" s="112">
        <v>84090.0</v>
      </c>
      <c r="K349" s="113" t="s">
        <v>71</v>
      </c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 t="s">
        <v>72</v>
      </c>
      <c r="W349" s="112" t="s">
        <v>73</v>
      </c>
    </row>
    <row r="350" ht="49.5" customHeight="1">
      <c r="A350" s="110" t="s">
        <v>1541</v>
      </c>
      <c r="B350" s="110" t="s">
        <v>1542</v>
      </c>
      <c r="C350" s="110" t="s">
        <v>1543</v>
      </c>
      <c r="D350" s="110"/>
      <c r="E350" s="111" t="s">
        <v>1544</v>
      </c>
      <c r="F350" s="111" t="s">
        <v>1545</v>
      </c>
      <c r="G350" s="110" t="s">
        <v>1546</v>
      </c>
      <c r="H350" s="113">
        <v>30.0</v>
      </c>
      <c r="I350" s="110" t="s">
        <v>70</v>
      </c>
      <c r="J350" s="112">
        <v>164990.0</v>
      </c>
      <c r="K350" s="113" t="s">
        <v>71</v>
      </c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 t="s">
        <v>72</v>
      </c>
      <c r="W350" s="112" t="s">
        <v>73</v>
      </c>
    </row>
    <row r="351" ht="49.5" customHeight="1">
      <c r="A351" s="110" t="s">
        <v>1547</v>
      </c>
      <c r="B351" s="110" t="s">
        <v>1548</v>
      </c>
      <c r="C351" s="110" t="s">
        <v>1549</v>
      </c>
      <c r="D351" s="110"/>
      <c r="E351" s="111" t="s">
        <v>1550</v>
      </c>
      <c r="F351" s="111" t="s">
        <v>1551</v>
      </c>
      <c r="G351" s="110" t="s">
        <v>1551</v>
      </c>
      <c r="H351" s="113">
        <v>30.0</v>
      </c>
      <c r="I351" s="110" t="s">
        <v>70</v>
      </c>
      <c r="J351" s="112">
        <v>10590.0</v>
      </c>
      <c r="K351" s="113" t="s">
        <v>71</v>
      </c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 t="s">
        <v>72</v>
      </c>
      <c r="W351" s="112" t="s">
        <v>73</v>
      </c>
    </row>
    <row r="352" ht="49.5" customHeight="1">
      <c r="A352" s="110" t="s">
        <v>63</v>
      </c>
      <c r="B352" s="110" t="s">
        <v>1552</v>
      </c>
      <c r="C352" s="110"/>
      <c r="D352" s="110"/>
      <c r="E352" s="112" t="s">
        <v>1552</v>
      </c>
      <c r="F352" s="111" t="s">
        <v>1553</v>
      </c>
      <c r="G352" s="110" t="s">
        <v>70</v>
      </c>
      <c r="H352" s="110" t="s">
        <v>1554</v>
      </c>
      <c r="I352" s="110" t="s">
        <v>70</v>
      </c>
      <c r="J352" s="112">
        <v>27890.0</v>
      </c>
      <c r="K352" s="113" t="s">
        <v>71</v>
      </c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 t="s">
        <v>72</v>
      </c>
      <c r="W352" s="112" t="s">
        <v>73</v>
      </c>
    </row>
    <row r="353" ht="49.5" customHeight="1">
      <c r="A353" s="110" t="s">
        <v>63</v>
      </c>
      <c r="B353" s="110" t="s">
        <v>1552</v>
      </c>
      <c r="C353" s="110" t="s">
        <v>1555</v>
      </c>
      <c r="D353" s="110" t="s">
        <v>1555</v>
      </c>
      <c r="E353" s="111" t="s">
        <v>1556</v>
      </c>
      <c r="F353" s="114" t="str">
        <f>"     "&amp;F352</f>
        <v>     Traje De Baño Dama Drb 5.30.00 1 Pieza</v>
      </c>
      <c r="G353" s="110" t="s">
        <v>196</v>
      </c>
      <c r="H353" s="113">
        <v>10.0</v>
      </c>
      <c r="I353" s="110" t="s">
        <v>70</v>
      </c>
      <c r="J353" s="112">
        <f>J352</f>
        <v>27890</v>
      </c>
      <c r="K353" s="110" t="str">
        <f>K352&amp;"     "</f>
        <v>$     </v>
      </c>
      <c r="L353" s="110" t="str">
        <f t="shared" ref="L353:U353" si="197">L352</f>
        <v/>
      </c>
      <c r="M353" s="110" t="str">
        <f t="shared" si="197"/>
        <v/>
      </c>
      <c r="N353" s="110" t="str">
        <f t="shared" si="197"/>
        <v/>
      </c>
      <c r="O353" s="110" t="str">
        <f t="shared" si="197"/>
        <v/>
      </c>
      <c r="P353" s="110" t="str">
        <f t="shared" si="197"/>
        <v/>
      </c>
      <c r="Q353" s="110" t="str">
        <f t="shared" si="197"/>
        <v/>
      </c>
      <c r="R353" s="110" t="str">
        <f t="shared" si="197"/>
        <v/>
      </c>
      <c r="S353" s="110" t="str">
        <f t="shared" si="197"/>
        <v/>
      </c>
      <c r="T353" s="110" t="str">
        <f t="shared" si="197"/>
        <v/>
      </c>
      <c r="U353" s="110" t="str">
        <f t="shared" si="197"/>
        <v/>
      </c>
      <c r="V353" s="110" t="str">
        <f t="shared" ref="V353:W353" si="198">V352&amp;"     "</f>
        <v>Nuevo     </v>
      </c>
      <c r="W353" s="112" t="str">
        <f t="shared" si="198"/>
        <v>Activa     </v>
      </c>
    </row>
    <row r="354" ht="49.5" customHeight="1">
      <c r="A354" s="110" t="s">
        <v>63</v>
      </c>
      <c r="B354" s="110" t="s">
        <v>1552</v>
      </c>
      <c r="C354" s="110" t="s">
        <v>1557</v>
      </c>
      <c r="D354" s="110" t="s">
        <v>1557</v>
      </c>
      <c r="E354" s="111" t="s">
        <v>1558</v>
      </c>
      <c r="F354" s="114" t="str">
        <f>"     "&amp;F352</f>
        <v>     Traje De Baño Dama Drb 5.30.00 1 Pieza</v>
      </c>
      <c r="G354" s="110" t="s">
        <v>202</v>
      </c>
      <c r="H354" s="113">
        <v>10.0</v>
      </c>
      <c r="I354" s="110" t="s">
        <v>70</v>
      </c>
      <c r="J354" s="112">
        <f>J352</f>
        <v>27890</v>
      </c>
      <c r="K354" s="110" t="str">
        <f>K352&amp;"     "</f>
        <v>$     </v>
      </c>
      <c r="L354" s="110" t="str">
        <f t="shared" ref="L354:U354" si="199">L352</f>
        <v/>
      </c>
      <c r="M354" s="110" t="str">
        <f t="shared" si="199"/>
        <v/>
      </c>
      <c r="N354" s="110" t="str">
        <f t="shared" si="199"/>
        <v/>
      </c>
      <c r="O354" s="110" t="str">
        <f t="shared" si="199"/>
        <v/>
      </c>
      <c r="P354" s="110" t="str">
        <f t="shared" si="199"/>
        <v/>
      </c>
      <c r="Q354" s="110" t="str">
        <f t="shared" si="199"/>
        <v/>
      </c>
      <c r="R354" s="110" t="str">
        <f t="shared" si="199"/>
        <v/>
      </c>
      <c r="S354" s="110" t="str">
        <f t="shared" si="199"/>
        <v/>
      </c>
      <c r="T354" s="110" t="str">
        <f t="shared" si="199"/>
        <v/>
      </c>
      <c r="U354" s="110" t="str">
        <f t="shared" si="199"/>
        <v/>
      </c>
      <c r="V354" s="110" t="str">
        <f t="shared" ref="V354:W354" si="200">V352&amp;"     "</f>
        <v>Nuevo     </v>
      </c>
      <c r="W354" s="112" t="str">
        <f t="shared" si="200"/>
        <v>Activa     </v>
      </c>
    </row>
    <row r="355" ht="49.5" customHeight="1">
      <c r="A355" s="110" t="s">
        <v>63</v>
      </c>
      <c r="B355" s="110" t="s">
        <v>1552</v>
      </c>
      <c r="C355" s="110" t="s">
        <v>1559</v>
      </c>
      <c r="D355" s="110" t="s">
        <v>1559</v>
      </c>
      <c r="E355" s="111" t="s">
        <v>1560</v>
      </c>
      <c r="F355" s="114" t="str">
        <f>"     "&amp;F352</f>
        <v>     Traje De Baño Dama Drb 5.30.00 1 Pieza</v>
      </c>
      <c r="G355" s="110" t="s">
        <v>193</v>
      </c>
      <c r="H355" s="113">
        <v>10.0</v>
      </c>
      <c r="I355" s="110" t="s">
        <v>70</v>
      </c>
      <c r="J355" s="112">
        <f>J352</f>
        <v>27890</v>
      </c>
      <c r="K355" s="110" t="str">
        <f>K352&amp;"     "</f>
        <v>$     </v>
      </c>
      <c r="L355" s="110" t="str">
        <f t="shared" ref="L355:U355" si="201">L352</f>
        <v/>
      </c>
      <c r="M355" s="110" t="str">
        <f t="shared" si="201"/>
        <v/>
      </c>
      <c r="N355" s="110" t="str">
        <f t="shared" si="201"/>
        <v/>
      </c>
      <c r="O355" s="110" t="str">
        <f t="shared" si="201"/>
        <v/>
      </c>
      <c r="P355" s="110" t="str">
        <f t="shared" si="201"/>
        <v/>
      </c>
      <c r="Q355" s="110" t="str">
        <f t="shared" si="201"/>
        <v/>
      </c>
      <c r="R355" s="110" t="str">
        <f t="shared" si="201"/>
        <v/>
      </c>
      <c r="S355" s="110" t="str">
        <f t="shared" si="201"/>
        <v/>
      </c>
      <c r="T355" s="110" t="str">
        <f t="shared" si="201"/>
        <v/>
      </c>
      <c r="U355" s="110" t="str">
        <f t="shared" si="201"/>
        <v/>
      </c>
      <c r="V355" s="110" t="str">
        <f t="shared" ref="V355:W355" si="202">V352&amp;"     "</f>
        <v>Nuevo     </v>
      </c>
      <c r="W355" s="112" t="str">
        <f t="shared" si="202"/>
        <v>Activa     </v>
      </c>
    </row>
    <row r="356" ht="49.5" customHeight="1">
      <c r="A356" s="110" t="s">
        <v>63</v>
      </c>
      <c r="B356" s="110" t="s">
        <v>1552</v>
      </c>
      <c r="C356" s="110" t="s">
        <v>1561</v>
      </c>
      <c r="D356" s="110" t="s">
        <v>1561</v>
      </c>
      <c r="E356" s="111" t="s">
        <v>1562</v>
      </c>
      <c r="F356" s="114" t="str">
        <f>"     "&amp;F352</f>
        <v>     Traje De Baño Dama Drb 5.30.00 1 Pieza</v>
      </c>
      <c r="G356" s="110" t="s">
        <v>199</v>
      </c>
      <c r="H356" s="113">
        <v>10.0</v>
      </c>
      <c r="I356" s="110" t="s">
        <v>70</v>
      </c>
      <c r="J356" s="112">
        <f>J352</f>
        <v>27890</v>
      </c>
      <c r="K356" s="110" t="str">
        <f>K352&amp;"     "</f>
        <v>$     </v>
      </c>
      <c r="L356" s="110" t="str">
        <f t="shared" ref="L356:U356" si="203">L352</f>
        <v/>
      </c>
      <c r="M356" s="110" t="str">
        <f t="shared" si="203"/>
        <v/>
      </c>
      <c r="N356" s="110" t="str">
        <f t="shared" si="203"/>
        <v/>
      </c>
      <c r="O356" s="110" t="str">
        <f t="shared" si="203"/>
        <v/>
      </c>
      <c r="P356" s="110" t="str">
        <f t="shared" si="203"/>
        <v/>
      </c>
      <c r="Q356" s="110" t="str">
        <f t="shared" si="203"/>
        <v/>
      </c>
      <c r="R356" s="110" t="str">
        <f t="shared" si="203"/>
        <v/>
      </c>
      <c r="S356" s="110" t="str">
        <f t="shared" si="203"/>
        <v/>
      </c>
      <c r="T356" s="110" t="str">
        <f t="shared" si="203"/>
        <v/>
      </c>
      <c r="U356" s="110" t="str">
        <f t="shared" si="203"/>
        <v/>
      </c>
      <c r="V356" s="110" t="str">
        <f t="shared" ref="V356:W356" si="204">V352&amp;"     "</f>
        <v>Nuevo     </v>
      </c>
      <c r="W356" s="112" t="str">
        <f t="shared" si="204"/>
        <v>Activa     </v>
      </c>
    </row>
    <row r="357" ht="49.5" customHeight="1">
      <c r="A357" s="110" t="s">
        <v>63</v>
      </c>
      <c r="B357" s="110" t="s">
        <v>1552</v>
      </c>
      <c r="C357" s="110" t="s">
        <v>1563</v>
      </c>
      <c r="D357" s="110" t="s">
        <v>1563</v>
      </c>
      <c r="E357" s="111" t="s">
        <v>1564</v>
      </c>
      <c r="F357" s="114" t="str">
        <f>"     "&amp;F352</f>
        <v>     Traje De Baño Dama Drb 5.30.00 1 Pieza</v>
      </c>
      <c r="G357" s="110" t="s">
        <v>1565</v>
      </c>
      <c r="H357" s="113">
        <v>10.0</v>
      </c>
      <c r="I357" s="110" t="s">
        <v>70</v>
      </c>
      <c r="J357" s="112">
        <f>J352</f>
        <v>27890</v>
      </c>
      <c r="K357" s="110" t="str">
        <f>K352&amp;"     "</f>
        <v>$     </v>
      </c>
      <c r="L357" s="110" t="str">
        <f t="shared" ref="L357:U357" si="205">L352</f>
        <v/>
      </c>
      <c r="M357" s="110" t="str">
        <f t="shared" si="205"/>
        <v/>
      </c>
      <c r="N357" s="110" t="str">
        <f t="shared" si="205"/>
        <v/>
      </c>
      <c r="O357" s="110" t="str">
        <f t="shared" si="205"/>
        <v/>
      </c>
      <c r="P357" s="110" t="str">
        <f t="shared" si="205"/>
        <v/>
      </c>
      <c r="Q357" s="110" t="str">
        <f t="shared" si="205"/>
        <v/>
      </c>
      <c r="R357" s="110" t="str">
        <f t="shared" si="205"/>
        <v/>
      </c>
      <c r="S357" s="110" t="str">
        <f t="shared" si="205"/>
        <v/>
      </c>
      <c r="T357" s="110" t="str">
        <f t="shared" si="205"/>
        <v/>
      </c>
      <c r="U357" s="110" t="str">
        <f t="shared" si="205"/>
        <v/>
      </c>
      <c r="V357" s="110" t="str">
        <f t="shared" ref="V357:W357" si="206">V352&amp;"     "</f>
        <v>Nuevo     </v>
      </c>
      <c r="W357" s="112" t="str">
        <f t="shared" si="206"/>
        <v>Activa     </v>
      </c>
    </row>
    <row r="358" ht="49.5" customHeight="1">
      <c r="A358" s="110" t="s">
        <v>1566</v>
      </c>
      <c r="B358" s="110" t="s">
        <v>1567</v>
      </c>
      <c r="C358" s="110" t="s">
        <v>1568</v>
      </c>
      <c r="D358" s="110"/>
      <c r="E358" s="111" t="s">
        <v>1256</v>
      </c>
      <c r="F358" s="111" t="s">
        <v>1569</v>
      </c>
      <c r="G358" s="110" t="s">
        <v>90</v>
      </c>
      <c r="H358" s="113">
        <v>30.0</v>
      </c>
      <c r="I358" s="110" t="s">
        <v>70</v>
      </c>
      <c r="J358" s="112">
        <v>130790.0</v>
      </c>
      <c r="K358" s="113" t="s">
        <v>71</v>
      </c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 t="s">
        <v>72</v>
      </c>
      <c r="W358" s="112" t="s">
        <v>73</v>
      </c>
    </row>
    <row r="359" ht="49.5" customHeight="1">
      <c r="A359" s="110" t="s">
        <v>1570</v>
      </c>
      <c r="B359" s="110" t="s">
        <v>1571</v>
      </c>
      <c r="C359" s="110" t="s">
        <v>1572</v>
      </c>
      <c r="D359" s="110"/>
      <c r="E359" s="111" t="s">
        <v>1573</v>
      </c>
      <c r="F359" s="111" t="s">
        <v>1574</v>
      </c>
      <c r="G359" s="110" t="s">
        <v>1574</v>
      </c>
      <c r="H359" s="113">
        <v>30.0</v>
      </c>
      <c r="I359" s="110" t="s">
        <v>70</v>
      </c>
      <c r="J359" s="112">
        <v>84090.0</v>
      </c>
      <c r="K359" s="113" t="s">
        <v>71</v>
      </c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 t="s">
        <v>72</v>
      </c>
      <c r="W359" s="112" t="s">
        <v>73</v>
      </c>
    </row>
    <row r="360" ht="49.5" customHeight="1">
      <c r="A360" s="110" t="s">
        <v>63</v>
      </c>
      <c r="B360" s="110" t="s">
        <v>1575</v>
      </c>
      <c r="C360" s="110"/>
      <c r="D360" s="110"/>
      <c r="E360" s="112" t="s">
        <v>1575</v>
      </c>
      <c r="F360" s="111" t="s">
        <v>1576</v>
      </c>
      <c r="G360" s="110" t="s">
        <v>70</v>
      </c>
      <c r="H360" s="110" t="s">
        <v>681</v>
      </c>
      <c r="I360" s="110" t="s">
        <v>70</v>
      </c>
      <c r="J360" s="112">
        <v>28090.0</v>
      </c>
      <c r="K360" s="113" t="s">
        <v>71</v>
      </c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 t="s">
        <v>72</v>
      </c>
      <c r="W360" s="112" t="s">
        <v>73</v>
      </c>
    </row>
    <row r="361" ht="49.5" customHeight="1">
      <c r="A361" s="110" t="s">
        <v>63</v>
      </c>
      <c r="B361" s="110" t="s">
        <v>1575</v>
      </c>
      <c r="C361" s="110" t="s">
        <v>1577</v>
      </c>
      <c r="D361" s="110" t="s">
        <v>1577</v>
      </c>
      <c r="E361" s="111" t="s">
        <v>1578</v>
      </c>
      <c r="F361" s="114" t="str">
        <f>"     "&amp;F360</f>
        <v>     Traje De Baño Dama Drb 5.30.10 1 Pza Negro/aqua</v>
      </c>
      <c r="G361" s="110" t="s">
        <v>654</v>
      </c>
      <c r="H361" s="113">
        <v>10.0</v>
      </c>
      <c r="I361" s="110" t="s">
        <v>70</v>
      </c>
      <c r="J361" s="112">
        <f>J360</f>
        <v>28090</v>
      </c>
      <c r="K361" s="110" t="str">
        <f>K360&amp;"     "</f>
        <v>$     </v>
      </c>
      <c r="L361" s="110" t="str">
        <f t="shared" ref="L361:U361" si="207">L360</f>
        <v/>
      </c>
      <c r="M361" s="110" t="str">
        <f t="shared" si="207"/>
        <v/>
      </c>
      <c r="N361" s="110" t="str">
        <f t="shared" si="207"/>
        <v/>
      </c>
      <c r="O361" s="110" t="str">
        <f t="shared" si="207"/>
        <v/>
      </c>
      <c r="P361" s="110" t="str">
        <f t="shared" si="207"/>
        <v/>
      </c>
      <c r="Q361" s="110" t="str">
        <f t="shared" si="207"/>
        <v/>
      </c>
      <c r="R361" s="110" t="str">
        <f t="shared" si="207"/>
        <v/>
      </c>
      <c r="S361" s="110" t="str">
        <f t="shared" si="207"/>
        <v/>
      </c>
      <c r="T361" s="110" t="str">
        <f t="shared" si="207"/>
        <v/>
      </c>
      <c r="U361" s="110" t="str">
        <f t="shared" si="207"/>
        <v/>
      </c>
      <c r="V361" s="110" t="str">
        <f t="shared" ref="V361:W361" si="208">V360&amp;"     "</f>
        <v>Nuevo     </v>
      </c>
      <c r="W361" s="112" t="str">
        <f t="shared" si="208"/>
        <v>Activa     </v>
      </c>
    </row>
    <row r="362" ht="49.5" customHeight="1">
      <c r="A362" s="110" t="s">
        <v>63</v>
      </c>
      <c r="B362" s="110" t="s">
        <v>1575</v>
      </c>
      <c r="C362" s="110" t="s">
        <v>1579</v>
      </c>
      <c r="D362" s="110" t="s">
        <v>1579</v>
      </c>
      <c r="E362" s="111" t="s">
        <v>1580</v>
      </c>
      <c r="F362" s="114" t="str">
        <f>"     "&amp;F360</f>
        <v>     Traje De Baño Dama Drb 5.30.10 1 Pza Negro/aqua</v>
      </c>
      <c r="G362" s="110" t="s">
        <v>657</v>
      </c>
      <c r="H362" s="113">
        <v>0.0</v>
      </c>
      <c r="I362" s="110" t="s">
        <v>70</v>
      </c>
      <c r="J362" s="112">
        <f>J360</f>
        <v>28090</v>
      </c>
      <c r="K362" s="110" t="str">
        <f>K360&amp;"     "</f>
        <v>$     </v>
      </c>
      <c r="L362" s="110" t="str">
        <f t="shared" ref="L362:U362" si="209">L360</f>
        <v/>
      </c>
      <c r="M362" s="110" t="str">
        <f t="shared" si="209"/>
        <v/>
      </c>
      <c r="N362" s="110" t="str">
        <f t="shared" si="209"/>
        <v/>
      </c>
      <c r="O362" s="110" t="str">
        <f t="shared" si="209"/>
        <v/>
      </c>
      <c r="P362" s="110" t="str">
        <f t="shared" si="209"/>
        <v/>
      </c>
      <c r="Q362" s="110" t="str">
        <f t="shared" si="209"/>
        <v/>
      </c>
      <c r="R362" s="110" t="str">
        <f t="shared" si="209"/>
        <v/>
      </c>
      <c r="S362" s="110" t="str">
        <f t="shared" si="209"/>
        <v/>
      </c>
      <c r="T362" s="110" t="str">
        <f t="shared" si="209"/>
        <v/>
      </c>
      <c r="U362" s="110" t="str">
        <f t="shared" si="209"/>
        <v/>
      </c>
      <c r="V362" s="110" t="str">
        <f t="shared" ref="V362:W362" si="210">V360&amp;"     "</f>
        <v>Nuevo     </v>
      </c>
      <c r="W362" s="112" t="str">
        <f t="shared" si="210"/>
        <v>Activa     </v>
      </c>
    </row>
    <row r="363" ht="49.5" customHeight="1">
      <c r="A363" s="110" t="s">
        <v>63</v>
      </c>
      <c r="B363" s="110" t="s">
        <v>1575</v>
      </c>
      <c r="C363" s="110" t="s">
        <v>1581</v>
      </c>
      <c r="D363" s="110" t="s">
        <v>1581</v>
      </c>
      <c r="E363" s="111" t="s">
        <v>1582</v>
      </c>
      <c r="F363" s="114" t="str">
        <f>"     "&amp;F360</f>
        <v>     Traje De Baño Dama Drb 5.30.10 1 Pza Negro/aqua</v>
      </c>
      <c r="G363" s="110" t="s">
        <v>663</v>
      </c>
      <c r="H363" s="113">
        <v>10.0</v>
      </c>
      <c r="I363" s="110" t="s">
        <v>70</v>
      </c>
      <c r="J363" s="112">
        <f>J360</f>
        <v>28090</v>
      </c>
      <c r="K363" s="110" t="str">
        <f>K360&amp;"     "</f>
        <v>$     </v>
      </c>
      <c r="L363" s="110" t="str">
        <f t="shared" ref="L363:U363" si="211">L360</f>
        <v/>
      </c>
      <c r="M363" s="110" t="str">
        <f t="shared" si="211"/>
        <v/>
      </c>
      <c r="N363" s="110" t="str">
        <f t="shared" si="211"/>
        <v/>
      </c>
      <c r="O363" s="110" t="str">
        <f t="shared" si="211"/>
        <v/>
      </c>
      <c r="P363" s="110" t="str">
        <f t="shared" si="211"/>
        <v/>
      </c>
      <c r="Q363" s="110" t="str">
        <f t="shared" si="211"/>
        <v/>
      </c>
      <c r="R363" s="110" t="str">
        <f t="shared" si="211"/>
        <v/>
      </c>
      <c r="S363" s="110" t="str">
        <f t="shared" si="211"/>
        <v/>
      </c>
      <c r="T363" s="110" t="str">
        <f t="shared" si="211"/>
        <v/>
      </c>
      <c r="U363" s="110" t="str">
        <f t="shared" si="211"/>
        <v/>
      </c>
      <c r="V363" s="110" t="str">
        <f t="shared" ref="V363:W363" si="212">V360&amp;"     "</f>
        <v>Nuevo     </v>
      </c>
      <c r="W363" s="112" t="str">
        <f t="shared" si="212"/>
        <v>Activa     </v>
      </c>
    </row>
    <row r="364" ht="49.5" customHeight="1">
      <c r="A364" s="110" t="s">
        <v>63</v>
      </c>
      <c r="B364" s="110" t="s">
        <v>1575</v>
      </c>
      <c r="C364" s="110" t="s">
        <v>1583</v>
      </c>
      <c r="D364" s="110" t="s">
        <v>1583</v>
      </c>
      <c r="E364" s="111" t="s">
        <v>1584</v>
      </c>
      <c r="F364" s="114" t="str">
        <f>"     "&amp;F360</f>
        <v>     Traje De Baño Dama Drb 5.30.10 1 Pza Negro/aqua</v>
      </c>
      <c r="G364" s="110" t="s">
        <v>660</v>
      </c>
      <c r="H364" s="113">
        <v>0.0</v>
      </c>
      <c r="I364" s="110" t="s">
        <v>70</v>
      </c>
      <c r="J364" s="112">
        <f>J360</f>
        <v>28090</v>
      </c>
      <c r="K364" s="110" t="str">
        <f>K360&amp;"     "</f>
        <v>$     </v>
      </c>
      <c r="L364" s="110" t="str">
        <f t="shared" ref="L364:U364" si="213">L360</f>
        <v/>
      </c>
      <c r="M364" s="110" t="str">
        <f t="shared" si="213"/>
        <v/>
      </c>
      <c r="N364" s="110" t="str">
        <f t="shared" si="213"/>
        <v/>
      </c>
      <c r="O364" s="110" t="str">
        <f t="shared" si="213"/>
        <v/>
      </c>
      <c r="P364" s="110" t="str">
        <f t="shared" si="213"/>
        <v/>
      </c>
      <c r="Q364" s="110" t="str">
        <f t="shared" si="213"/>
        <v/>
      </c>
      <c r="R364" s="110" t="str">
        <f t="shared" si="213"/>
        <v/>
      </c>
      <c r="S364" s="110" t="str">
        <f t="shared" si="213"/>
        <v/>
      </c>
      <c r="T364" s="110" t="str">
        <f t="shared" si="213"/>
        <v/>
      </c>
      <c r="U364" s="110" t="str">
        <f t="shared" si="213"/>
        <v/>
      </c>
      <c r="V364" s="110" t="str">
        <f t="shared" ref="V364:W364" si="214">V360&amp;"     "</f>
        <v>Nuevo     </v>
      </c>
      <c r="W364" s="112" t="str">
        <f t="shared" si="214"/>
        <v>Activa     </v>
      </c>
    </row>
    <row r="365" ht="49.5" customHeight="1">
      <c r="A365" s="110" t="s">
        <v>1585</v>
      </c>
      <c r="B365" s="110" t="s">
        <v>1586</v>
      </c>
      <c r="C365" s="110" t="s">
        <v>1587</v>
      </c>
      <c r="D365" s="110"/>
      <c r="E365" s="111" t="s">
        <v>1588</v>
      </c>
      <c r="F365" s="111" t="s">
        <v>1589</v>
      </c>
      <c r="G365" s="110" t="s">
        <v>1590</v>
      </c>
      <c r="H365" s="113">
        <v>30.0</v>
      </c>
      <c r="I365" s="110" t="s">
        <v>70</v>
      </c>
      <c r="J365" s="112">
        <v>31490.0</v>
      </c>
      <c r="K365" s="113" t="s">
        <v>71</v>
      </c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 t="s">
        <v>72</v>
      </c>
      <c r="W365" s="112" t="s">
        <v>73</v>
      </c>
    </row>
    <row r="366" ht="49.5" customHeight="1">
      <c r="A366" s="110" t="s">
        <v>1591</v>
      </c>
      <c r="B366" s="110" t="s">
        <v>1592</v>
      </c>
      <c r="C366" s="110" t="s">
        <v>1593</v>
      </c>
      <c r="D366" s="110"/>
      <c r="E366" s="111" t="s">
        <v>1594</v>
      </c>
      <c r="F366" s="111" t="s">
        <v>1595</v>
      </c>
      <c r="G366" s="110" t="s">
        <v>1596</v>
      </c>
      <c r="H366" s="113">
        <v>10.0</v>
      </c>
      <c r="I366" s="110" t="s">
        <v>70</v>
      </c>
      <c r="J366" s="112">
        <v>10390.0</v>
      </c>
      <c r="K366" s="113" t="s">
        <v>71</v>
      </c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 t="s">
        <v>72</v>
      </c>
      <c r="W366" s="112" t="s">
        <v>73</v>
      </c>
    </row>
    <row r="367" ht="49.5" customHeight="1">
      <c r="A367" s="110" t="s">
        <v>1597</v>
      </c>
      <c r="B367" s="110" t="s">
        <v>1598</v>
      </c>
      <c r="C367" s="110" t="s">
        <v>1599</v>
      </c>
      <c r="D367" s="110"/>
      <c r="E367" s="111" t="s">
        <v>1600</v>
      </c>
      <c r="F367" s="111" t="s">
        <v>1601</v>
      </c>
      <c r="G367" s="110" t="s">
        <v>466</v>
      </c>
      <c r="H367" s="113">
        <v>10.0</v>
      </c>
      <c r="I367" s="110" t="s">
        <v>70</v>
      </c>
      <c r="J367" s="112">
        <v>10390.0</v>
      </c>
      <c r="K367" s="113" t="s">
        <v>71</v>
      </c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 t="s">
        <v>72</v>
      </c>
      <c r="W367" s="112" t="s">
        <v>73</v>
      </c>
    </row>
    <row r="368" ht="49.5" customHeight="1">
      <c r="A368" s="110" t="s">
        <v>1602</v>
      </c>
      <c r="B368" s="110" t="s">
        <v>1603</v>
      </c>
      <c r="C368" s="110" t="s">
        <v>1604</v>
      </c>
      <c r="D368" s="110"/>
      <c r="E368" s="111" t="s">
        <v>1605</v>
      </c>
      <c r="F368" s="111" t="s">
        <v>1606</v>
      </c>
      <c r="G368" s="110" t="s">
        <v>1466</v>
      </c>
      <c r="H368" s="113">
        <v>30.0</v>
      </c>
      <c r="I368" s="110" t="s">
        <v>70</v>
      </c>
      <c r="J368" s="112">
        <v>29690.0</v>
      </c>
      <c r="K368" s="113" t="s">
        <v>71</v>
      </c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 t="s">
        <v>72</v>
      </c>
      <c r="W368" s="112" t="s">
        <v>73</v>
      </c>
    </row>
    <row r="369" ht="49.5" customHeight="1">
      <c r="A369" s="110" t="s">
        <v>1607</v>
      </c>
      <c r="B369" s="110" t="s">
        <v>1608</v>
      </c>
      <c r="C369" s="110" t="s">
        <v>1609</v>
      </c>
      <c r="D369" s="110"/>
      <c r="E369" s="111" t="s">
        <v>1610</v>
      </c>
      <c r="F369" s="111" t="s">
        <v>1611</v>
      </c>
      <c r="G369" s="110" t="s">
        <v>165</v>
      </c>
      <c r="H369" s="113">
        <v>10.0</v>
      </c>
      <c r="I369" s="110" t="s">
        <v>70</v>
      </c>
      <c r="J369" s="112">
        <v>6890.0</v>
      </c>
      <c r="K369" s="113" t="s">
        <v>71</v>
      </c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 t="s">
        <v>72</v>
      </c>
      <c r="W369" s="112" t="s">
        <v>73</v>
      </c>
    </row>
    <row r="370" ht="49.5" customHeight="1">
      <c r="A370" s="110" t="s">
        <v>1612</v>
      </c>
      <c r="B370" s="110" t="s">
        <v>1613</v>
      </c>
      <c r="C370" s="110" t="s">
        <v>1614</v>
      </c>
      <c r="D370" s="110"/>
      <c r="E370" s="111" t="s">
        <v>1615</v>
      </c>
      <c r="F370" s="111" t="s">
        <v>1616</v>
      </c>
      <c r="G370" s="110" t="s">
        <v>1590</v>
      </c>
      <c r="H370" s="113">
        <v>30.0</v>
      </c>
      <c r="I370" s="110" t="s">
        <v>70</v>
      </c>
      <c r="J370" s="112">
        <v>29690.0</v>
      </c>
      <c r="K370" s="113" t="s">
        <v>71</v>
      </c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 t="s">
        <v>72</v>
      </c>
      <c r="W370" s="112" t="s">
        <v>73</v>
      </c>
    </row>
    <row r="371" ht="49.5" customHeight="1">
      <c r="A371" s="110" t="s">
        <v>1617</v>
      </c>
      <c r="B371" s="110" t="s">
        <v>1618</v>
      </c>
      <c r="C371" s="110" t="s">
        <v>1619</v>
      </c>
      <c r="D371" s="110"/>
      <c r="E371" s="111" t="s">
        <v>1620</v>
      </c>
      <c r="F371" s="111" t="s">
        <v>1621</v>
      </c>
      <c r="G371" s="110" t="s">
        <v>308</v>
      </c>
      <c r="H371" s="113">
        <v>10.0</v>
      </c>
      <c r="I371" s="110" t="s">
        <v>70</v>
      </c>
      <c r="J371" s="112">
        <v>9090.0</v>
      </c>
      <c r="K371" s="113" t="s">
        <v>71</v>
      </c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 t="s">
        <v>72</v>
      </c>
      <c r="W371" s="112" t="s">
        <v>73</v>
      </c>
    </row>
    <row r="372" ht="49.5" customHeight="1">
      <c r="A372" s="110" t="s">
        <v>1622</v>
      </c>
      <c r="B372" s="110" t="s">
        <v>1623</v>
      </c>
      <c r="C372" s="110" t="s">
        <v>1624</v>
      </c>
      <c r="D372" s="110"/>
      <c r="E372" s="111" t="s">
        <v>1625</v>
      </c>
      <c r="F372" s="111" t="s">
        <v>1626</v>
      </c>
      <c r="G372" s="110" t="s">
        <v>1627</v>
      </c>
      <c r="H372" s="113">
        <v>30.0</v>
      </c>
      <c r="I372" s="110" t="s">
        <v>70</v>
      </c>
      <c r="J372" s="112">
        <v>5890.0</v>
      </c>
      <c r="K372" s="113" t="s">
        <v>71</v>
      </c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 t="s">
        <v>72</v>
      </c>
      <c r="W372" s="112" t="s">
        <v>73</v>
      </c>
    </row>
    <row r="373" ht="49.5" customHeight="1">
      <c r="A373" s="110" t="s">
        <v>1628</v>
      </c>
      <c r="B373" s="110" t="s">
        <v>1629</v>
      </c>
      <c r="C373" s="110" t="s">
        <v>1630</v>
      </c>
      <c r="D373" s="110"/>
      <c r="E373" s="111" t="s">
        <v>1631</v>
      </c>
      <c r="F373" s="111" t="s">
        <v>1632</v>
      </c>
      <c r="G373" s="110" t="s">
        <v>138</v>
      </c>
      <c r="H373" s="113">
        <v>30.0</v>
      </c>
      <c r="I373" s="110" t="s">
        <v>70</v>
      </c>
      <c r="J373" s="112">
        <v>424090.0</v>
      </c>
      <c r="K373" s="113" t="s">
        <v>71</v>
      </c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 t="s">
        <v>72</v>
      </c>
      <c r="W373" s="112" t="s">
        <v>73</v>
      </c>
    </row>
    <row r="374" ht="49.5" customHeight="1">
      <c r="A374" s="110" t="s">
        <v>1633</v>
      </c>
      <c r="B374" s="110" t="s">
        <v>1634</v>
      </c>
      <c r="C374" s="110" t="s">
        <v>1635</v>
      </c>
      <c r="D374" s="110"/>
      <c r="E374" s="111" t="s">
        <v>1636</v>
      </c>
      <c r="F374" s="111" t="s">
        <v>1637</v>
      </c>
      <c r="G374" s="110" t="s">
        <v>1460</v>
      </c>
      <c r="H374" s="113">
        <v>30.0</v>
      </c>
      <c r="I374" s="110" t="s">
        <v>70</v>
      </c>
      <c r="J374" s="112">
        <v>29690.0</v>
      </c>
      <c r="K374" s="113" t="s">
        <v>71</v>
      </c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 t="s">
        <v>72</v>
      </c>
      <c r="W374" s="112" t="s">
        <v>73</v>
      </c>
    </row>
    <row r="375" ht="49.5" customHeight="1">
      <c r="A375" s="110" t="s">
        <v>1638</v>
      </c>
      <c r="B375" s="110" t="s">
        <v>1639</v>
      </c>
      <c r="C375" s="110" t="s">
        <v>1640</v>
      </c>
      <c r="D375" s="110"/>
      <c r="E375" s="111" t="s">
        <v>1641</v>
      </c>
      <c r="F375" s="111" t="s">
        <v>1642</v>
      </c>
      <c r="G375" s="110" t="s">
        <v>1525</v>
      </c>
      <c r="H375" s="113">
        <v>30.0</v>
      </c>
      <c r="I375" s="110" t="s">
        <v>70</v>
      </c>
      <c r="J375" s="112">
        <v>31490.0</v>
      </c>
      <c r="K375" s="113" t="s">
        <v>71</v>
      </c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 t="s">
        <v>72</v>
      </c>
      <c r="W375" s="112" t="s">
        <v>73</v>
      </c>
    </row>
    <row r="376" ht="49.5" customHeight="1">
      <c r="A376" s="110" t="s">
        <v>1643</v>
      </c>
      <c r="B376" s="110" t="s">
        <v>1644</v>
      </c>
      <c r="C376" s="110" t="s">
        <v>1645</v>
      </c>
      <c r="D376" s="110"/>
      <c r="E376" s="111" t="s">
        <v>1646</v>
      </c>
      <c r="F376" s="111" t="s">
        <v>1647</v>
      </c>
      <c r="G376" s="110" t="s">
        <v>308</v>
      </c>
      <c r="H376" s="113">
        <v>10.0</v>
      </c>
      <c r="I376" s="110" t="s">
        <v>70</v>
      </c>
      <c r="J376" s="112">
        <v>258690.0</v>
      </c>
      <c r="K376" s="113" t="s">
        <v>71</v>
      </c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 t="s">
        <v>72</v>
      </c>
      <c r="W376" s="112" t="s">
        <v>73</v>
      </c>
    </row>
    <row r="377" ht="49.5" customHeight="1">
      <c r="A377" s="110" t="s">
        <v>1648</v>
      </c>
      <c r="B377" s="110" t="s">
        <v>1649</v>
      </c>
      <c r="C377" s="110" t="s">
        <v>1650</v>
      </c>
      <c r="D377" s="110"/>
      <c r="E377" s="111" t="s">
        <v>1651</v>
      </c>
      <c r="F377" s="111" t="s">
        <v>1652</v>
      </c>
      <c r="G377" s="110" t="s">
        <v>138</v>
      </c>
      <c r="H377" s="113">
        <v>30.0</v>
      </c>
      <c r="I377" s="110" t="s">
        <v>70</v>
      </c>
      <c r="J377" s="112">
        <v>6290.0</v>
      </c>
      <c r="K377" s="113" t="s">
        <v>71</v>
      </c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 t="s">
        <v>72</v>
      </c>
      <c r="W377" s="112" t="s">
        <v>73</v>
      </c>
    </row>
    <row r="378" ht="49.5" customHeight="1">
      <c r="A378" s="110" t="s">
        <v>1653</v>
      </c>
      <c r="B378" s="110" t="s">
        <v>1654</v>
      </c>
      <c r="C378" s="110" t="s">
        <v>1655</v>
      </c>
      <c r="D378" s="110"/>
      <c r="E378" s="111" t="s">
        <v>1656</v>
      </c>
      <c r="F378" s="111" t="s">
        <v>1657</v>
      </c>
      <c r="G378" s="110" t="s">
        <v>1657</v>
      </c>
      <c r="H378" s="113">
        <v>30.0</v>
      </c>
      <c r="I378" s="110" t="s">
        <v>70</v>
      </c>
      <c r="J378" s="112">
        <v>29890.0</v>
      </c>
      <c r="K378" s="113" t="s">
        <v>71</v>
      </c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 t="s">
        <v>72</v>
      </c>
      <c r="W378" s="112" t="s">
        <v>73</v>
      </c>
    </row>
    <row r="379" ht="49.5" customHeight="1">
      <c r="A379" s="110" t="s">
        <v>63</v>
      </c>
      <c r="B379" s="110" t="s">
        <v>1658</v>
      </c>
      <c r="C379" s="110"/>
      <c r="D379" s="110"/>
      <c r="E379" s="112" t="s">
        <v>1658</v>
      </c>
      <c r="F379" s="111" t="s">
        <v>1659</v>
      </c>
      <c r="G379" s="110" t="s">
        <v>70</v>
      </c>
      <c r="H379" s="110" t="s">
        <v>321</v>
      </c>
      <c r="I379" s="110" t="s">
        <v>70</v>
      </c>
      <c r="J379" s="112">
        <v>7990.0</v>
      </c>
      <c r="K379" s="113" t="s">
        <v>71</v>
      </c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 t="s">
        <v>72</v>
      </c>
      <c r="W379" s="112" t="s">
        <v>73</v>
      </c>
    </row>
    <row r="380" ht="49.5" customHeight="1">
      <c r="A380" s="110" t="s">
        <v>63</v>
      </c>
      <c r="B380" s="110" t="s">
        <v>1658</v>
      </c>
      <c r="C380" s="110" t="s">
        <v>1660</v>
      </c>
      <c r="D380" s="110" t="s">
        <v>1660</v>
      </c>
      <c r="E380" s="111" t="s">
        <v>1661</v>
      </c>
      <c r="F380" s="114" t="str">
        <f>"     "&amp;F379</f>
        <v>     Cushion Grip Drb 1.80.10 - Track</v>
      </c>
      <c r="G380" s="110" t="s">
        <v>324</v>
      </c>
      <c r="H380" s="113">
        <v>10.0</v>
      </c>
      <c r="I380" s="110" t="s">
        <v>70</v>
      </c>
      <c r="J380" s="112">
        <f>J379</f>
        <v>7990</v>
      </c>
      <c r="K380" s="110" t="str">
        <f>K379&amp;"     "</f>
        <v>$     </v>
      </c>
      <c r="L380" s="110" t="str">
        <f t="shared" ref="L380:U380" si="215">L379</f>
        <v/>
      </c>
      <c r="M380" s="110" t="str">
        <f t="shared" si="215"/>
        <v/>
      </c>
      <c r="N380" s="110" t="str">
        <f t="shared" si="215"/>
        <v/>
      </c>
      <c r="O380" s="110" t="str">
        <f t="shared" si="215"/>
        <v/>
      </c>
      <c r="P380" s="110" t="str">
        <f t="shared" si="215"/>
        <v/>
      </c>
      <c r="Q380" s="110" t="str">
        <f t="shared" si="215"/>
        <v/>
      </c>
      <c r="R380" s="110" t="str">
        <f t="shared" si="215"/>
        <v/>
      </c>
      <c r="S380" s="110" t="str">
        <f t="shared" si="215"/>
        <v/>
      </c>
      <c r="T380" s="110" t="str">
        <f t="shared" si="215"/>
        <v/>
      </c>
      <c r="U380" s="110" t="str">
        <f t="shared" si="215"/>
        <v/>
      </c>
      <c r="V380" s="110" t="str">
        <f t="shared" ref="V380:W380" si="216">V379&amp;"     "</f>
        <v>Nuevo     </v>
      </c>
      <c r="W380" s="112" t="str">
        <f t="shared" si="216"/>
        <v>Activa     </v>
      </c>
    </row>
    <row r="381" ht="49.5" customHeight="1">
      <c r="A381" s="110" t="s">
        <v>63</v>
      </c>
      <c r="B381" s="110" t="s">
        <v>1658</v>
      </c>
      <c r="C381" s="110" t="s">
        <v>1662</v>
      </c>
      <c r="D381" s="110" t="s">
        <v>1662</v>
      </c>
      <c r="E381" s="111" t="s">
        <v>1661</v>
      </c>
      <c r="F381" s="114" t="str">
        <f>"     "&amp;F379</f>
        <v>     Cushion Grip Drb 1.80.10 - Track</v>
      </c>
      <c r="G381" s="110" t="s">
        <v>90</v>
      </c>
      <c r="H381" s="113">
        <v>10.0</v>
      </c>
      <c r="I381" s="110" t="s">
        <v>70</v>
      </c>
      <c r="J381" s="112">
        <f>J379</f>
        <v>7990</v>
      </c>
      <c r="K381" s="110" t="str">
        <f>K379&amp;"     "</f>
        <v>$     </v>
      </c>
      <c r="L381" s="110" t="str">
        <f t="shared" ref="L381:U381" si="217">L379</f>
        <v/>
      </c>
      <c r="M381" s="110" t="str">
        <f t="shared" si="217"/>
        <v/>
      </c>
      <c r="N381" s="110" t="str">
        <f t="shared" si="217"/>
        <v/>
      </c>
      <c r="O381" s="110" t="str">
        <f t="shared" si="217"/>
        <v/>
      </c>
      <c r="P381" s="110" t="str">
        <f t="shared" si="217"/>
        <v/>
      </c>
      <c r="Q381" s="110" t="str">
        <f t="shared" si="217"/>
        <v/>
      </c>
      <c r="R381" s="110" t="str">
        <f t="shared" si="217"/>
        <v/>
      </c>
      <c r="S381" s="110" t="str">
        <f t="shared" si="217"/>
        <v/>
      </c>
      <c r="T381" s="110" t="str">
        <f t="shared" si="217"/>
        <v/>
      </c>
      <c r="U381" s="110" t="str">
        <f t="shared" si="217"/>
        <v/>
      </c>
      <c r="V381" s="110" t="str">
        <f t="shared" ref="V381:W381" si="218">V379&amp;"     "</f>
        <v>Nuevo     </v>
      </c>
      <c r="W381" s="112" t="str">
        <f t="shared" si="218"/>
        <v>Activa     </v>
      </c>
    </row>
    <row r="382" ht="49.5" customHeight="1">
      <c r="A382" s="110" t="s">
        <v>63</v>
      </c>
      <c r="B382" s="110" t="s">
        <v>1658</v>
      </c>
      <c r="C382" s="110" t="s">
        <v>1663</v>
      </c>
      <c r="D382" s="110" t="s">
        <v>1663</v>
      </c>
      <c r="E382" s="111" t="s">
        <v>1661</v>
      </c>
      <c r="F382" s="114" t="str">
        <f>"     "&amp;F379</f>
        <v>     Cushion Grip Drb 1.80.10 - Track</v>
      </c>
      <c r="G382" s="110" t="s">
        <v>165</v>
      </c>
      <c r="H382" s="113">
        <v>10.0</v>
      </c>
      <c r="I382" s="110" t="s">
        <v>70</v>
      </c>
      <c r="J382" s="112">
        <f>J379</f>
        <v>7990</v>
      </c>
      <c r="K382" s="110" t="str">
        <f>K379&amp;"     "</f>
        <v>$     </v>
      </c>
      <c r="L382" s="110" t="str">
        <f t="shared" ref="L382:U382" si="219">L379</f>
        <v/>
      </c>
      <c r="M382" s="110" t="str">
        <f t="shared" si="219"/>
        <v/>
      </c>
      <c r="N382" s="110" t="str">
        <f t="shared" si="219"/>
        <v/>
      </c>
      <c r="O382" s="110" t="str">
        <f t="shared" si="219"/>
        <v/>
      </c>
      <c r="P382" s="110" t="str">
        <f t="shared" si="219"/>
        <v/>
      </c>
      <c r="Q382" s="110" t="str">
        <f t="shared" si="219"/>
        <v/>
      </c>
      <c r="R382" s="110" t="str">
        <f t="shared" si="219"/>
        <v/>
      </c>
      <c r="S382" s="110" t="str">
        <f t="shared" si="219"/>
        <v/>
      </c>
      <c r="T382" s="110" t="str">
        <f t="shared" si="219"/>
        <v/>
      </c>
      <c r="U382" s="110" t="str">
        <f t="shared" si="219"/>
        <v/>
      </c>
      <c r="V382" s="110" t="str">
        <f t="shared" ref="V382:W382" si="220">V379&amp;"     "</f>
        <v>Nuevo     </v>
      </c>
      <c r="W382" s="112" t="str">
        <f t="shared" si="220"/>
        <v>Activa     </v>
      </c>
    </row>
    <row r="383" ht="49.5" customHeight="1">
      <c r="A383" s="110" t="s">
        <v>63</v>
      </c>
      <c r="B383" s="110" t="s">
        <v>1664</v>
      </c>
      <c r="C383" s="110"/>
      <c r="D383" s="110"/>
      <c r="E383" s="112" t="s">
        <v>1664</v>
      </c>
      <c r="F383" s="111" t="s">
        <v>1665</v>
      </c>
      <c r="G383" s="110" t="s">
        <v>70</v>
      </c>
      <c r="H383" s="110" t="s">
        <v>321</v>
      </c>
      <c r="I383" s="110" t="s">
        <v>70</v>
      </c>
      <c r="J383" s="112">
        <v>7990.0</v>
      </c>
      <c r="K383" s="113" t="s">
        <v>71</v>
      </c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 t="s">
        <v>72</v>
      </c>
      <c r="W383" s="112" t="s">
        <v>73</v>
      </c>
    </row>
    <row r="384" ht="49.5" customHeight="1">
      <c r="A384" s="110" t="s">
        <v>63</v>
      </c>
      <c r="B384" s="110" t="s">
        <v>1664</v>
      </c>
      <c r="C384" s="110" t="s">
        <v>1666</v>
      </c>
      <c r="D384" s="110" t="s">
        <v>1666</v>
      </c>
      <c r="E384" s="111" t="s">
        <v>1667</v>
      </c>
      <c r="F384" s="114" t="str">
        <f>"     "&amp;F383</f>
        <v>     Cushion Grip Drb 1.80.11 - Plane</v>
      </c>
      <c r="G384" s="110" t="s">
        <v>324</v>
      </c>
      <c r="H384" s="113">
        <v>10.0</v>
      </c>
      <c r="I384" s="110" t="s">
        <v>70</v>
      </c>
      <c r="J384" s="112">
        <f>J383</f>
        <v>7990</v>
      </c>
      <c r="K384" s="110" t="str">
        <f>K383&amp;"     "</f>
        <v>$     </v>
      </c>
      <c r="L384" s="110" t="str">
        <f t="shared" ref="L384:U384" si="221">L383</f>
        <v/>
      </c>
      <c r="M384" s="110" t="str">
        <f t="shared" si="221"/>
        <v/>
      </c>
      <c r="N384" s="110" t="str">
        <f t="shared" si="221"/>
        <v/>
      </c>
      <c r="O384" s="110" t="str">
        <f t="shared" si="221"/>
        <v/>
      </c>
      <c r="P384" s="110" t="str">
        <f t="shared" si="221"/>
        <v/>
      </c>
      <c r="Q384" s="110" t="str">
        <f t="shared" si="221"/>
        <v/>
      </c>
      <c r="R384" s="110" t="str">
        <f t="shared" si="221"/>
        <v/>
      </c>
      <c r="S384" s="110" t="str">
        <f t="shared" si="221"/>
        <v/>
      </c>
      <c r="T384" s="110" t="str">
        <f t="shared" si="221"/>
        <v/>
      </c>
      <c r="U384" s="110" t="str">
        <f t="shared" si="221"/>
        <v/>
      </c>
      <c r="V384" s="110" t="str">
        <f t="shared" ref="V384:W384" si="222">V383&amp;"     "</f>
        <v>Nuevo     </v>
      </c>
      <c r="W384" s="112" t="str">
        <f t="shared" si="222"/>
        <v>Activa     </v>
      </c>
    </row>
    <row r="385" ht="49.5" customHeight="1">
      <c r="A385" s="110" t="s">
        <v>63</v>
      </c>
      <c r="B385" s="110" t="s">
        <v>1664</v>
      </c>
      <c r="C385" s="110" t="s">
        <v>1668</v>
      </c>
      <c r="D385" s="110" t="s">
        <v>1668</v>
      </c>
      <c r="E385" s="111" t="s">
        <v>1667</v>
      </c>
      <c r="F385" s="114" t="str">
        <f>"     "&amp;F383</f>
        <v>     Cushion Grip Drb 1.80.11 - Plane</v>
      </c>
      <c r="G385" s="110" t="s">
        <v>90</v>
      </c>
      <c r="H385" s="113">
        <v>10.0</v>
      </c>
      <c r="I385" s="110" t="s">
        <v>70</v>
      </c>
      <c r="J385" s="112">
        <f>J383</f>
        <v>7990</v>
      </c>
      <c r="K385" s="110" t="str">
        <f>K383&amp;"     "</f>
        <v>$     </v>
      </c>
      <c r="L385" s="110" t="str">
        <f t="shared" ref="L385:U385" si="223">L383</f>
        <v/>
      </c>
      <c r="M385" s="110" t="str">
        <f t="shared" si="223"/>
        <v/>
      </c>
      <c r="N385" s="110" t="str">
        <f t="shared" si="223"/>
        <v/>
      </c>
      <c r="O385" s="110" t="str">
        <f t="shared" si="223"/>
        <v/>
      </c>
      <c r="P385" s="110" t="str">
        <f t="shared" si="223"/>
        <v/>
      </c>
      <c r="Q385" s="110" t="str">
        <f t="shared" si="223"/>
        <v/>
      </c>
      <c r="R385" s="110" t="str">
        <f t="shared" si="223"/>
        <v/>
      </c>
      <c r="S385" s="110" t="str">
        <f t="shared" si="223"/>
        <v/>
      </c>
      <c r="T385" s="110" t="str">
        <f t="shared" si="223"/>
        <v/>
      </c>
      <c r="U385" s="110" t="str">
        <f t="shared" si="223"/>
        <v/>
      </c>
      <c r="V385" s="110" t="str">
        <f t="shared" ref="V385:W385" si="224">V383&amp;"     "</f>
        <v>Nuevo     </v>
      </c>
      <c r="W385" s="112" t="str">
        <f t="shared" si="224"/>
        <v>Activa     </v>
      </c>
    </row>
    <row r="386" ht="49.5" customHeight="1">
      <c r="A386" s="110" t="s">
        <v>63</v>
      </c>
      <c r="B386" s="110" t="s">
        <v>1664</v>
      </c>
      <c r="C386" s="110" t="s">
        <v>1669</v>
      </c>
      <c r="D386" s="110" t="s">
        <v>1669</v>
      </c>
      <c r="E386" s="111" t="s">
        <v>1667</v>
      </c>
      <c r="F386" s="114" t="str">
        <f>"     "&amp;F383</f>
        <v>     Cushion Grip Drb 1.80.11 - Plane</v>
      </c>
      <c r="G386" s="110" t="s">
        <v>165</v>
      </c>
      <c r="H386" s="113">
        <v>10.0</v>
      </c>
      <c r="I386" s="110" t="s">
        <v>70</v>
      </c>
      <c r="J386" s="112">
        <f>J383</f>
        <v>7990</v>
      </c>
      <c r="K386" s="110" t="str">
        <f>K383&amp;"     "</f>
        <v>$     </v>
      </c>
      <c r="L386" s="110" t="str">
        <f t="shared" ref="L386:U386" si="225">L383</f>
        <v/>
      </c>
      <c r="M386" s="110" t="str">
        <f t="shared" si="225"/>
        <v/>
      </c>
      <c r="N386" s="110" t="str">
        <f t="shared" si="225"/>
        <v/>
      </c>
      <c r="O386" s="110" t="str">
        <f t="shared" si="225"/>
        <v/>
      </c>
      <c r="P386" s="110" t="str">
        <f t="shared" si="225"/>
        <v/>
      </c>
      <c r="Q386" s="110" t="str">
        <f t="shared" si="225"/>
        <v/>
      </c>
      <c r="R386" s="110" t="str">
        <f t="shared" si="225"/>
        <v/>
      </c>
      <c r="S386" s="110" t="str">
        <f t="shared" si="225"/>
        <v/>
      </c>
      <c r="T386" s="110" t="str">
        <f t="shared" si="225"/>
        <v/>
      </c>
      <c r="U386" s="110" t="str">
        <f t="shared" si="225"/>
        <v/>
      </c>
      <c r="V386" s="110" t="str">
        <f t="shared" ref="V386:W386" si="226">V383&amp;"     "</f>
        <v>Nuevo     </v>
      </c>
      <c r="W386" s="112" t="str">
        <f t="shared" si="226"/>
        <v>Activa     </v>
      </c>
    </row>
    <row r="387" ht="49.5" customHeight="1">
      <c r="A387" s="110" t="s">
        <v>1670</v>
      </c>
      <c r="B387" s="110" t="s">
        <v>1671</v>
      </c>
      <c r="C387" s="110" t="s">
        <v>1672</v>
      </c>
      <c r="D387" s="110"/>
      <c r="E387" s="111" t="s">
        <v>1673</v>
      </c>
      <c r="F387" s="111" t="s">
        <v>1674</v>
      </c>
      <c r="G387" s="110" t="s">
        <v>90</v>
      </c>
      <c r="H387" s="113">
        <v>30.0</v>
      </c>
      <c r="I387" s="110" t="s">
        <v>70</v>
      </c>
      <c r="J387" s="112">
        <v>93290.0</v>
      </c>
      <c r="K387" s="113" t="s">
        <v>71</v>
      </c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 t="s">
        <v>72</v>
      </c>
      <c r="W387" s="112" t="s">
        <v>73</v>
      </c>
    </row>
    <row r="388" ht="49.5" customHeight="1">
      <c r="A388" s="110" t="s">
        <v>1675</v>
      </c>
      <c r="B388" s="110" t="s">
        <v>1676</v>
      </c>
      <c r="C388" s="110" t="s">
        <v>1677</v>
      </c>
      <c r="D388" s="110"/>
      <c r="E388" s="111" t="s">
        <v>1678</v>
      </c>
      <c r="F388" s="111" t="s">
        <v>1679</v>
      </c>
      <c r="G388" s="110" t="s">
        <v>1680</v>
      </c>
      <c r="H388" s="113">
        <v>30.0</v>
      </c>
      <c r="I388" s="110" t="s">
        <v>70</v>
      </c>
      <c r="J388" s="112">
        <v>11190.0</v>
      </c>
      <c r="K388" s="113" t="s">
        <v>71</v>
      </c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 t="s">
        <v>72</v>
      </c>
      <c r="W388" s="112" t="s">
        <v>73</v>
      </c>
    </row>
    <row r="389" ht="49.5" customHeight="1">
      <c r="A389" s="110" t="s">
        <v>1681</v>
      </c>
      <c r="B389" s="110" t="s">
        <v>1682</v>
      </c>
      <c r="C389" s="110" t="s">
        <v>1683</v>
      </c>
      <c r="D389" s="110"/>
      <c r="E389" s="111" t="s">
        <v>1684</v>
      </c>
      <c r="F389" s="111" t="s">
        <v>1685</v>
      </c>
      <c r="G389" s="110" t="s">
        <v>1686</v>
      </c>
      <c r="H389" s="113">
        <v>30.0</v>
      </c>
      <c r="I389" s="110" t="s">
        <v>70</v>
      </c>
      <c r="J389" s="112">
        <v>13190.0</v>
      </c>
      <c r="K389" s="113" t="s">
        <v>71</v>
      </c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 t="s">
        <v>72</v>
      </c>
      <c r="W389" s="112" t="s">
        <v>73</v>
      </c>
    </row>
    <row r="390" ht="49.5" customHeight="1">
      <c r="A390" s="110" t="s">
        <v>1687</v>
      </c>
      <c r="B390" s="110" t="s">
        <v>1688</v>
      </c>
      <c r="C390" s="110" t="s">
        <v>1689</v>
      </c>
      <c r="D390" s="110"/>
      <c r="E390" s="111" t="s">
        <v>1690</v>
      </c>
      <c r="F390" s="111" t="s">
        <v>1691</v>
      </c>
      <c r="G390" s="110" t="s">
        <v>90</v>
      </c>
      <c r="H390" s="113">
        <v>30.0</v>
      </c>
      <c r="I390" s="110" t="s">
        <v>70</v>
      </c>
      <c r="J390" s="112">
        <v>110490.0</v>
      </c>
      <c r="K390" s="113" t="s">
        <v>71</v>
      </c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 t="s">
        <v>72</v>
      </c>
      <c r="W390" s="112" t="s">
        <v>73</v>
      </c>
    </row>
    <row r="391" ht="49.5" customHeight="1">
      <c r="A391" s="110" t="s">
        <v>91</v>
      </c>
      <c r="B391" s="110" t="s">
        <v>1692</v>
      </c>
      <c r="C391" s="110" t="s">
        <v>93</v>
      </c>
      <c r="D391" s="110"/>
      <c r="E391" s="111" t="s">
        <v>94</v>
      </c>
      <c r="F391" s="111" t="s">
        <v>1693</v>
      </c>
      <c r="G391" s="110" t="s">
        <v>1694</v>
      </c>
      <c r="H391" s="113">
        <v>28.0</v>
      </c>
      <c r="I391" s="110" t="s">
        <v>70</v>
      </c>
      <c r="J391" s="112">
        <v>18290.0</v>
      </c>
      <c r="K391" s="113" t="s">
        <v>71</v>
      </c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 t="s">
        <v>72</v>
      </c>
      <c r="W391" s="112" t="s">
        <v>73</v>
      </c>
    </row>
    <row r="392" ht="49.5" customHeight="1">
      <c r="A392" s="110" t="s">
        <v>1695</v>
      </c>
      <c r="B392" s="110" t="s">
        <v>1696</v>
      </c>
      <c r="C392" s="110" t="s">
        <v>1697</v>
      </c>
      <c r="D392" s="110"/>
      <c r="E392" s="111" t="s">
        <v>1698</v>
      </c>
      <c r="F392" s="111" t="s">
        <v>1699</v>
      </c>
      <c r="G392" s="110" t="s">
        <v>308</v>
      </c>
      <c r="H392" s="113">
        <v>30.0</v>
      </c>
      <c r="I392" s="110" t="s">
        <v>70</v>
      </c>
      <c r="J392" s="112">
        <v>58890.0</v>
      </c>
      <c r="K392" s="113" t="s">
        <v>71</v>
      </c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 t="s">
        <v>72</v>
      </c>
      <c r="W392" s="112" t="s">
        <v>73</v>
      </c>
    </row>
    <row r="393" ht="49.5" customHeight="1">
      <c r="A393" s="110" t="s">
        <v>1700</v>
      </c>
      <c r="B393" s="110" t="s">
        <v>1701</v>
      </c>
      <c r="C393" s="110" t="s">
        <v>1702</v>
      </c>
      <c r="D393" s="110"/>
      <c r="E393" s="111" t="s">
        <v>1703</v>
      </c>
      <c r="F393" s="111" t="s">
        <v>1704</v>
      </c>
      <c r="G393" s="110" t="s">
        <v>308</v>
      </c>
      <c r="H393" s="113">
        <v>30.0</v>
      </c>
      <c r="I393" s="110" t="s">
        <v>70</v>
      </c>
      <c r="J393" s="112">
        <v>17690.0</v>
      </c>
      <c r="K393" s="113" t="s">
        <v>71</v>
      </c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 t="s">
        <v>72</v>
      </c>
      <c r="W393" s="112" t="s">
        <v>73</v>
      </c>
    </row>
    <row r="394" ht="49.5" customHeight="1">
      <c r="A394" s="110" t="s">
        <v>1705</v>
      </c>
      <c r="B394" s="110" t="s">
        <v>1706</v>
      </c>
      <c r="C394" s="110" t="s">
        <v>1707</v>
      </c>
      <c r="D394" s="110"/>
      <c r="E394" s="111" t="s">
        <v>1708</v>
      </c>
      <c r="F394" s="111" t="s">
        <v>1709</v>
      </c>
      <c r="G394" s="110" t="s">
        <v>90</v>
      </c>
      <c r="H394" s="113">
        <v>30.0</v>
      </c>
      <c r="I394" s="110" t="s">
        <v>70</v>
      </c>
      <c r="J394" s="112">
        <v>110490.0</v>
      </c>
      <c r="K394" s="113" t="s">
        <v>71</v>
      </c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 t="s">
        <v>72</v>
      </c>
      <c r="W394" s="112" t="s">
        <v>73</v>
      </c>
    </row>
    <row r="395" ht="49.5" customHeight="1">
      <c r="A395" s="110" t="s">
        <v>815</v>
      </c>
      <c r="B395" s="110" t="s">
        <v>1710</v>
      </c>
      <c r="C395" s="110" t="s">
        <v>817</v>
      </c>
      <c r="D395" s="110"/>
      <c r="E395" s="111" t="s">
        <v>818</v>
      </c>
      <c r="F395" s="111" t="s">
        <v>1711</v>
      </c>
      <c r="G395" s="110" t="s">
        <v>165</v>
      </c>
      <c r="H395" s="113">
        <v>30.0</v>
      </c>
      <c r="I395" s="110" t="s">
        <v>70</v>
      </c>
      <c r="J395" s="112">
        <v>17190.0</v>
      </c>
      <c r="K395" s="113" t="s">
        <v>71</v>
      </c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 t="s">
        <v>72</v>
      </c>
      <c r="W395" s="112" t="s">
        <v>73</v>
      </c>
    </row>
    <row r="396" ht="49.5" customHeight="1">
      <c r="A396" s="110" t="s">
        <v>63</v>
      </c>
      <c r="B396" s="110" t="s">
        <v>1712</v>
      </c>
      <c r="C396" s="110"/>
      <c r="D396" s="110"/>
      <c r="E396" s="112" t="s">
        <v>1712</v>
      </c>
      <c r="F396" s="111" t="s">
        <v>1713</v>
      </c>
      <c r="G396" s="110" t="s">
        <v>70</v>
      </c>
      <c r="H396" s="110" t="s">
        <v>460</v>
      </c>
      <c r="I396" s="110" t="s">
        <v>70</v>
      </c>
      <c r="J396" s="112">
        <v>15490.0</v>
      </c>
      <c r="K396" s="113" t="s">
        <v>71</v>
      </c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 t="s">
        <v>72</v>
      </c>
      <c r="W396" s="112" t="s">
        <v>73</v>
      </c>
    </row>
    <row r="397" ht="49.5" customHeight="1">
      <c r="A397" s="110" t="s">
        <v>63</v>
      </c>
      <c r="B397" s="110" t="s">
        <v>1712</v>
      </c>
      <c r="C397" s="110" t="s">
        <v>1714</v>
      </c>
      <c r="D397" s="110" t="s">
        <v>1714</v>
      </c>
      <c r="E397" s="111" t="s">
        <v>1715</v>
      </c>
      <c r="F397" s="114" t="str">
        <f>"     "&amp;F396</f>
        <v>     Balon Volley Drb 4.00.06 Classic Beach</v>
      </c>
      <c r="G397" s="110" t="s">
        <v>427</v>
      </c>
      <c r="H397" s="113">
        <v>20.0</v>
      </c>
      <c r="I397" s="110" t="s">
        <v>70</v>
      </c>
      <c r="J397" s="112">
        <f>J396</f>
        <v>15490</v>
      </c>
      <c r="K397" s="110" t="str">
        <f>K396&amp;"     "</f>
        <v>$     </v>
      </c>
      <c r="L397" s="110" t="str">
        <f t="shared" ref="L397:U397" si="227">L396</f>
        <v/>
      </c>
      <c r="M397" s="110" t="str">
        <f t="shared" si="227"/>
        <v/>
      </c>
      <c r="N397" s="110" t="str">
        <f t="shared" si="227"/>
        <v/>
      </c>
      <c r="O397" s="110" t="str">
        <f t="shared" si="227"/>
        <v/>
      </c>
      <c r="P397" s="110" t="str">
        <f t="shared" si="227"/>
        <v/>
      </c>
      <c r="Q397" s="110" t="str">
        <f t="shared" si="227"/>
        <v/>
      </c>
      <c r="R397" s="110" t="str">
        <f t="shared" si="227"/>
        <v/>
      </c>
      <c r="S397" s="110" t="str">
        <f t="shared" si="227"/>
        <v/>
      </c>
      <c r="T397" s="110" t="str">
        <f t="shared" si="227"/>
        <v/>
      </c>
      <c r="U397" s="110" t="str">
        <f t="shared" si="227"/>
        <v/>
      </c>
      <c r="V397" s="110" t="str">
        <f t="shared" ref="V397:W397" si="228">V396&amp;"     "</f>
        <v>Nuevo     </v>
      </c>
      <c r="W397" s="112" t="str">
        <f t="shared" si="228"/>
        <v>Activa     </v>
      </c>
    </row>
    <row r="398" ht="49.5" customHeight="1">
      <c r="A398" s="110" t="s">
        <v>63</v>
      </c>
      <c r="B398" s="110" t="s">
        <v>1712</v>
      </c>
      <c r="C398" s="110" t="s">
        <v>1716</v>
      </c>
      <c r="D398" s="110" t="s">
        <v>1716</v>
      </c>
      <c r="E398" s="111" t="s">
        <v>1717</v>
      </c>
      <c r="F398" s="114" t="str">
        <f>"     "&amp;F396</f>
        <v>     Balon Volley Drb 4.00.06 Classic Beach</v>
      </c>
      <c r="G398" s="110" t="s">
        <v>138</v>
      </c>
      <c r="H398" s="113">
        <v>20.0</v>
      </c>
      <c r="I398" s="110" t="s">
        <v>70</v>
      </c>
      <c r="J398" s="112">
        <f>J396</f>
        <v>15490</v>
      </c>
      <c r="K398" s="110" t="str">
        <f>K396&amp;"     "</f>
        <v>$     </v>
      </c>
      <c r="L398" s="110" t="str">
        <f t="shared" ref="L398:U398" si="229">L396</f>
        <v/>
      </c>
      <c r="M398" s="110" t="str">
        <f t="shared" si="229"/>
        <v/>
      </c>
      <c r="N398" s="110" t="str">
        <f t="shared" si="229"/>
        <v/>
      </c>
      <c r="O398" s="110" t="str">
        <f t="shared" si="229"/>
        <v/>
      </c>
      <c r="P398" s="110" t="str">
        <f t="shared" si="229"/>
        <v/>
      </c>
      <c r="Q398" s="110" t="str">
        <f t="shared" si="229"/>
        <v/>
      </c>
      <c r="R398" s="110" t="str">
        <f t="shared" si="229"/>
        <v/>
      </c>
      <c r="S398" s="110" t="str">
        <f t="shared" si="229"/>
        <v/>
      </c>
      <c r="T398" s="110" t="str">
        <f t="shared" si="229"/>
        <v/>
      </c>
      <c r="U398" s="110" t="str">
        <f t="shared" si="229"/>
        <v/>
      </c>
      <c r="V398" s="110" t="str">
        <f t="shared" ref="V398:W398" si="230">V396&amp;"     "</f>
        <v>Nuevo     </v>
      </c>
      <c r="W398" s="112" t="str">
        <f t="shared" si="230"/>
        <v>Activa     </v>
      </c>
    </row>
    <row r="399" ht="49.5" customHeight="1">
      <c r="A399" s="110" t="s">
        <v>63</v>
      </c>
      <c r="B399" s="110" t="s">
        <v>1712</v>
      </c>
      <c r="C399" s="110" t="s">
        <v>1718</v>
      </c>
      <c r="D399" s="110" t="s">
        <v>1718</v>
      </c>
      <c r="E399" s="111" t="s">
        <v>1719</v>
      </c>
      <c r="F399" s="114" t="str">
        <f>"     "&amp;F396</f>
        <v>     Balon Volley Drb 4.00.06 Classic Beach</v>
      </c>
      <c r="G399" s="110" t="s">
        <v>1720</v>
      </c>
      <c r="H399" s="113">
        <v>20.0</v>
      </c>
      <c r="I399" s="110" t="s">
        <v>70</v>
      </c>
      <c r="J399" s="112">
        <f>J396</f>
        <v>15490</v>
      </c>
      <c r="K399" s="110" t="str">
        <f>K396&amp;"     "</f>
        <v>$     </v>
      </c>
      <c r="L399" s="110" t="str">
        <f t="shared" ref="L399:U399" si="231">L396</f>
        <v/>
      </c>
      <c r="M399" s="110" t="str">
        <f t="shared" si="231"/>
        <v/>
      </c>
      <c r="N399" s="110" t="str">
        <f t="shared" si="231"/>
        <v/>
      </c>
      <c r="O399" s="110" t="str">
        <f t="shared" si="231"/>
        <v/>
      </c>
      <c r="P399" s="110" t="str">
        <f t="shared" si="231"/>
        <v/>
      </c>
      <c r="Q399" s="110" t="str">
        <f t="shared" si="231"/>
        <v/>
      </c>
      <c r="R399" s="110" t="str">
        <f t="shared" si="231"/>
        <v/>
      </c>
      <c r="S399" s="110" t="str">
        <f t="shared" si="231"/>
        <v/>
      </c>
      <c r="T399" s="110" t="str">
        <f t="shared" si="231"/>
        <v/>
      </c>
      <c r="U399" s="110" t="str">
        <f t="shared" si="231"/>
        <v/>
      </c>
      <c r="V399" s="110" t="str">
        <f t="shared" ref="V399:W399" si="232">V396&amp;"     "</f>
        <v>Nuevo     </v>
      </c>
      <c r="W399" s="112" t="str">
        <f t="shared" si="232"/>
        <v>Activa     </v>
      </c>
    </row>
    <row r="400" ht="49.5" customHeight="1">
      <c r="A400" s="110" t="s">
        <v>1721</v>
      </c>
      <c r="B400" s="110" t="s">
        <v>1722</v>
      </c>
      <c r="C400" s="110" t="s">
        <v>1723</v>
      </c>
      <c r="D400" s="110"/>
      <c r="E400" s="111" t="s">
        <v>1724</v>
      </c>
      <c r="F400" s="111" t="s">
        <v>1725</v>
      </c>
      <c r="G400" s="110" t="s">
        <v>1725</v>
      </c>
      <c r="H400" s="113">
        <v>30.0</v>
      </c>
      <c r="I400" s="110" t="s">
        <v>70</v>
      </c>
      <c r="J400" s="112">
        <v>10690.0</v>
      </c>
      <c r="K400" s="113" t="s">
        <v>71</v>
      </c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 t="s">
        <v>72</v>
      </c>
      <c r="W400" s="112" t="s">
        <v>73</v>
      </c>
    </row>
    <row r="401" ht="49.5" customHeight="1">
      <c r="A401" s="110" t="s">
        <v>1726</v>
      </c>
      <c r="B401" s="110" t="s">
        <v>1727</v>
      </c>
      <c r="C401" s="110" t="s">
        <v>1728</v>
      </c>
      <c r="D401" s="110"/>
      <c r="E401" s="111" t="s">
        <v>1729</v>
      </c>
      <c r="F401" s="111" t="s">
        <v>1730</v>
      </c>
      <c r="G401" s="110" t="s">
        <v>1730</v>
      </c>
      <c r="H401" s="113">
        <v>30.0</v>
      </c>
      <c r="I401" s="110" t="s">
        <v>70</v>
      </c>
      <c r="J401" s="112">
        <v>13390.0</v>
      </c>
      <c r="K401" s="113" t="s">
        <v>71</v>
      </c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 t="s">
        <v>72</v>
      </c>
      <c r="W401" s="112" t="s">
        <v>73</v>
      </c>
    </row>
    <row r="402" ht="49.5" customHeight="1">
      <c r="A402" s="110" t="s">
        <v>1731</v>
      </c>
      <c r="B402" s="110" t="s">
        <v>1732</v>
      </c>
      <c r="C402" s="110" t="s">
        <v>1733</v>
      </c>
      <c r="D402" s="110"/>
      <c r="E402" s="111" t="s">
        <v>1734</v>
      </c>
      <c r="F402" s="111" t="s">
        <v>1735</v>
      </c>
      <c r="G402" s="110" t="s">
        <v>1735</v>
      </c>
      <c r="H402" s="113">
        <v>30.0</v>
      </c>
      <c r="I402" s="110" t="s">
        <v>70</v>
      </c>
      <c r="J402" s="112">
        <v>12490.0</v>
      </c>
      <c r="K402" s="113" t="s">
        <v>71</v>
      </c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 t="s">
        <v>72</v>
      </c>
      <c r="W402" s="112" t="s">
        <v>73</v>
      </c>
    </row>
    <row r="403" ht="49.5" customHeight="1">
      <c r="A403" s="110" t="s">
        <v>1736</v>
      </c>
      <c r="B403" s="110" t="s">
        <v>1737</v>
      </c>
      <c r="C403" s="110" t="s">
        <v>1738</v>
      </c>
      <c r="D403" s="110"/>
      <c r="E403" s="111" t="s">
        <v>1739</v>
      </c>
      <c r="F403" s="111" t="s">
        <v>1740</v>
      </c>
      <c r="G403" s="110" t="s">
        <v>84</v>
      </c>
      <c r="H403" s="113">
        <v>30.0</v>
      </c>
      <c r="I403" s="110" t="s">
        <v>70</v>
      </c>
      <c r="J403" s="112">
        <v>33390.0</v>
      </c>
      <c r="K403" s="113" t="s">
        <v>71</v>
      </c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 t="s">
        <v>72</v>
      </c>
      <c r="W403" s="112" t="s">
        <v>73</v>
      </c>
    </row>
    <row r="404" ht="49.5" customHeight="1">
      <c r="A404" s="110" t="s">
        <v>1741</v>
      </c>
      <c r="B404" s="110" t="s">
        <v>1742</v>
      </c>
      <c r="C404" s="110" t="s">
        <v>1743</v>
      </c>
      <c r="D404" s="110"/>
      <c r="E404" s="111" t="s">
        <v>1744</v>
      </c>
      <c r="F404" s="111" t="s">
        <v>1745</v>
      </c>
      <c r="G404" s="110" t="s">
        <v>1746</v>
      </c>
      <c r="H404" s="113">
        <v>30.0</v>
      </c>
      <c r="I404" s="110" t="s">
        <v>70</v>
      </c>
      <c r="J404" s="112">
        <v>7090.0</v>
      </c>
      <c r="K404" s="113" t="s">
        <v>71</v>
      </c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 t="s">
        <v>72</v>
      </c>
      <c r="W404" s="112" t="s">
        <v>73</v>
      </c>
    </row>
    <row r="405" ht="49.5" customHeight="1">
      <c r="A405" s="110" t="s">
        <v>1747</v>
      </c>
      <c r="B405" s="110" t="s">
        <v>1748</v>
      </c>
      <c r="C405" s="110" t="s">
        <v>1749</v>
      </c>
      <c r="D405" s="110"/>
      <c r="E405" s="111" t="s">
        <v>1750</v>
      </c>
      <c r="F405" s="111" t="s">
        <v>1751</v>
      </c>
      <c r="G405" s="110" t="s">
        <v>1752</v>
      </c>
      <c r="H405" s="113">
        <v>30.0</v>
      </c>
      <c r="I405" s="110" t="s">
        <v>70</v>
      </c>
      <c r="J405" s="112">
        <v>7790.0</v>
      </c>
      <c r="K405" s="113" t="s">
        <v>71</v>
      </c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 t="s">
        <v>72</v>
      </c>
      <c r="W405" s="112" t="s">
        <v>73</v>
      </c>
    </row>
    <row r="406" ht="49.5" customHeight="1">
      <c r="A406" s="110" t="s">
        <v>1753</v>
      </c>
      <c r="B406" s="110" t="s">
        <v>1754</v>
      </c>
      <c r="C406" s="110" t="s">
        <v>1755</v>
      </c>
      <c r="D406" s="110"/>
      <c r="E406" s="111" t="s">
        <v>1756</v>
      </c>
      <c r="F406" s="111" t="s">
        <v>1757</v>
      </c>
      <c r="G406" s="110" t="s">
        <v>1758</v>
      </c>
      <c r="H406" s="113">
        <v>30.0</v>
      </c>
      <c r="I406" s="110" t="s">
        <v>70</v>
      </c>
      <c r="J406" s="112">
        <v>46090.0</v>
      </c>
      <c r="K406" s="113" t="s">
        <v>71</v>
      </c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 t="s">
        <v>72</v>
      </c>
      <c r="W406" s="112" t="s">
        <v>73</v>
      </c>
    </row>
    <row r="407" ht="49.5" customHeight="1">
      <c r="A407" s="110" t="s">
        <v>1759</v>
      </c>
      <c r="B407" s="110" t="s">
        <v>1760</v>
      </c>
      <c r="C407" s="110" t="s">
        <v>1761</v>
      </c>
      <c r="D407" s="110"/>
      <c r="E407" s="111" t="s">
        <v>1762</v>
      </c>
      <c r="F407" s="111" t="s">
        <v>1763</v>
      </c>
      <c r="G407" s="110" t="s">
        <v>79</v>
      </c>
      <c r="H407" s="113">
        <v>30.0</v>
      </c>
      <c r="I407" s="110" t="s">
        <v>70</v>
      </c>
      <c r="J407" s="112">
        <v>27090.0</v>
      </c>
      <c r="K407" s="113" t="s">
        <v>71</v>
      </c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 t="s">
        <v>72</v>
      </c>
      <c r="W407" s="112" t="s">
        <v>73</v>
      </c>
    </row>
    <row r="408" ht="49.5" customHeight="1">
      <c r="A408" s="110" t="s">
        <v>1764</v>
      </c>
      <c r="B408" s="110" t="s">
        <v>1765</v>
      </c>
      <c r="C408" s="110" t="s">
        <v>1766</v>
      </c>
      <c r="D408" s="110"/>
      <c r="E408" s="111" t="s">
        <v>1767</v>
      </c>
      <c r="F408" s="111" t="s">
        <v>1768</v>
      </c>
      <c r="G408" s="110" t="s">
        <v>84</v>
      </c>
      <c r="H408" s="113">
        <v>30.0</v>
      </c>
      <c r="I408" s="110" t="s">
        <v>70</v>
      </c>
      <c r="J408" s="112">
        <v>27790.0</v>
      </c>
      <c r="K408" s="113" t="s">
        <v>71</v>
      </c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 t="s">
        <v>72</v>
      </c>
      <c r="W408" s="112" t="s">
        <v>73</v>
      </c>
    </row>
    <row r="409" ht="49.5" customHeight="1">
      <c r="A409" s="110" t="s">
        <v>1769</v>
      </c>
      <c r="B409" s="110" t="s">
        <v>1770</v>
      </c>
      <c r="C409" s="110" t="s">
        <v>1771</v>
      </c>
      <c r="D409" s="110"/>
      <c r="E409" s="111" t="s">
        <v>1772</v>
      </c>
      <c r="F409" s="111" t="s">
        <v>1773</v>
      </c>
      <c r="G409" s="110" t="s">
        <v>1773</v>
      </c>
      <c r="H409" s="113">
        <v>30.0</v>
      </c>
      <c r="I409" s="110" t="s">
        <v>70</v>
      </c>
      <c r="J409" s="112">
        <v>207890.0</v>
      </c>
      <c r="K409" s="113" t="s">
        <v>71</v>
      </c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 t="s">
        <v>72</v>
      </c>
      <c r="W409" s="112" t="s">
        <v>73</v>
      </c>
    </row>
    <row r="410" ht="49.5" customHeight="1">
      <c r="A410" s="110" t="s">
        <v>1774</v>
      </c>
      <c r="B410" s="110" t="s">
        <v>1775</v>
      </c>
      <c r="C410" s="110" t="s">
        <v>1776</v>
      </c>
      <c r="D410" s="110"/>
      <c r="E410" s="111" t="s">
        <v>1777</v>
      </c>
      <c r="F410" s="111" t="s">
        <v>1778</v>
      </c>
      <c r="G410" s="110" t="s">
        <v>90</v>
      </c>
      <c r="H410" s="113">
        <v>30.0</v>
      </c>
      <c r="I410" s="110" t="s">
        <v>70</v>
      </c>
      <c r="J410" s="112">
        <v>139590.0</v>
      </c>
      <c r="K410" s="113" t="s">
        <v>71</v>
      </c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 t="s">
        <v>72</v>
      </c>
      <c r="W410" s="112" t="s">
        <v>73</v>
      </c>
    </row>
    <row r="411" ht="49.5" customHeight="1">
      <c r="A411" s="110" t="s">
        <v>1779</v>
      </c>
      <c r="B411" s="110" t="s">
        <v>1780</v>
      </c>
      <c r="C411" s="110" t="s">
        <v>1781</v>
      </c>
      <c r="D411" s="110"/>
      <c r="E411" s="111" t="s">
        <v>1782</v>
      </c>
      <c r="F411" s="111" t="s">
        <v>1783</v>
      </c>
      <c r="G411" s="110" t="s">
        <v>144</v>
      </c>
      <c r="H411" s="113">
        <v>30.0</v>
      </c>
      <c r="I411" s="110" t="s">
        <v>70</v>
      </c>
      <c r="J411" s="112">
        <v>7990.0</v>
      </c>
      <c r="K411" s="113" t="s">
        <v>71</v>
      </c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 t="s">
        <v>72</v>
      </c>
      <c r="W411" s="112" t="s">
        <v>73</v>
      </c>
    </row>
    <row r="412" ht="49.5" customHeight="1">
      <c r="A412" s="110" t="s">
        <v>1784</v>
      </c>
      <c r="B412" s="110" t="s">
        <v>1785</v>
      </c>
      <c r="C412" s="110" t="s">
        <v>1786</v>
      </c>
      <c r="D412" s="110"/>
      <c r="E412" s="111" t="s">
        <v>1787</v>
      </c>
      <c r="F412" s="111" t="s">
        <v>1788</v>
      </c>
      <c r="G412" s="110" t="s">
        <v>138</v>
      </c>
      <c r="H412" s="113">
        <v>30.0</v>
      </c>
      <c r="I412" s="110" t="s">
        <v>70</v>
      </c>
      <c r="J412" s="112">
        <v>9190.0</v>
      </c>
      <c r="K412" s="113" t="s">
        <v>71</v>
      </c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 t="s">
        <v>72</v>
      </c>
      <c r="W412" s="112" t="s">
        <v>73</v>
      </c>
    </row>
    <row r="413" ht="49.5" customHeight="1">
      <c r="A413" s="110" t="s">
        <v>1789</v>
      </c>
      <c r="B413" s="110" t="s">
        <v>1790</v>
      </c>
      <c r="C413" s="110" t="s">
        <v>1791</v>
      </c>
      <c r="D413" s="110"/>
      <c r="E413" s="111" t="s">
        <v>1792</v>
      </c>
      <c r="F413" s="111" t="s">
        <v>1793</v>
      </c>
      <c r="G413" s="110" t="s">
        <v>144</v>
      </c>
      <c r="H413" s="113">
        <v>30.0</v>
      </c>
      <c r="I413" s="110" t="s">
        <v>70</v>
      </c>
      <c r="J413" s="112">
        <v>46890.0</v>
      </c>
      <c r="K413" s="113" t="s">
        <v>71</v>
      </c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 t="s">
        <v>72</v>
      </c>
      <c r="W413" s="112" t="s">
        <v>73</v>
      </c>
    </row>
    <row r="414" ht="49.5" customHeight="1">
      <c r="A414" s="110" t="s">
        <v>1794</v>
      </c>
      <c r="B414" s="110" t="s">
        <v>1795</v>
      </c>
      <c r="C414" s="110" t="s">
        <v>1796</v>
      </c>
      <c r="D414" s="110"/>
      <c r="E414" s="111" t="s">
        <v>1797</v>
      </c>
      <c r="F414" s="111" t="s">
        <v>1798</v>
      </c>
      <c r="G414" s="110" t="s">
        <v>90</v>
      </c>
      <c r="H414" s="113">
        <v>30.0</v>
      </c>
      <c r="I414" s="110" t="s">
        <v>70</v>
      </c>
      <c r="J414" s="112">
        <v>39590.0</v>
      </c>
      <c r="K414" s="113" t="s">
        <v>71</v>
      </c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 t="s">
        <v>72</v>
      </c>
      <c r="W414" s="112" t="s">
        <v>73</v>
      </c>
    </row>
    <row r="415" ht="49.5" customHeight="1">
      <c r="A415" s="110" t="s">
        <v>1799</v>
      </c>
      <c r="B415" s="110" t="s">
        <v>1800</v>
      </c>
      <c r="C415" s="110" t="s">
        <v>1801</v>
      </c>
      <c r="D415" s="110"/>
      <c r="E415" s="111" t="s">
        <v>1802</v>
      </c>
      <c r="F415" s="111" t="s">
        <v>1803</v>
      </c>
      <c r="G415" s="110" t="s">
        <v>84</v>
      </c>
      <c r="H415" s="113">
        <v>30.0</v>
      </c>
      <c r="I415" s="110" t="s">
        <v>70</v>
      </c>
      <c r="J415" s="112">
        <v>7090.0</v>
      </c>
      <c r="K415" s="113" t="s">
        <v>71</v>
      </c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 t="s">
        <v>72</v>
      </c>
      <c r="W415" s="112" t="s">
        <v>73</v>
      </c>
    </row>
    <row r="416" ht="49.5" customHeight="1">
      <c r="A416" s="110" t="s">
        <v>1804</v>
      </c>
      <c r="B416" s="110" t="s">
        <v>1805</v>
      </c>
      <c r="C416" s="110" t="s">
        <v>1806</v>
      </c>
      <c r="D416" s="110"/>
      <c r="E416" s="111" t="s">
        <v>1807</v>
      </c>
      <c r="F416" s="111" t="s">
        <v>1808</v>
      </c>
      <c r="G416" s="110" t="s">
        <v>79</v>
      </c>
      <c r="H416" s="113">
        <v>10.0</v>
      </c>
      <c r="I416" s="110" t="s">
        <v>70</v>
      </c>
      <c r="J416" s="112">
        <v>27790.0</v>
      </c>
      <c r="K416" s="113" t="s">
        <v>71</v>
      </c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 t="s">
        <v>72</v>
      </c>
      <c r="W416" s="112" t="s">
        <v>73</v>
      </c>
    </row>
    <row r="417" ht="49.5" customHeight="1">
      <c r="A417" s="110" t="s">
        <v>1809</v>
      </c>
      <c r="B417" s="110" t="s">
        <v>1810</v>
      </c>
      <c r="C417" s="110" t="s">
        <v>1811</v>
      </c>
      <c r="D417" s="110"/>
      <c r="E417" s="111" t="s">
        <v>1812</v>
      </c>
      <c r="F417" s="111" t="s">
        <v>1813</v>
      </c>
      <c r="G417" s="110" t="s">
        <v>84</v>
      </c>
      <c r="H417" s="113">
        <v>30.0</v>
      </c>
      <c r="I417" s="110" t="s">
        <v>70</v>
      </c>
      <c r="J417" s="112">
        <v>59990.0</v>
      </c>
      <c r="K417" s="113" t="s">
        <v>71</v>
      </c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 t="s">
        <v>72</v>
      </c>
      <c r="W417" s="112" t="s">
        <v>73</v>
      </c>
    </row>
    <row r="418" ht="49.5" customHeight="1">
      <c r="A418" s="110" t="s">
        <v>1814</v>
      </c>
      <c r="B418" s="110" t="s">
        <v>1815</v>
      </c>
      <c r="C418" s="110" t="s">
        <v>1816</v>
      </c>
      <c r="D418" s="110"/>
      <c r="E418" s="111" t="s">
        <v>1817</v>
      </c>
      <c r="F418" s="111" t="s">
        <v>1818</v>
      </c>
      <c r="G418" s="110" t="s">
        <v>1546</v>
      </c>
      <c r="H418" s="113">
        <v>30.0</v>
      </c>
      <c r="I418" s="110" t="s">
        <v>70</v>
      </c>
      <c r="J418" s="112">
        <v>15990.0</v>
      </c>
      <c r="K418" s="113" t="s">
        <v>71</v>
      </c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 t="s">
        <v>72</v>
      </c>
      <c r="W418" s="112" t="s">
        <v>73</v>
      </c>
    </row>
    <row r="419" ht="49.5" customHeight="1">
      <c r="A419" s="110" t="s">
        <v>1819</v>
      </c>
      <c r="B419" s="110" t="s">
        <v>1820</v>
      </c>
      <c r="C419" s="110" t="s">
        <v>1821</v>
      </c>
      <c r="D419" s="110"/>
      <c r="E419" s="111" t="s">
        <v>1822</v>
      </c>
      <c r="F419" s="111" t="s">
        <v>1823</v>
      </c>
      <c r="G419" s="110" t="s">
        <v>84</v>
      </c>
      <c r="H419" s="113">
        <v>30.0</v>
      </c>
      <c r="I419" s="110" t="s">
        <v>70</v>
      </c>
      <c r="J419" s="112">
        <v>9290.0</v>
      </c>
      <c r="K419" s="113" t="s">
        <v>71</v>
      </c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 t="s">
        <v>72</v>
      </c>
      <c r="W419" s="112" t="s">
        <v>73</v>
      </c>
    </row>
    <row r="420" ht="49.5" customHeight="1">
      <c r="A420" s="110" t="s">
        <v>1824</v>
      </c>
      <c r="B420" s="110" t="s">
        <v>1825</v>
      </c>
      <c r="C420" s="110" t="s">
        <v>1826</v>
      </c>
      <c r="D420" s="110"/>
      <c r="E420" s="111" t="s">
        <v>1827</v>
      </c>
      <c r="F420" s="111" t="s">
        <v>1828</v>
      </c>
      <c r="G420" s="110" t="s">
        <v>90</v>
      </c>
      <c r="H420" s="113">
        <v>30.0</v>
      </c>
      <c r="I420" s="110" t="s">
        <v>70</v>
      </c>
      <c r="J420" s="112">
        <v>238590.0</v>
      </c>
      <c r="K420" s="113" t="s">
        <v>71</v>
      </c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 t="s">
        <v>72</v>
      </c>
      <c r="W420" s="112" t="s">
        <v>73</v>
      </c>
    </row>
    <row r="421" ht="49.5" customHeight="1">
      <c r="A421" s="110" t="s">
        <v>1829</v>
      </c>
      <c r="B421" s="110" t="s">
        <v>1830</v>
      </c>
      <c r="C421" s="110" t="s">
        <v>1831</v>
      </c>
      <c r="D421" s="110"/>
      <c r="E421" s="111" t="s">
        <v>1832</v>
      </c>
      <c r="F421" s="111" t="s">
        <v>1833</v>
      </c>
      <c r="G421" s="110" t="s">
        <v>79</v>
      </c>
      <c r="H421" s="113">
        <v>30.0</v>
      </c>
      <c r="I421" s="110" t="s">
        <v>70</v>
      </c>
      <c r="J421" s="112">
        <v>19590.0</v>
      </c>
      <c r="K421" s="113" t="s">
        <v>71</v>
      </c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 t="s">
        <v>72</v>
      </c>
      <c r="W421" s="112" t="s">
        <v>73</v>
      </c>
    </row>
    <row r="422" ht="49.5" customHeight="1">
      <c r="A422" s="110" t="s">
        <v>1834</v>
      </c>
      <c r="B422" s="110" t="s">
        <v>1835</v>
      </c>
      <c r="C422" s="110" t="s">
        <v>1836</v>
      </c>
      <c r="D422" s="110"/>
      <c r="E422" s="111" t="s">
        <v>1837</v>
      </c>
      <c r="F422" s="111" t="s">
        <v>1838</v>
      </c>
      <c r="G422" s="110" t="s">
        <v>1546</v>
      </c>
      <c r="H422" s="113">
        <v>30.0</v>
      </c>
      <c r="I422" s="110" t="s">
        <v>70</v>
      </c>
      <c r="J422" s="112">
        <v>18590.0</v>
      </c>
      <c r="K422" s="113" t="s">
        <v>71</v>
      </c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 t="s">
        <v>72</v>
      </c>
      <c r="W422" s="112" t="s">
        <v>73</v>
      </c>
    </row>
    <row r="423" ht="49.5" customHeight="1">
      <c r="A423" s="110" t="s">
        <v>1839</v>
      </c>
      <c r="B423" s="110" t="s">
        <v>1840</v>
      </c>
      <c r="C423" s="110" t="s">
        <v>1841</v>
      </c>
      <c r="D423" s="110"/>
      <c r="E423" s="111" t="s">
        <v>1842</v>
      </c>
      <c r="F423" s="111" t="s">
        <v>1843</v>
      </c>
      <c r="G423" s="110" t="s">
        <v>138</v>
      </c>
      <c r="H423" s="113">
        <v>30.0</v>
      </c>
      <c r="I423" s="110" t="s">
        <v>70</v>
      </c>
      <c r="J423" s="112">
        <v>52790.0</v>
      </c>
      <c r="K423" s="113" t="s">
        <v>71</v>
      </c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 t="s">
        <v>72</v>
      </c>
      <c r="W423" s="112" t="s">
        <v>73</v>
      </c>
    </row>
    <row r="424" ht="49.5" customHeight="1">
      <c r="A424" s="110" t="s">
        <v>1844</v>
      </c>
      <c r="B424" s="110" t="s">
        <v>1845</v>
      </c>
      <c r="C424" s="110" t="s">
        <v>1846</v>
      </c>
      <c r="D424" s="110"/>
      <c r="E424" s="111" t="s">
        <v>1847</v>
      </c>
      <c r="F424" s="111" t="s">
        <v>1848</v>
      </c>
      <c r="G424" s="110" t="s">
        <v>84</v>
      </c>
      <c r="H424" s="113">
        <v>30.0</v>
      </c>
      <c r="I424" s="110" t="s">
        <v>70</v>
      </c>
      <c r="J424" s="112">
        <v>9390.0</v>
      </c>
      <c r="K424" s="113" t="s">
        <v>71</v>
      </c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 t="s">
        <v>72</v>
      </c>
      <c r="W424" s="112" t="s">
        <v>73</v>
      </c>
    </row>
    <row r="425" ht="49.5" customHeight="1">
      <c r="A425" s="110" t="s">
        <v>1849</v>
      </c>
      <c r="B425" s="110" t="s">
        <v>1850</v>
      </c>
      <c r="C425" s="110" t="s">
        <v>1851</v>
      </c>
      <c r="D425" s="110"/>
      <c r="E425" s="111" t="s">
        <v>1852</v>
      </c>
      <c r="F425" s="111" t="s">
        <v>1853</v>
      </c>
      <c r="G425" s="110" t="s">
        <v>84</v>
      </c>
      <c r="H425" s="113">
        <v>30.0</v>
      </c>
      <c r="I425" s="110" t="s">
        <v>70</v>
      </c>
      <c r="J425" s="112">
        <v>7390.0</v>
      </c>
      <c r="K425" s="113" t="s">
        <v>71</v>
      </c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 t="s">
        <v>72</v>
      </c>
      <c r="W425" s="112" t="s">
        <v>73</v>
      </c>
    </row>
    <row r="426" ht="49.5" customHeight="1">
      <c r="A426" s="110" t="s">
        <v>1854</v>
      </c>
      <c r="B426" s="110" t="s">
        <v>1855</v>
      </c>
      <c r="C426" s="110" t="s">
        <v>1856</v>
      </c>
      <c r="D426" s="110"/>
      <c r="E426" s="111" t="s">
        <v>1857</v>
      </c>
      <c r="F426" s="111" t="s">
        <v>1858</v>
      </c>
      <c r="G426" s="110" t="s">
        <v>144</v>
      </c>
      <c r="H426" s="113">
        <v>10.0</v>
      </c>
      <c r="I426" s="110" t="s">
        <v>70</v>
      </c>
      <c r="J426" s="112">
        <v>29690.0</v>
      </c>
      <c r="K426" s="113" t="s">
        <v>71</v>
      </c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 t="s">
        <v>72</v>
      </c>
      <c r="W426" s="112" t="s">
        <v>73</v>
      </c>
    </row>
    <row r="427" ht="49.5" customHeight="1">
      <c r="A427" s="110" t="s">
        <v>1859</v>
      </c>
      <c r="B427" s="110" t="s">
        <v>1860</v>
      </c>
      <c r="C427" s="110" t="s">
        <v>1861</v>
      </c>
      <c r="D427" s="110"/>
      <c r="E427" s="111" t="s">
        <v>1862</v>
      </c>
      <c r="F427" s="111" t="s">
        <v>1863</v>
      </c>
      <c r="G427" s="110" t="s">
        <v>79</v>
      </c>
      <c r="H427" s="113">
        <v>10.0</v>
      </c>
      <c r="I427" s="110" t="s">
        <v>70</v>
      </c>
      <c r="J427" s="112">
        <v>32190.0</v>
      </c>
      <c r="K427" s="113" t="s">
        <v>71</v>
      </c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 t="s">
        <v>72</v>
      </c>
      <c r="W427" s="112" t="s">
        <v>73</v>
      </c>
    </row>
    <row r="428" ht="49.5" customHeight="1">
      <c r="A428" s="110" t="s">
        <v>1864</v>
      </c>
      <c r="B428" s="110" t="s">
        <v>1865</v>
      </c>
      <c r="C428" s="110" t="s">
        <v>1866</v>
      </c>
      <c r="D428" s="110"/>
      <c r="E428" s="111" t="s">
        <v>1867</v>
      </c>
      <c r="F428" s="111" t="s">
        <v>1868</v>
      </c>
      <c r="G428" s="110" t="s">
        <v>79</v>
      </c>
      <c r="H428" s="113">
        <v>30.0</v>
      </c>
      <c r="I428" s="110" t="s">
        <v>70</v>
      </c>
      <c r="J428" s="112">
        <v>6790.0</v>
      </c>
      <c r="K428" s="113" t="s">
        <v>71</v>
      </c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 t="s">
        <v>72</v>
      </c>
      <c r="W428" s="112" t="s">
        <v>73</v>
      </c>
    </row>
    <row r="429" ht="49.5" customHeight="1">
      <c r="A429" s="110" t="s">
        <v>1869</v>
      </c>
      <c r="B429" s="110" t="s">
        <v>1870</v>
      </c>
      <c r="C429" s="110" t="s">
        <v>1871</v>
      </c>
      <c r="D429" s="110"/>
      <c r="E429" s="111" t="s">
        <v>1872</v>
      </c>
      <c r="F429" s="111" t="s">
        <v>1873</v>
      </c>
      <c r="G429" s="110" t="s">
        <v>138</v>
      </c>
      <c r="H429" s="113">
        <v>30.0</v>
      </c>
      <c r="I429" s="110" t="s">
        <v>70</v>
      </c>
      <c r="J429" s="112">
        <v>17990.0</v>
      </c>
      <c r="K429" s="113" t="s">
        <v>71</v>
      </c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 t="s">
        <v>72</v>
      </c>
      <c r="W429" s="112" t="s">
        <v>73</v>
      </c>
    </row>
    <row r="430" ht="49.5" customHeight="1">
      <c r="A430" s="110" t="s">
        <v>1874</v>
      </c>
      <c r="B430" s="110" t="s">
        <v>1875</v>
      </c>
      <c r="C430" s="110" t="s">
        <v>1876</v>
      </c>
      <c r="D430" s="110"/>
      <c r="E430" s="111" t="s">
        <v>1877</v>
      </c>
      <c r="F430" s="111" t="s">
        <v>1878</v>
      </c>
      <c r="G430" s="110" t="s">
        <v>90</v>
      </c>
      <c r="H430" s="113">
        <v>30.0</v>
      </c>
      <c r="I430" s="110" t="s">
        <v>70</v>
      </c>
      <c r="J430" s="112">
        <v>75990.0</v>
      </c>
      <c r="K430" s="113" t="s">
        <v>71</v>
      </c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 t="s">
        <v>72</v>
      </c>
      <c r="W430" s="112" t="s">
        <v>73</v>
      </c>
    </row>
    <row r="431" ht="49.5" customHeight="1">
      <c r="A431" s="110" t="s">
        <v>1879</v>
      </c>
      <c r="B431" s="110" t="s">
        <v>1880</v>
      </c>
      <c r="C431" s="110" t="s">
        <v>1881</v>
      </c>
      <c r="D431" s="110"/>
      <c r="E431" s="111" t="s">
        <v>1882</v>
      </c>
      <c r="F431" s="111" t="s">
        <v>1883</v>
      </c>
      <c r="G431" s="110" t="s">
        <v>84</v>
      </c>
      <c r="H431" s="113">
        <v>30.0</v>
      </c>
      <c r="I431" s="110" t="s">
        <v>70</v>
      </c>
      <c r="J431" s="112">
        <v>6690.0</v>
      </c>
      <c r="K431" s="113" t="s">
        <v>71</v>
      </c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 t="s">
        <v>72</v>
      </c>
      <c r="W431" s="112" t="s">
        <v>73</v>
      </c>
    </row>
    <row r="432" ht="49.5" customHeight="1">
      <c r="A432" s="110" t="s">
        <v>1884</v>
      </c>
      <c r="B432" s="110" t="s">
        <v>1885</v>
      </c>
      <c r="C432" s="110" t="s">
        <v>1886</v>
      </c>
      <c r="D432" s="110"/>
      <c r="E432" s="111" t="s">
        <v>1887</v>
      </c>
      <c r="F432" s="111" t="s">
        <v>1888</v>
      </c>
      <c r="G432" s="110" t="s">
        <v>165</v>
      </c>
      <c r="H432" s="113">
        <v>10.0</v>
      </c>
      <c r="I432" s="110" t="s">
        <v>70</v>
      </c>
      <c r="J432" s="112">
        <v>6690.0</v>
      </c>
      <c r="K432" s="113" t="s">
        <v>71</v>
      </c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 t="s">
        <v>72</v>
      </c>
      <c r="W432" s="112" t="s">
        <v>73</v>
      </c>
    </row>
    <row r="433" ht="49.5" customHeight="1">
      <c r="A433" s="110" t="s">
        <v>1889</v>
      </c>
      <c r="B433" s="110" t="s">
        <v>1890</v>
      </c>
      <c r="C433" s="110" t="s">
        <v>1891</v>
      </c>
      <c r="D433" s="110"/>
      <c r="E433" s="111" t="s">
        <v>1892</v>
      </c>
      <c r="F433" s="111" t="s">
        <v>1893</v>
      </c>
      <c r="G433" s="110" t="s">
        <v>138</v>
      </c>
      <c r="H433" s="113">
        <v>10.0</v>
      </c>
      <c r="I433" s="110" t="s">
        <v>70</v>
      </c>
      <c r="J433" s="112">
        <v>12890.0</v>
      </c>
      <c r="K433" s="113" t="s">
        <v>71</v>
      </c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 t="s">
        <v>72</v>
      </c>
      <c r="W433" s="112" t="s">
        <v>73</v>
      </c>
    </row>
    <row r="434" ht="49.5" customHeight="1">
      <c r="A434" s="110" t="s">
        <v>1894</v>
      </c>
      <c r="B434" s="110" t="s">
        <v>1895</v>
      </c>
      <c r="C434" s="110" t="s">
        <v>1896</v>
      </c>
      <c r="D434" s="110"/>
      <c r="E434" s="111" t="s">
        <v>1897</v>
      </c>
      <c r="F434" s="111" t="s">
        <v>1898</v>
      </c>
      <c r="G434" s="110" t="s">
        <v>165</v>
      </c>
      <c r="H434" s="113">
        <v>20.0</v>
      </c>
      <c r="I434" s="110" t="s">
        <v>70</v>
      </c>
      <c r="J434" s="112">
        <v>9890.0</v>
      </c>
      <c r="K434" s="113" t="s">
        <v>71</v>
      </c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 t="s">
        <v>72</v>
      </c>
      <c r="W434" s="112" t="s">
        <v>73</v>
      </c>
    </row>
    <row r="435" ht="49.5" customHeight="1">
      <c r="A435" s="110" t="s">
        <v>1899</v>
      </c>
      <c r="B435" s="110" t="s">
        <v>1900</v>
      </c>
      <c r="C435" s="110" t="s">
        <v>1901</v>
      </c>
      <c r="D435" s="110"/>
      <c r="E435" s="111" t="s">
        <v>1902</v>
      </c>
      <c r="F435" s="111" t="s">
        <v>1903</v>
      </c>
      <c r="G435" s="110" t="s">
        <v>1904</v>
      </c>
      <c r="H435" s="113">
        <v>20.0</v>
      </c>
      <c r="I435" s="110" t="s">
        <v>70</v>
      </c>
      <c r="J435" s="112">
        <v>9890.0</v>
      </c>
      <c r="K435" s="113" t="s">
        <v>71</v>
      </c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 t="s">
        <v>72</v>
      </c>
      <c r="W435" s="112" t="s">
        <v>73</v>
      </c>
    </row>
    <row r="436" ht="49.5" customHeight="1">
      <c r="A436" s="110" t="s">
        <v>1905</v>
      </c>
      <c r="B436" s="110" t="s">
        <v>1906</v>
      </c>
      <c r="C436" s="110" t="s">
        <v>1907</v>
      </c>
      <c r="D436" s="110"/>
      <c r="E436" s="111" t="s">
        <v>1908</v>
      </c>
      <c r="F436" s="111" t="s">
        <v>1909</v>
      </c>
      <c r="G436" s="110" t="s">
        <v>165</v>
      </c>
      <c r="H436" s="113">
        <v>10.0</v>
      </c>
      <c r="I436" s="110" t="s">
        <v>70</v>
      </c>
      <c r="J436" s="112">
        <v>141690.0</v>
      </c>
      <c r="K436" s="113" t="s">
        <v>71</v>
      </c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 t="s">
        <v>72</v>
      </c>
      <c r="W436" s="112" t="s">
        <v>73</v>
      </c>
    </row>
    <row r="437" ht="49.5" customHeight="1">
      <c r="A437" s="110" t="s">
        <v>1910</v>
      </c>
      <c r="B437" s="110" t="s">
        <v>1911</v>
      </c>
      <c r="C437" s="110" t="s">
        <v>1912</v>
      </c>
      <c r="D437" s="110"/>
      <c r="E437" s="111" t="s">
        <v>1913</v>
      </c>
      <c r="F437" s="111" t="s">
        <v>1914</v>
      </c>
      <c r="G437" s="110" t="s">
        <v>165</v>
      </c>
      <c r="H437" s="113">
        <v>20.0</v>
      </c>
      <c r="I437" s="110" t="s">
        <v>70</v>
      </c>
      <c r="J437" s="112">
        <v>9890.0</v>
      </c>
      <c r="K437" s="113" t="s">
        <v>71</v>
      </c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 t="s">
        <v>72</v>
      </c>
      <c r="W437" s="112" t="s">
        <v>73</v>
      </c>
    </row>
    <row r="438" ht="49.5" customHeight="1">
      <c r="A438" s="110" t="s">
        <v>203</v>
      </c>
      <c r="B438" s="110" t="s">
        <v>1915</v>
      </c>
      <c r="C438" s="110" t="s">
        <v>205</v>
      </c>
      <c r="D438" s="110"/>
      <c r="E438" s="111" t="s">
        <v>206</v>
      </c>
      <c r="F438" s="111" t="s">
        <v>1916</v>
      </c>
      <c r="G438" s="110" t="s">
        <v>271</v>
      </c>
      <c r="H438" s="113">
        <v>30.0</v>
      </c>
      <c r="I438" s="110" t="s">
        <v>70</v>
      </c>
      <c r="J438" s="112">
        <v>10690.0</v>
      </c>
      <c r="K438" s="113" t="s">
        <v>71</v>
      </c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 t="s">
        <v>72</v>
      </c>
      <c r="W438" s="112" t="s">
        <v>73</v>
      </c>
    </row>
    <row r="439" ht="49.5" customHeight="1">
      <c r="A439" s="110" t="s">
        <v>1917</v>
      </c>
      <c r="B439" s="110" t="s">
        <v>1918</v>
      </c>
      <c r="C439" s="110" t="s">
        <v>1919</v>
      </c>
      <c r="D439" s="110"/>
      <c r="E439" s="111" t="s">
        <v>1920</v>
      </c>
      <c r="F439" s="111" t="s">
        <v>1921</v>
      </c>
      <c r="G439" s="110" t="s">
        <v>165</v>
      </c>
      <c r="H439" s="113">
        <v>30.0</v>
      </c>
      <c r="I439" s="110" t="s">
        <v>70</v>
      </c>
      <c r="J439" s="112">
        <v>35890.0</v>
      </c>
      <c r="K439" s="113" t="s">
        <v>71</v>
      </c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 t="s">
        <v>72</v>
      </c>
      <c r="W439" s="112" t="s">
        <v>73</v>
      </c>
    </row>
    <row r="440" ht="49.5" customHeight="1">
      <c r="A440" s="110" t="s">
        <v>1922</v>
      </c>
      <c r="B440" s="110" t="s">
        <v>1923</v>
      </c>
      <c r="C440" s="110" t="s">
        <v>1924</v>
      </c>
      <c r="D440" s="110"/>
      <c r="E440" s="111" t="s">
        <v>1925</v>
      </c>
      <c r="F440" s="111" t="s">
        <v>1926</v>
      </c>
      <c r="G440" s="110" t="s">
        <v>138</v>
      </c>
      <c r="H440" s="113">
        <v>30.0</v>
      </c>
      <c r="I440" s="110" t="s">
        <v>70</v>
      </c>
      <c r="J440" s="112">
        <v>16690.0</v>
      </c>
      <c r="K440" s="113" t="s">
        <v>71</v>
      </c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 t="s">
        <v>72</v>
      </c>
      <c r="W440" s="112" t="s">
        <v>73</v>
      </c>
    </row>
    <row r="441" ht="49.5" customHeight="1">
      <c r="A441" s="110" t="s">
        <v>1927</v>
      </c>
      <c r="B441" s="110" t="s">
        <v>1928</v>
      </c>
      <c r="C441" s="110" t="s">
        <v>1929</v>
      </c>
      <c r="D441" s="110"/>
      <c r="E441" s="111" t="s">
        <v>1930</v>
      </c>
      <c r="F441" s="111" t="s">
        <v>1931</v>
      </c>
      <c r="G441" s="110" t="s">
        <v>165</v>
      </c>
      <c r="H441" s="113">
        <v>30.0</v>
      </c>
      <c r="I441" s="110" t="s">
        <v>70</v>
      </c>
      <c r="J441" s="112">
        <v>31590.0</v>
      </c>
      <c r="K441" s="113" t="s">
        <v>71</v>
      </c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 t="s">
        <v>72</v>
      </c>
      <c r="W441" s="112" t="s">
        <v>73</v>
      </c>
    </row>
    <row r="442" ht="49.5" customHeight="1">
      <c r="A442" s="110" t="s">
        <v>63</v>
      </c>
      <c r="B442" s="110" t="s">
        <v>1932</v>
      </c>
      <c r="C442" s="110"/>
      <c r="D442" s="110"/>
      <c r="E442" s="112" t="s">
        <v>1932</v>
      </c>
      <c r="F442" s="111" t="s">
        <v>1933</v>
      </c>
      <c r="G442" s="110" t="s">
        <v>70</v>
      </c>
      <c r="H442" s="110" t="s">
        <v>1934</v>
      </c>
      <c r="I442" s="110" t="s">
        <v>70</v>
      </c>
      <c r="J442" s="112">
        <v>14390.0</v>
      </c>
      <c r="K442" s="113" t="s">
        <v>71</v>
      </c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 t="s">
        <v>72</v>
      </c>
      <c r="W442" s="112" t="s">
        <v>73</v>
      </c>
    </row>
    <row r="443" ht="49.5" customHeight="1">
      <c r="A443" s="110" t="s">
        <v>63</v>
      </c>
      <c r="B443" s="110" t="s">
        <v>1932</v>
      </c>
      <c r="C443" s="110" t="s">
        <v>1935</v>
      </c>
      <c r="D443" s="110" t="s">
        <v>1935</v>
      </c>
      <c r="E443" s="111" t="s">
        <v>1936</v>
      </c>
      <c r="F443" s="114" t="str">
        <f>"     "&amp;F442</f>
        <v>     Balon Futbol Drb 2.00.04 Real #5</v>
      </c>
      <c r="G443" s="110" t="s">
        <v>138</v>
      </c>
      <c r="H443" s="113">
        <v>10.0</v>
      </c>
      <c r="I443" s="110" t="s">
        <v>70</v>
      </c>
      <c r="J443" s="112">
        <f>J442</f>
        <v>14390</v>
      </c>
      <c r="K443" s="110" t="str">
        <f>K442&amp;"     "</f>
        <v>$     </v>
      </c>
      <c r="L443" s="110" t="str">
        <f t="shared" ref="L443:U443" si="233">L442</f>
        <v/>
      </c>
      <c r="M443" s="110" t="str">
        <f t="shared" si="233"/>
        <v/>
      </c>
      <c r="N443" s="110" t="str">
        <f t="shared" si="233"/>
        <v/>
      </c>
      <c r="O443" s="110" t="str">
        <f t="shared" si="233"/>
        <v/>
      </c>
      <c r="P443" s="110" t="str">
        <f t="shared" si="233"/>
        <v/>
      </c>
      <c r="Q443" s="110" t="str">
        <f t="shared" si="233"/>
        <v/>
      </c>
      <c r="R443" s="110" t="str">
        <f t="shared" si="233"/>
        <v/>
      </c>
      <c r="S443" s="110" t="str">
        <f t="shared" si="233"/>
        <v/>
      </c>
      <c r="T443" s="110" t="str">
        <f t="shared" si="233"/>
        <v/>
      </c>
      <c r="U443" s="110" t="str">
        <f t="shared" si="233"/>
        <v/>
      </c>
      <c r="V443" s="110" t="str">
        <f t="shared" ref="V443:W443" si="234">V442&amp;"     "</f>
        <v>Nuevo     </v>
      </c>
      <c r="W443" s="112" t="str">
        <f t="shared" si="234"/>
        <v>Activa     </v>
      </c>
    </row>
    <row r="444" ht="49.5" customHeight="1">
      <c r="A444" s="110" t="s">
        <v>63</v>
      </c>
      <c r="B444" s="110" t="s">
        <v>1932</v>
      </c>
      <c r="C444" s="110" t="s">
        <v>1937</v>
      </c>
      <c r="D444" s="110" t="s">
        <v>1937</v>
      </c>
      <c r="E444" s="111" t="s">
        <v>1938</v>
      </c>
      <c r="F444" s="114" t="str">
        <f>"     "&amp;F442</f>
        <v>     Balon Futbol Drb 2.00.04 Real #5</v>
      </c>
      <c r="G444" s="110" t="s">
        <v>84</v>
      </c>
      <c r="H444" s="113">
        <v>30.0</v>
      </c>
      <c r="I444" s="110" t="s">
        <v>70</v>
      </c>
      <c r="J444" s="112">
        <f>J442</f>
        <v>14390</v>
      </c>
      <c r="K444" s="110" t="str">
        <f>K442&amp;"     "</f>
        <v>$     </v>
      </c>
      <c r="L444" s="110" t="str">
        <f t="shared" ref="L444:U444" si="235">L442</f>
        <v/>
      </c>
      <c r="M444" s="110" t="str">
        <f t="shared" si="235"/>
        <v/>
      </c>
      <c r="N444" s="110" t="str">
        <f t="shared" si="235"/>
        <v/>
      </c>
      <c r="O444" s="110" t="str">
        <f t="shared" si="235"/>
        <v/>
      </c>
      <c r="P444" s="110" t="str">
        <f t="shared" si="235"/>
        <v/>
      </c>
      <c r="Q444" s="110" t="str">
        <f t="shared" si="235"/>
        <v/>
      </c>
      <c r="R444" s="110" t="str">
        <f t="shared" si="235"/>
        <v/>
      </c>
      <c r="S444" s="110" t="str">
        <f t="shared" si="235"/>
        <v/>
      </c>
      <c r="T444" s="110" t="str">
        <f t="shared" si="235"/>
        <v/>
      </c>
      <c r="U444" s="110" t="str">
        <f t="shared" si="235"/>
        <v/>
      </c>
      <c r="V444" s="110" t="str">
        <f t="shared" ref="V444:W444" si="236">V442&amp;"     "</f>
        <v>Nuevo     </v>
      </c>
      <c r="W444" s="112" t="str">
        <f t="shared" si="236"/>
        <v>Activa     </v>
      </c>
    </row>
    <row r="445" ht="49.5" customHeight="1">
      <c r="A445" s="110" t="s">
        <v>63</v>
      </c>
      <c r="B445" s="110" t="s">
        <v>1932</v>
      </c>
      <c r="C445" s="110" t="s">
        <v>1939</v>
      </c>
      <c r="D445" s="110" t="s">
        <v>1939</v>
      </c>
      <c r="E445" s="111" t="s">
        <v>1940</v>
      </c>
      <c r="F445" s="114" t="str">
        <f>"     "&amp;F442</f>
        <v>     Balon Futbol Drb 2.00.04 Real #5</v>
      </c>
      <c r="G445" s="110" t="s">
        <v>90</v>
      </c>
      <c r="H445" s="113">
        <v>30.0</v>
      </c>
      <c r="I445" s="110" t="s">
        <v>70</v>
      </c>
      <c r="J445" s="112">
        <f>J442</f>
        <v>14390</v>
      </c>
      <c r="K445" s="110" t="str">
        <f>K442&amp;"     "</f>
        <v>$     </v>
      </c>
      <c r="L445" s="110" t="str">
        <f t="shared" ref="L445:U445" si="237">L442</f>
        <v/>
      </c>
      <c r="M445" s="110" t="str">
        <f t="shared" si="237"/>
        <v/>
      </c>
      <c r="N445" s="110" t="str">
        <f t="shared" si="237"/>
        <v/>
      </c>
      <c r="O445" s="110" t="str">
        <f t="shared" si="237"/>
        <v/>
      </c>
      <c r="P445" s="110" t="str">
        <f t="shared" si="237"/>
        <v/>
      </c>
      <c r="Q445" s="110" t="str">
        <f t="shared" si="237"/>
        <v/>
      </c>
      <c r="R445" s="110" t="str">
        <f t="shared" si="237"/>
        <v/>
      </c>
      <c r="S445" s="110" t="str">
        <f t="shared" si="237"/>
        <v/>
      </c>
      <c r="T445" s="110" t="str">
        <f t="shared" si="237"/>
        <v/>
      </c>
      <c r="U445" s="110" t="str">
        <f t="shared" si="237"/>
        <v/>
      </c>
      <c r="V445" s="110" t="str">
        <f t="shared" ref="V445:W445" si="238">V442&amp;"     "</f>
        <v>Nuevo     </v>
      </c>
      <c r="W445" s="112" t="str">
        <f t="shared" si="238"/>
        <v>Activa     </v>
      </c>
    </row>
    <row r="446" ht="49.5" customHeight="1">
      <c r="A446" s="110" t="s">
        <v>63</v>
      </c>
      <c r="B446" s="110" t="s">
        <v>1932</v>
      </c>
      <c r="C446" s="110" t="s">
        <v>1941</v>
      </c>
      <c r="D446" s="110" t="s">
        <v>1941</v>
      </c>
      <c r="E446" s="111" t="s">
        <v>1942</v>
      </c>
      <c r="F446" s="114" t="str">
        <f>"     "&amp;F442</f>
        <v>     Balon Futbol Drb 2.00.04 Real #5</v>
      </c>
      <c r="G446" s="110" t="s">
        <v>144</v>
      </c>
      <c r="H446" s="113">
        <v>30.0</v>
      </c>
      <c r="I446" s="110" t="s">
        <v>70</v>
      </c>
      <c r="J446" s="112">
        <f>J442</f>
        <v>14390</v>
      </c>
      <c r="K446" s="110" t="str">
        <f>K442&amp;"     "</f>
        <v>$     </v>
      </c>
      <c r="L446" s="110" t="str">
        <f t="shared" ref="L446:U446" si="239">L442</f>
        <v/>
      </c>
      <c r="M446" s="110" t="str">
        <f t="shared" si="239"/>
        <v/>
      </c>
      <c r="N446" s="110" t="str">
        <f t="shared" si="239"/>
        <v/>
      </c>
      <c r="O446" s="110" t="str">
        <f t="shared" si="239"/>
        <v/>
      </c>
      <c r="P446" s="110" t="str">
        <f t="shared" si="239"/>
        <v/>
      </c>
      <c r="Q446" s="110" t="str">
        <f t="shared" si="239"/>
        <v/>
      </c>
      <c r="R446" s="110" t="str">
        <f t="shared" si="239"/>
        <v/>
      </c>
      <c r="S446" s="110" t="str">
        <f t="shared" si="239"/>
        <v/>
      </c>
      <c r="T446" s="110" t="str">
        <f t="shared" si="239"/>
        <v/>
      </c>
      <c r="U446" s="110" t="str">
        <f t="shared" si="239"/>
        <v/>
      </c>
      <c r="V446" s="110" t="str">
        <f t="shared" ref="V446:W446" si="240">V442&amp;"     "</f>
        <v>Nuevo     </v>
      </c>
      <c r="W446" s="112" t="str">
        <f t="shared" si="240"/>
        <v>Activa     </v>
      </c>
    </row>
    <row r="447" ht="49.5" customHeight="1">
      <c r="A447" s="110" t="s">
        <v>1943</v>
      </c>
      <c r="B447" s="110" t="s">
        <v>1944</v>
      </c>
      <c r="C447" s="110" t="s">
        <v>1945</v>
      </c>
      <c r="D447" s="110"/>
      <c r="E447" s="111" t="s">
        <v>1946</v>
      </c>
      <c r="F447" s="111" t="s">
        <v>1947</v>
      </c>
      <c r="G447" s="110" t="s">
        <v>165</v>
      </c>
      <c r="H447" s="113">
        <v>30.0</v>
      </c>
      <c r="I447" s="110" t="s">
        <v>70</v>
      </c>
      <c r="J447" s="112">
        <v>12490.0</v>
      </c>
      <c r="K447" s="113" t="s">
        <v>71</v>
      </c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 t="s">
        <v>72</v>
      </c>
      <c r="W447" s="112" t="s">
        <v>73</v>
      </c>
    </row>
    <row r="448" ht="49.5" customHeight="1">
      <c r="A448" s="110" t="s">
        <v>1948</v>
      </c>
      <c r="B448" s="110" t="s">
        <v>1949</v>
      </c>
      <c r="C448" s="110" t="s">
        <v>1950</v>
      </c>
      <c r="D448" s="110"/>
      <c r="E448" s="111" t="s">
        <v>1951</v>
      </c>
      <c r="F448" s="111" t="s">
        <v>1952</v>
      </c>
      <c r="G448" s="110" t="s">
        <v>165</v>
      </c>
      <c r="H448" s="113">
        <v>30.0</v>
      </c>
      <c r="I448" s="110" t="s">
        <v>70</v>
      </c>
      <c r="J448" s="112">
        <v>17090.0</v>
      </c>
      <c r="K448" s="113" t="s">
        <v>71</v>
      </c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 t="s">
        <v>72</v>
      </c>
      <c r="W448" s="112" t="s">
        <v>73</v>
      </c>
    </row>
    <row r="449" ht="49.5" customHeight="1">
      <c r="A449" s="110" t="s">
        <v>1953</v>
      </c>
      <c r="B449" s="110" t="s">
        <v>1954</v>
      </c>
      <c r="C449" s="110" t="s">
        <v>1955</v>
      </c>
      <c r="D449" s="110"/>
      <c r="E449" s="111" t="s">
        <v>1956</v>
      </c>
      <c r="F449" s="111" t="s">
        <v>1957</v>
      </c>
      <c r="G449" s="110" t="s">
        <v>1958</v>
      </c>
      <c r="H449" s="113">
        <v>30.0</v>
      </c>
      <c r="I449" s="110" t="s">
        <v>70</v>
      </c>
      <c r="J449" s="112">
        <v>14290.0</v>
      </c>
      <c r="K449" s="113" t="s">
        <v>71</v>
      </c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 t="s">
        <v>72</v>
      </c>
      <c r="W449" s="112" t="s">
        <v>73</v>
      </c>
    </row>
    <row r="450" ht="49.5" customHeight="1">
      <c r="A450" s="110" t="s">
        <v>1959</v>
      </c>
      <c r="B450" s="110" t="s">
        <v>1960</v>
      </c>
      <c r="C450" s="110" t="s">
        <v>1961</v>
      </c>
      <c r="D450" s="110"/>
      <c r="E450" s="111" t="s">
        <v>1962</v>
      </c>
      <c r="F450" s="111" t="s">
        <v>1963</v>
      </c>
      <c r="G450" s="110" t="s">
        <v>79</v>
      </c>
      <c r="H450" s="113">
        <v>30.0</v>
      </c>
      <c r="I450" s="110" t="s">
        <v>70</v>
      </c>
      <c r="J450" s="112">
        <v>31990.0</v>
      </c>
      <c r="K450" s="113" t="s">
        <v>71</v>
      </c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 t="s">
        <v>72</v>
      </c>
      <c r="W450" s="112" t="s">
        <v>73</v>
      </c>
    </row>
    <row r="451" ht="49.5" customHeight="1">
      <c r="A451" s="110" t="s">
        <v>1964</v>
      </c>
      <c r="B451" s="110" t="s">
        <v>1965</v>
      </c>
      <c r="C451" s="110" t="s">
        <v>1966</v>
      </c>
      <c r="D451" s="110"/>
      <c r="E451" s="111" t="s">
        <v>1967</v>
      </c>
      <c r="F451" s="111" t="s">
        <v>1968</v>
      </c>
      <c r="G451" s="110" t="s">
        <v>144</v>
      </c>
      <c r="H451" s="113">
        <v>30.0</v>
      </c>
      <c r="I451" s="110" t="s">
        <v>70</v>
      </c>
      <c r="J451" s="112">
        <v>7690.0</v>
      </c>
      <c r="K451" s="113" t="s">
        <v>71</v>
      </c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 t="s">
        <v>72</v>
      </c>
      <c r="W451" s="112" t="s">
        <v>73</v>
      </c>
    </row>
    <row r="452" ht="49.5" customHeight="1">
      <c r="A452" s="110" t="s">
        <v>1969</v>
      </c>
      <c r="B452" s="110" t="s">
        <v>1970</v>
      </c>
      <c r="C452" s="110" t="s">
        <v>1971</v>
      </c>
      <c r="D452" s="110"/>
      <c r="E452" s="111" t="s">
        <v>1972</v>
      </c>
      <c r="F452" s="111" t="s">
        <v>1973</v>
      </c>
      <c r="G452" s="110" t="s">
        <v>150</v>
      </c>
      <c r="H452" s="113">
        <v>30.0</v>
      </c>
      <c r="I452" s="110" t="s">
        <v>70</v>
      </c>
      <c r="J452" s="112">
        <v>10790.0</v>
      </c>
      <c r="K452" s="113" t="s">
        <v>71</v>
      </c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 t="s">
        <v>72</v>
      </c>
      <c r="W452" s="112" t="s">
        <v>73</v>
      </c>
    </row>
    <row r="453" ht="49.5" customHeight="1">
      <c r="A453" s="110" t="s">
        <v>1974</v>
      </c>
      <c r="B453" s="110" t="s">
        <v>1975</v>
      </c>
      <c r="C453" s="110" t="s">
        <v>1976</v>
      </c>
      <c r="D453" s="110"/>
      <c r="E453" s="111" t="s">
        <v>1977</v>
      </c>
      <c r="F453" s="111" t="s">
        <v>1978</v>
      </c>
      <c r="G453" s="110" t="s">
        <v>150</v>
      </c>
      <c r="H453" s="113">
        <v>30.0</v>
      </c>
      <c r="I453" s="110" t="s">
        <v>70</v>
      </c>
      <c r="J453" s="112">
        <v>8190.0</v>
      </c>
      <c r="K453" s="113" t="s">
        <v>71</v>
      </c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 t="s">
        <v>72</v>
      </c>
      <c r="W453" s="112" t="s">
        <v>73</v>
      </c>
    </row>
    <row r="454" ht="49.5" customHeight="1">
      <c r="A454" s="110" t="s">
        <v>1979</v>
      </c>
      <c r="B454" s="110" t="s">
        <v>1980</v>
      </c>
      <c r="C454" s="110" t="s">
        <v>1981</v>
      </c>
      <c r="D454" s="110"/>
      <c r="E454" s="111" t="s">
        <v>1982</v>
      </c>
      <c r="F454" s="111" t="s">
        <v>1983</v>
      </c>
      <c r="G454" s="110" t="s">
        <v>486</v>
      </c>
      <c r="H454" s="113">
        <v>30.0</v>
      </c>
      <c r="I454" s="110" t="s">
        <v>70</v>
      </c>
      <c r="J454" s="112">
        <v>9590.0</v>
      </c>
      <c r="K454" s="113" t="s">
        <v>71</v>
      </c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 t="s">
        <v>72</v>
      </c>
      <c r="W454" s="112" t="s">
        <v>73</v>
      </c>
    </row>
    <row r="455" ht="49.5" customHeight="1">
      <c r="A455" s="110" t="s">
        <v>1984</v>
      </c>
      <c r="B455" s="110" t="s">
        <v>1985</v>
      </c>
      <c r="C455" s="110" t="s">
        <v>1986</v>
      </c>
      <c r="D455" s="110"/>
      <c r="E455" s="111" t="s">
        <v>1987</v>
      </c>
      <c r="F455" s="111" t="s">
        <v>1988</v>
      </c>
      <c r="G455" s="110" t="s">
        <v>480</v>
      </c>
      <c r="H455" s="113">
        <v>30.0</v>
      </c>
      <c r="I455" s="110" t="s">
        <v>70</v>
      </c>
      <c r="J455" s="112">
        <v>8090.0</v>
      </c>
      <c r="K455" s="113" t="s">
        <v>71</v>
      </c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 t="s">
        <v>72</v>
      </c>
      <c r="W455" s="112" t="s">
        <v>73</v>
      </c>
    </row>
    <row r="456" ht="49.5" customHeight="1">
      <c r="A456" s="110" t="s">
        <v>1989</v>
      </c>
      <c r="B456" s="110" t="s">
        <v>1990</v>
      </c>
      <c r="C456" s="110" t="s">
        <v>1991</v>
      </c>
      <c r="D456" s="110"/>
      <c r="E456" s="111" t="s">
        <v>1992</v>
      </c>
      <c r="F456" s="111" t="s">
        <v>1993</v>
      </c>
      <c r="G456" s="110" t="s">
        <v>486</v>
      </c>
      <c r="H456" s="113">
        <v>30.0</v>
      </c>
      <c r="I456" s="110" t="s">
        <v>70</v>
      </c>
      <c r="J456" s="112">
        <v>8090.0</v>
      </c>
      <c r="K456" s="113" t="s">
        <v>71</v>
      </c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 t="s">
        <v>72</v>
      </c>
      <c r="W456" s="112" t="s">
        <v>73</v>
      </c>
    </row>
    <row r="457" ht="49.5" customHeight="1">
      <c r="A457" s="110" t="s">
        <v>1994</v>
      </c>
      <c r="B457" s="110" t="s">
        <v>1995</v>
      </c>
      <c r="C457" s="110" t="s">
        <v>1996</v>
      </c>
      <c r="D457" s="110"/>
      <c r="E457" s="111" t="s">
        <v>1997</v>
      </c>
      <c r="F457" s="111" t="s">
        <v>1998</v>
      </c>
      <c r="G457" s="110" t="s">
        <v>150</v>
      </c>
      <c r="H457" s="113">
        <v>30.0</v>
      </c>
      <c r="I457" s="110" t="s">
        <v>70</v>
      </c>
      <c r="J457" s="112">
        <v>8190.0</v>
      </c>
      <c r="K457" s="113" t="s">
        <v>71</v>
      </c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 t="s">
        <v>72</v>
      </c>
      <c r="W457" s="112" t="s">
        <v>73</v>
      </c>
    </row>
    <row r="458" ht="49.5" customHeight="1">
      <c r="A458" s="110" t="s">
        <v>1999</v>
      </c>
      <c r="B458" s="110" t="s">
        <v>2000</v>
      </c>
      <c r="C458" s="110" t="s">
        <v>2001</v>
      </c>
      <c r="D458" s="110"/>
      <c r="E458" s="111" t="s">
        <v>2002</v>
      </c>
      <c r="F458" s="111" t="s">
        <v>2003</v>
      </c>
      <c r="G458" s="110" t="s">
        <v>508</v>
      </c>
      <c r="H458" s="113">
        <v>30.0</v>
      </c>
      <c r="I458" s="110" t="s">
        <v>70</v>
      </c>
      <c r="J458" s="112">
        <v>8190.0</v>
      </c>
      <c r="K458" s="113" t="s">
        <v>71</v>
      </c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 t="s">
        <v>72</v>
      </c>
      <c r="W458" s="112" t="s">
        <v>73</v>
      </c>
    </row>
    <row r="459" ht="49.5" customHeight="1">
      <c r="A459" s="110" t="s">
        <v>2004</v>
      </c>
      <c r="B459" s="110" t="s">
        <v>2005</v>
      </c>
      <c r="C459" s="110" t="s">
        <v>2006</v>
      </c>
      <c r="D459" s="110"/>
      <c r="E459" s="111" t="s">
        <v>2007</v>
      </c>
      <c r="F459" s="111" t="s">
        <v>2008</v>
      </c>
      <c r="G459" s="110" t="s">
        <v>514</v>
      </c>
      <c r="H459" s="113">
        <v>30.0</v>
      </c>
      <c r="I459" s="110" t="s">
        <v>70</v>
      </c>
      <c r="J459" s="112">
        <v>8190.0</v>
      </c>
      <c r="K459" s="113" t="s">
        <v>71</v>
      </c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 t="s">
        <v>72</v>
      </c>
      <c r="W459" s="112" t="s">
        <v>73</v>
      </c>
    </row>
    <row r="460" ht="49.5" customHeight="1">
      <c r="A460" s="110" t="s">
        <v>2009</v>
      </c>
      <c r="B460" s="110" t="s">
        <v>2010</v>
      </c>
      <c r="C460" s="110" t="s">
        <v>2011</v>
      </c>
      <c r="D460" s="110"/>
      <c r="E460" s="111" t="s">
        <v>2012</v>
      </c>
      <c r="F460" s="111" t="s">
        <v>2013</v>
      </c>
      <c r="G460" s="110" t="s">
        <v>492</v>
      </c>
      <c r="H460" s="113">
        <v>30.0</v>
      </c>
      <c r="I460" s="110" t="s">
        <v>70</v>
      </c>
      <c r="J460" s="112">
        <v>8090.0</v>
      </c>
      <c r="K460" s="113" t="s">
        <v>71</v>
      </c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 t="s">
        <v>72</v>
      </c>
      <c r="W460" s="112" t="s">
        <v>73</v>
      </c>
    </row>
    <row r="461" ht="49.5" customHeight="1">
      <c r="A461" s="110" t="s">
        <v>2014</v>
      </c>
      <c r="B461" s="110" t="s">
        <v>2015</v>
      </c>
      <c r="C461" s="110" t="s">
        <v>2016</v>
      </c>
      <c r="D461" s="110"/>
      <c r="E461" s="111" t="s">
        <v>2017</v>
      </c>
      <c r="F461" s="111" t="s">
        <v>2018</v>
      </c>
      <c r="G461" s="110" t="s">
        <v>486</v>
      </c>
      <c r="H461" s="113">
        <v>10.0</v>
      </c>
      <c r="I461" s="110" t="s">
        <v>70</v>
      </c>
      <c r="J461" s="112">
        <v>8190.0</v>
      </c>
      <c r="K461" s="113" t="s">
        <v>71</v>
      </c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 t="s">
        <v>72</v>
      </c>
      <c r="W461" s="112" t="s">
        <v>73</v>
      </c>
    </row>
    <row r="462" ht="49.5" customHeight="1">
      <c r="A462" s="110" t="s">
        <v>2019</v>
      </c>
      <c r="B462" s="110" t="s">
        <v>2020</v>
      </c>
      <c r="C462" s="110" t="s">
        <v>2021</v>
      </c>
      <c r="D462" s="110"/>
      <c r="E462" s="111" t="s">
        <v>2022</v>
      </c>
      <c r="F462" s="111" t="s">
        <v>2023</v>
      </c>
      <c r="G462" s="110" t="s">
        <v>90</v>
      </c>
      <c r="H462" s="113">
        <v>30.0</v>
      </c>
      <c r="I462" s="110" t="s">
        <v>70</v>
      </c>
      <c r="J462" s="112">
        <v>9090.0</v>
      </c>
      <c r="K462" s="113" t="s">
        <v>71</v>
      </c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 t="s">
        <v>72</v>
      </c>
      <c r="W462" s="112" t="s">
        <v>73</v>
      </c>
    </row>
    <row r="463" ht="49.5" customHeight="1">
      <c r="A463" s="110" t="s">
        <v>2024</v>
      </c>
      <c r="B463" s="110" t="s">
        <v>2025</v>
      </c>
      <c r="C463" s="110" t="s">
        <v>2026</v>
      </c>
      <c r="D463" s="110"/>
      <c r="E463" s="111" t="s">
        <v>2027</v>
      </c>
      <c r="F463" s="111" t="s">
        <v>2028</v>
      </c>
      <c r="G463" s="110" t="s">
        <v>90</v>
      </c>
      <c r="H463" s="113">
        <v>30.0</v>
      </c>
      <c r="I463" s="110" t="s">
        <v>70</v>
      </c>
      <c r="J463" s="112">
        <v>7290.0</v>
      </c>
      <c r="K463" s="113" t="s">
        <v>71</v>
      </c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 t="s">
        <v>72</v>
      </c>
      <c r="W463" s="112" t="s">
        <v>73</v>
      </c>
    </row>
    <row r="464" ht="49.5" customHeight="1">
      <c r="A464" s="110" t="s">
        <v>2029</v>
      </c>
      <c r="B464" s="110" t="s">
        <v>2030</v>
      </c>
      <c r="C464" s="110" t="s">
        <v>2031</v>
      </c>
      <c r="D464" s="110"/>
      <c r="E464" s="111" t="s">
        <v>2032</v>
      </c>
      <c r="F464" s="111" t="s">
        <v>2033</v>
      </c>
      <c r="G464" s="110" t="s">
        <v>2033</v>
      </c>
      <c r="H464" s="113">
        <v>30.0</v>
      </c>
      <c r="I464" s="110" t="s">
        <v>70</v>
      </c>
      <c r="J464" s="112">
        <v>6290.0</v>
      </c>
      <c r="K464" s="113" t="s">
        <v>71</v>
      </c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 t="s">
        <v>72</v>
      </c>
      <c r="W464" s="112" t="s">
        <v>73</v>
      </c>
    </row>
    <row r="465" ht="49.5" customHeight="1">
      <c r="A465" s="110" t="s">
        <v>2034</v>
      </c>
      <c r="B465" s="110" t="s">
        <v>2035</v>
      </c>
      <c r="C465" s="110" t="s">
        <v>2036</v>
      </c>
      <c r="D465" s="110"/>
      <c r="E465" s="111" t="s">
        <v>2037</v>
      </c>
      <c r="F465" s="111" t="s">
        <v>2038</v>
      </c>
      <c r="G465" s="110" t="s">
        <v>2038</v>
      </c>
      <c r="H465" s="113">
        <v>30.0</v>
      </c>
      <c r="I465" s="110" t="s">
        <v>70</v>
      </c>
      <c r="J465" s="112">
        <v>6290.0</v>
      </c>
      <c r="K465" s="113" t="s">
        <v>71</v>
      </c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 t="s">
        <v>72</v>
      </c>
      <c r="W465" s="112" t="s">
        <v>73</v>
      </c>
    </row>
    <row r="466" ht="49.5" customHeight="1">
      <c r="A466" s="110" t="s">
        <v>2039</v>
      </c>
      <c r="B466" s="110" t="s">
        <v>2040</v>
      </c>
      <c r="C466" s="110" t="s">
        <v>2041</v>
      </c>
      <c r="D466" s="110"/>
      <c r="E466" s="111" t="s">
        <v>2042</v>
      </c>
      <c r="F466" s="111" t="s">
        <v>2043</v>
      </c>
      <c r="G466" s="110" t="s">
        <v>2043</v>
      </c>
      <c r="H466" s="113">
        <v>30.0</v>
      </c>
      <c r="I466" s="110" t="s">
        <v>70</v>
      </c>
      <c r="J466" s="112">
        <v>6290.0</v>
      </c>
      <c r="K466" s="113" t="s">
        <v>71</v>
      </c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 t="s">
        <v>72</v>
      </c>
      <c r="W466" s="112" t="s">
        <v>73</v>
      </c>
    </row>
    <row r="467" ht="49.5" customHeight="1">
      <c r="A467" s="110" t="s">
        <v>2044</v>
      </c>
      <c r="B467" s="110" t="s">
        <v>2045</v>
      </c>
      <c r="C467" s="110" t="s">
        <v>2046</v>
      </c>
      <c r="D467" s="110"/>
      <c r="E467" s="111" t="s">
        <v>2047</v>
      </c>
      <c r="F467" s="111" t="s">
        <v>2048</v>
      </c>
      <c r="G467" s="110" t="s">
        <v>2048</v>
      </c>
      <c r="H467" s="113">
        <v>30.0</v>
      </c>
      <c r="I467" s="110" t="s">
        <v>70</v>
      </c>
      <c r="J467" s="112">
        <v>6290.0</v>
      </c>
      <c r="K467" s="113" t="s">
        <v>71</v>
      </c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 t="s">
        <v>72</v>
      </c>
      <c r="W467" s="112" t="s">
        <v>73</v>
      </c>
    </row>
    <row r="468" ht="49.5" customHeight="1">
      <c r="A468" s="110" t="s">
        <v>2049</v>
      </c>
      <c r="B468" s="110" t="s">
        <v>2050</v>
      </c>
      <c r="C468" s="110" t="s">
        <v>2051</v>
      </c>
      <c r="D468" s="110"/>
      <c r="E468" s="111" t="s">
        <v>2052</v>
      </c>
      <c r="F468" s="111" t="s">
        <v>2053</v>
      </c>
      <c r="G468" s="110" t="s">
        <v>2053</v>
      </c>
      <c r="H468" s="113">
        <v>30.0</v>
      </c>
      <c r="I468" s="110" t="s">
        <v>70</v>
      </c>
      <c r="J468" s="112">
        <v>6290.0</v>
      </c>
      <c r="K468" s="113" t="s">
        <v>71</v>
      </c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 t="s">
        <v>72</v>
      </c>
      <c r="W468" s="112" t="s">
        <v>73</v>
      </c>
    </row>
    <row r="469" ht="49.5" customHeight="1">
      <c r="A469" s="110" t="s">
        <v>2054</v>
      </c>
      <c r="B469" s="110" t="s">
        <v>2055</v>
      </c>
      <c r="C469" s="110" t="s">
        <v>2056</v>
      </c>
      <c r="D469" s="110"/>
      <c r="E469" s="111" t="s">
        <v>2057</v>
      </c>
      <c r="F469" s="111" t="s">
        <v>2058</v>
      </c>
      <c r="G469" s="110" t="s">
        <v>2058</v>
      </c>
      <c r="H469" s="113">
        <v>30.0</v>
      </c>
      <c r="I469" s="110" t="s">
        <v>70</v>
      </c>
      <c r="J469" s="112">
        <v>6290.0</v>
      </c>
      <c r="K469" s="113" t="s">
        <v>71</v>
      </c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 t="s">
        <v>72</v>
      </c>
      <c r="W469" s="112" t="s">
        <v>73</v>
      </c>
    </row>
    <row r="470" ht="49.5" customHeight="1">
      <c r="A470" s="110" t="s">
        <v>2059</v>
      </c>
      <c r="B470" s="110" t="s">
        <v>2060</v>
      </c>
      <c r="C470" s="110" t="s">
        <v>2061</v>
      </c>
      <c r="D470" s="110"/>
      <c r="E470" s="111" t="s">
        <v>2062</v>
      </c>
      <c r="F470" s="111" t="s">
        <v>2063</v>
      </c>
      <c r="G470" s="110" t="s">
        <v>2063</v>
      </c>
      <c r="H470" s="113">
        <v>10.0</v>
      </c>
      <c r="I470" s="110" t="s">
        <v>70</v>
      </c>
      <c r="J470" s="112">
        <v>5190.0</v>
      </c>
      <c r="K470" s="113" t="s">
        <v>71</v>
      </c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 t="s">
        <v>72</v>
      </c>
      <c r="W470" s="112" t="s">
        <v>73</v>
      </c>
    </row>
    <row r="471" ht="49.5" customHeight="1">
      <c r="A471" s="110" t="s">
        <v>2064</v>
      </c>
      <c r="B471" s="110" t="s">
        <v>2065</v>
      </c>
      <c r="C471" s="110" t="s">
        <v>2066</v>
      </c>
      <c r="D471" s="110"/>
      <c r="E471" s="111" t="s">
        <v>2067</v>
      </c>
      <c r="F471" s="111" t="s">
        <v>2068</v>
      </c>
      <c r="G471" s="110" t="s">
        <v>2068</v>
      </c>
      <c r="H471" s="113">
        <v>30.0</v>
      </c>
      <c r="I471" s="110" t="s">
        <v>70</v>
      </c>
      <c r="J471" s="112">
        <v>5990.0</v>
      </c>
      <c r="K471" s="113" t="s">
        <v>71</v>
      </c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 t="s">
        <v>72</v>
      </c>
      <c r="W471" s="112" t="s">
        <v>73</v>
      </c>
    </row>
    <row r="472" ht="49.5" customHeight="1">
      <c r="A472" s="110" t="s">
        <v>2069</v>
      </c>
      <c r="B472" s="110" t="s">
        <v>2070</v>
      </c>
      <c r="C472" s="110" t="s">
        <v>2071</v>
      </c>
      <c r="D472" s="110"/>
      <c r="E472" s="111" t="s">
        <v>2072</v>
      </c>
      <c r="F472" s="111" t="s">
        <v>2073</v>
      </c>
      <c r="G472" s="110" t="s">
        <v>2073</v>
      </c>
      <c r="H472" s="113">
        <v>30.0</v>
      </c>
      <c r="I472" s="110" t="s">
        <v>70</v>
      </c>
      <c r="J472" s="112">
        <v>5990.0</v>
      </c>
      <c r="K472" s="113" t="s">
        <v>71</v>
      </c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 t="s">
        <v>72</v>
      </c>
      <c r="W472" s="112" t="s">
        <v>73</v>
      </c>
    </row>
    <row r="473" ht="49.5" customHeight="1">
      <c r="A473" s="110" t="s">
        <v>2074</v>
      </c>
      <c r="B473" s="110" t="s">
        <v>2075</v>
      </c>
      <c r="C473" s="110" t="s">
        <v>2076</v>
      </c>
      <c r="D473" s="110"/>
      <c r="E473" s="111" t="s">
        <v>2077</v>
      </c>
      <c r="F473" s="111" t="s">
        <v>2078</v>
      </c>
      <c r="G473" s="110" t="s">
        <v>2078</v>
      </c>
      <c r="H473" s="113">
        <v>30.0</v>
      </c>
      <c r="I473" s="110" t="s">
        <v>70</v>
      </c>
      <c r="J473" s="112">
        <v>5990.0</v>
      </c>
      <c r="K473" s="113" t="s">
        <v>71</v>
      </c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 t="s">
        <v>72</v>
      </c>
      <c r="W473" s="112" t="s">
        <v>73</v>
      </c>
    </row>
    <row r="474" ht="49.5" customHeight="1">
      <c r="A474" s="110" t="s">
        <v>2079</v>
      </c>
      <c r="B474" s="110" t="s">
        <v>2080</v>
      </c>
      <c r="C474" s="110" t="s">
        <v>2081</v>
      </c>
      <c r="D474" s="110"/>
      <c r="E474" s="111" t="s">
        <v>2082</v>
      </c>
      <c r="F474" s="111" t="s">
        <v>2083</v>
      </c>
      <c r="G474" s="110" t="s">
        <v>2083</v>
      </c>
      <c r="H474" s="113">
        <v>30.0</v>
      </c>
      <c r="I474" s="110" t="s">
        <v>70</v>
      </c>
      <c r="J474" s="112">
        <v>5990.0</v>
      </c>
      <c r="K474" s="113" t="s">
        <v>71</v>
      </c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 t="s">
        <v>72</v>
      </c>
      <c r="W474" s="112" t="s">
        <v>73</v>
      </c>
    </row>
    <row r="475" ht="49.5" customHeight="1">
      <c r="A475" s="110" t="s">
        <v>2084</v>
      </c>
      <c r="B475" s="110" t="s">
        <v>2085</v>
      </c>
      <c r="C475" s="110" t="s">
        <v>2086</v>
      </c>
      <c r="D475" s="110"/>
      <c r="E475" s="111" t="s">
        <v>2087</v>
      </c>
      <c r="F475" s="111" t="s">
        <v>2088</v>
      </c>
      <c r="G475" s="110" t="s">
        <v>2088</v>
      </c>
      <c r="H475" s="113">
        <v>30.0</v>
      </c>
      <c r="I475" s="110" t="s">
        <v>70</v>
      </c>
      <c r="J475" s="112" t="s">
        <v>63</v>
      </c>
      <c r="K475" s="113" t="s">
        <v>71</v>
      </c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 t="s">
        <v>72</v>
      </c>
      <c r="W475" s="112" t="s">
        <v>73</v>
      </c>
    </row>
    <row r="476" ht="49.5" customHeight="1">
      <c r="A476" s="110" t="s">
        <v>2089</v>
      </c>
      <c r="B476" s="110" t="s">
        <v>2090</v>
      </c>
      <c r="C476" s="110" t="s">
        <v>2091</v>
      </c>
      <c r="D476" s="110"/>
      <c r="E476" s="111" t="s">
        <v>2092</v>
      </c>
      <c r="F476" s="111" t="s">
        <v>2093</v>
      </c>
      <c r="G476" s="110" t="s">
        <v>2093</v>
      </c>
      <c r="H476" s="113">
        <v>30.0</v>
      </c>
      <c r="I476" s="110" t="s">
        <v>70</v>
      </c>
      <c r="J476" s="112">
        <v>5990.0</v>
      </c>
      <c r="K476" s="113" t="s">
        <v>71</v>
      </c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 t="s">
        <v>72</v>
      </c>
      <c r="W476" s="112" t="s">
        <v>73</v>
      </c>
    </row>
    <row r="477" ht="49.5" customHeight="1">
      <c r="A477" s="110" t="s">
        <v>2094</v>
      </c>
      <c r="B477" s="110" t="s">
        <v>2095</v>
      </c>
      <c r="C477" s="110" t="s">
        <v>2096</v>
      </c>
      <c r="D477" s="110"/>
      <c r="E477" s="111" t="s">
        <v>2097</v>
      </c>
      <c r="F477" s="111" t="s">
        <v>2098</v>
      </c>
      <c r="G477" s="110" t="s">
        <v>2098</v>
      </c>
      <c r="H477" s="113">
        <v>30.0</v>
      </c>
      <c r="I477" s="110" t="s">
        <v>70</v>
      </c>
      <c r="J477" s="112">
        <v>5990.0</v>
      </c>
      <c r="K477" s="113" t="s">
        <v>71</v>
      </c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 t="s">
        <v>72</v>
      </c>
      <c r="W477" s="112" t="s">
        <v>73</v>
      </c>
    </row>
    <row r="478" ht="49.5" customHeight="1">
      <c r="A478" s="110" t="s">
        <v>2099</v>
      </c>
      <c r="B478" s="110" t="s">
        <v>2100</v>
      </c>
      <c r="C478" s="110" t="s">
        <v>2101</v>
      </c>
      <c r="D478" s="110"/>
      <c r="E478" s="111" t="s">
        <v>2102</v>
      </c>
      <c r="F478" s="111" t="s">
        <v>2103</v>
      </c>
      <c r="G478" s="110" t="s">
        <v>2103</v>
      </c>
      <c r="H478" s="113">
        <v>30.0</v>
      </c>
      <c r="I478" s="110" t="s">
        <v>70</v>
      </c>
      <c r="J478" s="112">
        <v>5990.0</v>
      </c>
      <c r="K478" s="113" t="s">
        <v>71</v>
      </c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 t="s">
        <v>72</v>
      </c>
      <c r="W478" s="112" t="s">
        <v>73</v>
      </c>
    </row>
    <row r="479" ht="49.5" customHeight="1">
      <c r="A479" s="110" t="s">
        <v>2104</v>
      </c>
      <c r="B479" s="110" t="s">
        <v>2105</v>
      </c>
      <c r="C479" s="110" t="s">
        <v>2106</v>
      </c>
      <c r="D479" s="110"/>
      <c r="E479" s="111" t="s">
        <v>2107</v>
      </c>
      <c r="F479" s="111" t="s">
        <v>2108</v>
      </c>
      <c r="G479" s="110" t="s">
        <v>2108</v>
      </c>
      <c r="H479" s="113">
        <v>30.0</v>
      </c>
      <c r="I479" s="110" t="s">
        <v>70</v>
      </c>
      <c r="J479" s="112">
        <v>5990.0</v>
      </c>
      <c r="K479" s="113" t="s">
        <v>71</v>
      </c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 t="s">
        <v>72</v>
      </c>
      <c r="W479" s="112" t="s">
        <v>73</v>
      </c>
    </row>
    <row r="480" ht="49.5" customHeight="1">
      <c r="A480" s="110" t="s">
        <v>2109</v>
      </c>
      <c r="B480" s="110" t="s">
        <v>2110</v>
      </c>
      <c r="C480" s="110" t="s">
        <v>2111</v>
      </c>
      <c r="D480" s="110"/>
      <c r="E480" s="111" t="s">
        <v>2112</v>
      </c>
      <c r="F480" s="111" t="s">
        <v>2113</v>
      </c>
      <c r="G480" s="110" t="s">
        <v>2113</v>
      </c>
      <c r="H480" s="113">
        <v>30.0</v>
      </c>
      <c r="I480" s="110" t="s">
        <v>70</v>
      </c>
      <c r="J480" s="112">
        <v>5990.0</v>
      </c>
      <c r="K480" s="113" t="s">
        <v>71</v>
      </c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 t="s">
        <v>72</v>
      </c>
      <c r="W480" s="112" t="s">
        <v>73</v>
      </c>
    </row>
    <row r="481" ht="49.5" customHeight="1">
      <c r="A481" s="110" t="s">
        <v>2114</v>
      </c>
      <c r="B481" s="110" t="s">
        <v>2115</v>
      </c>
      <c r="C481" s="110" t="s">
        <v>2116</v>
      </c>
      <c r="D481" s="110"/>
      <c r="E481" s="111" t="s">
        <v>2117</v>
      </c>
      <c r="F481" s="111" t="s">
        <v>2118</v>
      </c>
      <c r="G481" s="110" t="s">
        <v>2118</v>
      </c>
      <c r="H481" s="113">
        <v>30.0</v>
      </c>
      <c r="I481" s="110" t="s">
        <v>70</v>
      </c>
      <c r="J481" s="112">
        <v>5990.0</v>
      </c>
      <c r="K481" s="113" t="s">
        <v>71</v>
      </c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 t="s">
        <v>72</v>
      </c>
      <c r="W481" s="112" t="s">
        <v>73</v>
      </c>
    </row>
    <row r="482" ht="49.5" customHeight="1">
      <c r="A482" s="110" t="s">
        <v>2119</v>
      </c>
      <c r="B482" s="110" t="s">
        <v>2120</v>
      </c>
      <c r="C482" s="110" t="s">
        <v>2121</v>
      </c>
      <c r="D482" s="110"/>
      <c r="E482" s="111" t="s">
        <v>2122</v>
      </c>
      <c r="F482" s="111" t="s">
        <v>2123</v>
      </c>
      <c r="G482" s="110" t="s">
        <v>2123</v>
      </c>
      <c r="H482" s="113">
        <v>30.0</v>
      </c>
      <c r="I482" s="110" t="s">
        <v>70</v>
      </c>
      <c r="J482" s="112">
        <v>5990.0</v>
      </c>
      <c r="K482" s="113" t="s">
        <v>71</v>
      </c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 t="s">
        <v>72</v>
      </c>
      <c r="W482" s="112" t="s">
        <v>73</v>
      </c>
    </row>
    <row r="483" ht="49.5" customHeight="1">
      <c r="A483" s="110" t="s">
        <v>2124</v>
      </c>
      <c r="B483" s="110" t="s">
        <v>2125</v>
      </c>
      <c r="C483" s="110" t="s">
        <v>2126</v>
      </c>
      <c r="D483" s="110"/>
      <c r="E483" s="111" t="s">
        <v>2127</v>
      </c>
      <c r="F483" s="111" t="s">
        <v>2128</v>
      </c>
      <c r="G483" s="110" t="s">
        <v>2128</v>
      </c>
      <c r="H483" s="113">
        <v>30.0</v>
      </c>
      <c r="I483" s="110" t="s">
        <v>70</v>
      </c>
      <c r="J483" s="112">
        <v>6190.0</v>
      </c>
      <c r="K483" s="113" t="s">
        <v>71</v>
      </c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 t="s">
        <v>72</v>
      </c>
      <c r="W483" s="112" t="s">
        <v>73</v>
      </c>
    </row>
    <row r="484" ht="49.5" customHeight="1">
      <c r="A484" s="110" t="s">
        <v>2129</v>
      </c>
      <c r="B484" s="110" t="s">
        <v>2130</v>
      </c>
      <c r="C484" s="110" t="s">
        <v>2131</v>
      </c>
      <c r="D484" s="110"/>
      <c r="E484" s="111" t="s">
        <v>2132</v>
      </c>
      <c r="F484" s="111" t="s">
        <v>2133</v>
      </c>
      <c r="G484" s="110" t="s">
        <v>2133</v>
      </c>
      <c r="H484" s="113">
        <v>30.0</v>
      </c>
      <c r="I484" s="110" t="s">
        <v>70</v>
      </c>
      <c r="J484" s="112">
        <v>5390.0</v>
      </c>
      <c r="K484" s="113" t="s">
        <v>71</v>
      </c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 t="s">
        <v>72</v>
      </c>
      <c r="W484" s="112" t="s">
        <v>73</v>
      </c>
    </row>
    <row r="485" ht="49.5" customHeight="1">
      <c r="A485" s="110" t="s">
        <v>2134</v>
      </c>
      <c r="B485" s="110" t="s">
        <v>2135</v>
      </c>
      <c r="C485" s="110" t="s">
        <v>2136</v>
      </c>
      <c r="D485" s="110"/>
      <c r="E485" s="111" t="s">
        <v>2137</v>
      </c>
      <c r="F485" s="111" t="s">
        <v>2138</v>
      </c>
      <c r="G485" s="110" t="s">
        <v>2138</v>
      </c>
      <c r="H485" s="113">
        <v>30.0</v>
      </c>
      <c r="I485" s="110" t="s">
        <v>70</v>
      </c>
      <c r="J485" s="112">
        <v>622090.0</v>
      </c>
      <c r="K485" s="113" t="s">
        <v>71</v>
      </c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 t="s">
        <v>72</v>
      </c>
      <c r="W485" s="112" t="s">
        <v>73</v>
      </c>
    </row>
    <row r="486" ht="49.5" customHeight="1">
      <c r="A486" s="110" t="s">
        <v>2139</v>
      </c>
      <c r="B486" s="110" t="s">
        <v>2140</v>
      </c>
      <c r="C486" s="110" t="s">
        <v>2141</v>
      </c>
      <c r="D486" s="110"/>
      <c r="E486" s="111" t="s">
        <v>2142</v>
      </c>
      <c r="F486" s="111" t="s">
        <v>2143</v>
      </c>
      <c r="G486" s="110" t="s">
        <v>2143</v>
      </c>
      <c r="H486" s="113">
        <v>30.0</v>
      </c>
      <c r="I486" s="110" t="s">
        <v>70</v>
      </c>
      <c r="J486" s="112">
        <v>1170790.0</v>
      </c>
      <c r="K486" s="113" t="s">
        <v>71</v>
      </c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 t="s">
        <v>72</v>
      </c>
      <c r="W486" s="112" t="s">
        <v>73</v>
      </c>
    </row>
    <row r="487" ht="49.5" customHeight="1">
      <c r="A487" s="110" t="s">
        <v>2144</v>
      </c>
      <c r="B487" s="110" t="s">
        <v>2145</v>
      </c>
      <c r="C487" s="110" t="s">
        <v>2146</v>
      </c>
      <c r="D487" s="110"/>
      <c r="E487" s="111" t="s">
        <v>2147</v>
      </c>
      <c r="F487" s="111" t="s">
        <v>2148</v>
      </c>
      <c r="G487" s="110" t="s">
        <v>2148</v>
      </c>
      <c r="H487" s="113">
        <v>30.0</v>
      </c>
      <c r="I487" s="110" t="s">
        <v>70</v>
      </c>
      <c r="J487" s="112" t="s">
        <v>63</v>
      </c>
      <c r="K487" s="113" t="s">
        <v>71</v>
      </c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 t="s">
        <v>72</v>
      </c>
      <c r="W487" s="112" t="s">
        <v>73</v>
      </c>
    </row>
    <row r="488" ht="49.5" customHeight="1">
      <c r="A488" s="110" t="s">
        <v>2149</v>
      </c>
      <c r="B488" s="110" t="s">
        <v>2150</v>
      </c>
      <c r="C488" s="110" t="s">
        <v>2151</v>
      </c>
      <c r="D488" s="110"/>
      <c r="E488" s="111" t="s">
        <v>2152</v>
      </c>
      <c r="F488" s="111" t="s">
        <v>2153</v>
      </c>
      <c r="G488" s="110" t="s">
        <v>2153</v>
      </c>
      <c r="H488" s="113">
        <v>30.0</v>
      </c>
      <c r="I488" s="110" t="s">
        <v>70</v>
      </c>
      <c r="J488" s="112">
        <v>505090.0</v>
      </c>
      <c r="K488" s="113" t="s">
        <v>71</v>
      </c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 t="s">
        <v>72</v>
      </c>
      <c r="W488" s="112" t="s">
        <v>73</v>
      </c>
    </row>
    <row r="489" ht="49.5" customHeight="1">
      <c r="A489" s="110" t="s">
        <v>2154</v>
      </c>
      <c r="B489" s="110" t="s">
        <v>2155</v>
      </c>
      <c r="C489" s="110" t="s">
        <v>2156</v>
      </c>
      <c r="D489" s="110"/>
      <c r="E489" s="111" t="s">
        <v>2157</v>
      </c>
      <c r="F489" s="111" t="s">
        <v>2158</v>
      </c>
      <c r="G489" s="110" t="s">
        <v>2158</v>
      </c>
      <c r="H489" s="113">
        <v>30.0</v>
      </c>
      <c r="I489" s="110" t="s">
        <v>70</v>
      </c>
      <c r="J489" s="112">
        <v>79190.0</v>
      </c>
      <c r="K489" s="113" t="s">
        <v>71</v>
      </c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 t="s">
        <v>72</v>
      </c>
      <c r="W489" s="112" t="s">
        <v>73</v>
      </c>
    </row>
    <row r="490" ht="49.5" customHeight="1">
      <c r="A490" s="110" t="s">
        <v>2159</v>
      </c>
      <c r="B490" s="110" t="s">
        <v>2160</v>
      </c>
      <c r="C490" s="110" t="s">
        <v>2161</v>
      </c>
      <c r="D490" s="110"/>
      <c r="E490" s="111" t="s">
        <v>2162</v>
      </c>
      <c r="F490" s="111" t="s">
        <v>2163</v>
      </c>
      <c r="G490" s="110" t="s">
        <v>2163</v>
      </c>
      <c r="H490" s="113">
        <v>30.0</v>
      </c>
      <c r="I490" s="110" t="s">
        <v>70</v>
      </c>
      <c r="J490" s="112">
        <v>106890.0</v>
      </c>
      <c r="K490" s="113" t="s">
        <v>71</v>
      </c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 t="s">
        <v>72</v>
      </c>
      <c r="W490" s="112" t="s">
        <v>73</v>
      </c>
    </row>
    <row r="491" ht="49.5" customHeight="1">
      <c r="A491" s="110" t="s">
        <v>2164</v>
      </c>
      <c r="B491" s="110" t="s">
        <v>2165</v>
      </c>
      <c r="C491" s="110" t="s">
        <v>2166</v>
      </c>
      <c r="D491" s="110"/>
      <c r="E491" s="111" t="s">
        <v>2167</v>
      </c>
      <c r="F491" s="111" t="s">
        <v>2168</v>
      </c>
      <c r="G491" s="110" t="s">
        <v>90</v>
      </c>
      <c r="H491" s="113">
        <v>30.0</v>
      </c>
      <c r="I491" s="110" t="s">
        <v>70</v>
      </c>
      <c r="J491" s="112">
        <v>31090.0</v>
      </c>
      <c r="K491" s="113" t="s">
        <v>71</v>
      </c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 t="s">
        <v>72</v>
      </c>
      <c r="W491" s="112" t="s">
        <v>73</v>
      </c>
    </row>
    <row r="492" ht="49.5" customHeight="1">
      <c r="A492" s="110" t="s">
        <v>63</v>
      </c>
      <c r="B492" s="110" t="s">
        <v>2169</v>
      </c>
      <c r="C492" s="110"/>
      <c r="D492" s="110"/>
      <c r="E492" s="112" t="s">
        <v>2169</v>
      </c>
      <c r="F492" s="111" t="s">
        <v>2170</v>
      </c>
      <c r="G492" s="110" t="s">
        <v>70</v>
      </c>
      <c r="H492" s="110" t="s">
        <v>681</v>
      </c>
      <c r="I492" s="110" t="s">
        <v>70</v>
      </c>
      <c r="J492" s="112">
        <v>7690.0</v>
      </c>
      <c r="K492" s="113" t="s">
        <v>71</v>
      </c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 t="s">
        <v>72</v>
      </c>
      <c r="W492" s="112" t="s">
        <v>73</v>
      </c>
    </row>
    <row r="493" ht="49.5" customHeight="1">
      <c r="A493" s="110" t="s">
        <v>63</v>
      </c>
      <c r="B493" s="110" t="s">
        <v>2169</v>
      </c>
      <c r="C493" s="110" t="s">
        <v>2171</v>
      </c>
      <c r="D493" s="110" t="s">
        <v>2171</v>
      </c>
      <c r="E493" s="111" t="s">
        <v>2172</v>
      </c>
      <c r="F493" s="114" t="str">
        <f>"     "&amp;F492</f>
        <v>     Short Futbol Niño Drb 2.40.36 - Verde</v>
      </c>
      <c r="G493" s="110" t="s">
        <v>2173</v>
      </c>
      <c r="H493" s="113">
        <v>10.0</v>
      </c>
      <c r="I493" s="110" t="s">
        <v>70</v>
      </c>
      <c r="J493" s="112">
        <f>J492</f>
        <v>7690</v>
      </c>
      <c r="K493" s="110" t="str">
        <f>K492&amp;"     "</f>
        <v>$     </v>
      </c>
      <c r="L493" s="110" t="str">
        <f t="shared" ref="L493:U493" si="241">L492</f>
        <v/>
      </c>
      <c r="M493" s="110" t="str">
        <f t="shared" si="241"/>
        <v/>
      </c>
      <c r="N493" s="110" t="str">
        <f t="shared" si="241"/>
        <v/>
      </c>
      <c r="O493" s="110" t="str">
        <f t="shared" si="241"/>
        <v/>
      </c>
      <c r="P493" s="110" t="str">
        <f t="shared" si="241"/>
        <v/>
      </c>
      <c r="Q493" s="110" t="str">
        <f t="shared" si="241"/>
        <v/>
      </c>
      <c r="R493" s="110" t="str">
        <f t="shared" si="241"/>
        <v/>
      </c>
      <c r="S493" s="110" t="str">
        <f t="shared" si="241"/>
        <v/>
      </c>
      <c r="T493" s="110" t="str">
        <f t="shared" si="241"/>
        <v/>
      </c>
      <c r="U493" s="110" t="str">
        <f t="shared" si="241"/>
        <v/>
      </c>
      <c r="V493" s="110" t="str">
        <f t="shared" ref="V493:W493" si="242">V492&amp;"     "</f>
        <v>Nuevo     </v>
      </c>
      <c r="W493" s="112" t="str">
        <f t="shared" si="242"/>
        <v>Activa     </v>
      </c>
    </row>
    <row r="494" ht="49.5" customHeight="1">
      <c r="A494" s="110" t="s">
        <v>63</v>
      </c>
      <c r="B494" s="110" t="s">
        <v>2169</v>
      </c>
      <c r="C494" s="110" t="s">
        <v>2174</v>
      </c>
      <c r="D494" s="110" t="s">
        <v>2174</v>
      </c>
      <c r="E494" s="111" t="s">
        <v>2175</v>
      </c>
      <c r="F494" s="114" t="str">
        <f>"     "&amp;F492</f>
        <v>     Short Futbol Niño Drb 2.40.36 - Verde</v>
      </c>
      <c r="G494" s="110" t="s">
        <v>2176</v>
      </c>
      <c r="H494" s="113">
        <v>10.0</v>
      </c>
      <c r="I494" s="110" t="s">
        <v>70</v>
      </c>
      <c r="J494" s="112">
        <f>J492</f>
        <v>7690</v>
      </c>
      <c r="K494" s="110" t="str">
        <f>K492&amp;"     "</f>
        <v>$     </v>
      </c>
      <c r="L494" s="110" t="str">
        <f t="shared" ref="L494:U494" si="243">L492</f>
        <v/>
      </c>
      <c r="M494" s="110" t="str">
        <f t="shared" si="243"/>
        <v/>
      </c>
      <c r="N494" s="110" t="str">
        <f t="shared" si="243"/>
        <v/>
      </c>
      <c r="O494" s="110" t="str">
        <f t="shared" si="243"/>
        <v/>
      </c>
      <c r="P494" s="110" t="str">
        <f t="shared" si="243"/>
        <v/>
      </c>
      <c r="Q494" s="110" t="str">
        <f t="shared" si="243"/>
        <v/>
      </c>
      <c r="R494" s="110" t="str">
        <f t="shared" si="243"/>
        <v/>
      </c>
      <c r="S494" s="110" t="str">
        <f t="shared" si="243"/>
        <v/>
      </c>
      <c r="T494" s="110" t="str">
        <f t="shared" si="243"/>
        <v/>
      </c>
      <c r="U494" s="110" t="str">
        <f t="shared" si="243"/>
        <v/>
      </c>
      <c r="V494" s="110" t="str">
        <f t="shared" ref="V494:W494" si="244">V492&amp;"     "</f>
        <v>Nuevo     </v>
      </c>
      <c r="W494" s="112" t="str">
        <f t="shared" si="244"/>
        <v>Activa     </v>
      </c>
    </row>
    <row r="495" ht="49.5" customHeight="1">
      <c r="A495" s="110" t="s">
        <v>63</v>
      </c>
      <c r="B495" s="110" t="s">
        <v>2177</v>
      </c>
      <c r="C495" s="110"/>
      <c r="D495" s="110"/>
      <c r="E495" s="112" t="s">
        <v>2177</v>
      </c>
      <c r="F495" s="111" t="s">
        <v>2178</v>
      </c>
      <c r="G495" s="110" t="s">
        <v>70</v>
      </c>
      <c r="H495" s="110" t="s">
        <v>681</v>
      </c>
      <c r="I495" s="110" t="s">
        <v>70</v>
      </c>
      <c r="J495" s="112">
        <v>7690.0</v>
      </c>
      <c r="K495" s="113" t="s">
        <v>71</v>
      </c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 t="s">
        <v>72</v>
      </c>
      <c r="W495" s="112" t="s">
        <v>73</v>
      </c>
    </row>
    <row r="496" ht="49.5" customHeight="1">
      <c r="A496" s="110" t="s">
        <v>63</v>
      </c>
      <c r="B496" s="110" t="s">
        <v>2177</v>
      </c>
      <c r="C496" s="110" t="s">
        <v>2179</v>
      </c>
      <c r="D496" s="110" t="s">
        <v>2179</v>
      </c>
      <c r="E496" s="111" t="s">
        <v>2180</v>
      </c>
      <c r="F496" s="114" t="str">
        <f>"     "&amp;F495</f>
        <v>     Short Futbol Drb 2.40.32 Liso Marino</v>
      </c>
      <c r="G496" s="110" t="s">
        <v>2181</v>
      </c>
      <c r="H496" s="113">
        <v>10.0</v>
      </c>
      <c r="I496" s="110" t="s">
        <v>70</v>
      </c>
      <c r="J496" s="112">
        <f>J495</f>
        <v>7690</v>
      </c>
      <c r="K496" s="110" t="str">
        <f>K495&amp;"     "</f>
        <v>$     </v>
      </c>
      <c r="L496" s="110" t="str">
        <f t="shared" ref="L496:U496" si="245">L495</f>
        <v/>
      </c>
      <c r="M496" s="110" t="str">
        <f t="shared" si="245"/>
        <v/>
      </c>
      <c r="N496" s="110" t="str">
        <f t="shared" si="245"/>
        <v/>
      </c>
      <c r="O496" s="110" t="str">
        <f t="shared" si="245"/>
        <v/>
      </c>
      <c r="P496" s="110" t="str">
        <f t="shared" si="245"/>
        <v/>
      </c>
      <c r="Q496" s="110" t="str">
        <f t="shared" si="245"/>
        <v/>
      </c>
      <c r="R496" s="110" t="str">
        <f t="shared" si="245"/>
        <v/>
      </c>
      <c r="S496" s="110" t="str">
        <f t="shared" si="245"/>
        <v/>
      </c>
      <c r="T496" s="110" t="str">
        <f t="shared" si="245"/>
        <v/>
      </c>
      <c r="U496" s="110" t="str">
        <f t="shared" si="245"/>
        <v/>
      </c>
      <c r="V496" s="110" t="str">
        <f t="shared" ref="V496:W496" si="246">V495&amp;"     "</f>
        <v>Nuevo     </v>
      </c>
      <c r="W496" s="112" t="str">
        <f t="shared" si="246"/>
        <v>Activa     </v>
      </c>
    </row>
    <row r="497" ht="49.5" customHeight="1">
      <c r="A497" s="110" t="s">
        <v>63</v>
      </c>
      <c r="B497" s="110" t="s">
        <v>2177</v>
      </c>
      <c r="C497" s="110" t="s">
        <v>2182</v>
      </c>
      <c r="D497" s="110" t="s">
        <v>2182</v>
      </c>
      <c r="E497" s="111" t="s">
        <v>2183</v>
      </c>
      <c r="F497" s="114" t="str">
        <f>"     "&amp;F495</f>
        <v>     Short Futbol Drb 2.40.32 Liso Marino</v>
      </c>
      <c r="G497" s="110" t="s">
        <v>2184</v>
      </c>
      <c r="H497" s="113">
        <v>10.0</v>
      </c>
      <c r="I497" s="110" t="s">
        <v>70</v>
      </c>
      <c r="J497" s="112">
        <f>J495</f>
        <v>7690</v>
      </c>
      <c r="K497" s="110" t="str">
        <f>K495&amp;"     "</f>
        <v>$     </v>
      </c>
      <c r="L497" s="110" t="str">
        <f t="shared" ref="L497:U497" si="247">L495</f>
        <v/>
      </c>
      <c r="M497" s="110" t="str">
        <f t="shared" si="247"/>
        <v/>
      </c>
      <c r="N497" s="110" t="str">
        <f t="shared" si="247"/>
        <v/>
      </c>
      <c r="O497" s="110" t="str">
        <f t="shared" si="247"/>
        <v/>
      </c>
      <c r="P497" s="110" t="str">
        <f t="shared" si="247"/>
        <v/>
      </c>
      <c r="Q497" s="110" t="str">
        <f t="shared" si="247"/>
        <v/>
      </c>
      <c r="R497" s="110" t="str">
        <f t="shared" si="247"/>
        <v/>
      </c>
      <c r="S497" s="110" t="str">
        <f t="shared" si="247"/>
        <v/>
      </c>
      <c r="T497" s="110" t="str">
        <f t="shared" si="247"/>
        <v/>
      </c>
      <c r="U497" s="110" t="str">
        <f t="shared" si="247"/>
        <v/>
      </c>
      <c r="V497" s="110" t="str">
        <f t="shared" ref="V497:W497" si="248">V495&amp;"     "</f>
        <v>Nuevo     </v>
      </c>
      <c r="W497" s="112" t="str">
        <f t="shared" si="248"/>
        <v>Activa     </v>
      </c>
    </row>
    <row r="498" ht="49.5" customHeight="1">
      <c r="A498" s="110" t="s">
        <v>63</v>
      </c>
      <c r="B498" s="110" t="s">
        <v>2177</v>
      </c>
      <c r="C498" s="110" t="s">
        <v>2185</v>
      </c>
      <c r="D498" s="110" t="s">
        <v>2185</v>
      </c>
      <c r="E498" s="111" t="s">
        <v>2186</v>
      </c>
      <c r="F498" s="114" t="str">
        <f>"     "&amp;F495</f>
        <v>     Short Futbol Drb 2.40.32 Liso Marino</v>
      </c>
      <c r="G498" s="110" t="s">
        <v>2187</v>
      </c>
      <c r="H498" s="113">
        <v>0.0</v>
      </c>
      <c r="I498" s="110" t="s">
        <v>70</v>
      </c>
      <c r="J498" s="112">
        <f>J495</f>
        <v>7690</v>
      </c>
      <c r="K498" s="110" t="str">
        <f>K495&amp;"     "</f>
        <v>$     </v>
      </c>
      <c r="L498" s="110" t="str">
        <f t="shared" ref="L498:U498" si="249">L495</f>
        <v/>
      </c>
      <c r="M498" s="110" t="str">
        <f t="shared" si="249"/>
        <v/>
      </c>
      <c r="N498" s="110" t="str">
        <f t="shared" si="249"/>
        <v/>
      </c>
      <c r="O498" s="110" t="str">
        <f t="shared" si="249"/>
        <v/>
      </c>
      <c r="P498" s="110" t="str">
        <f t="shared" si="249"/>
        <v/>
      </c>
      <c r="Q498" s="110" t="str">
        <f t="shared" si="249"/>
        <v/>
      </c>
      <c r="R498" s="110" t="str">
        <f t="shared" si="249"/>
        <v/>
      </c>
      <c r="S498" s="110" t="str">
        <f t="shared" si="249"/>
        <v/>
      </c>
      <c r="T498" s="110" t="str">
        <f t="shared" si="249"/>
        <v/>
      </c>
      <c r="U498" s="110" t="str">
        <f t="shared" si="249"/>
        <v/>
      </c>
      <c r="V498" s="110" t="str">
        <f t="shared" ref="V498:W498" si="250">V495&amp;"     "</f>
        <v>Nuevo     </v>
      </c>
      <c r="W498" s="112" t="str">
        <f t="shared" si="250"/>
        <v>Activa     </v>
      </c>
    </row>
    <row r="499" ht="49.5" customHeight="1">
      <c r="A499" s="110" t="s">
        <v>63</v>
      </c>
      <c r="B499" s="110" t="s">
        <v>2177</v>
      </c>
      <c r="C499" s="110" t="s">
        <v>2188</v>
      </c>
      <c r="D499" s="110" t="s">
        <v>2188</v>
      </c>
      <c r="E499" s="111" t="s">
        <v>2189</v>
      </c>
      <c r="F499" s="114" t="str">
        <f>"     "&amp;F495</f>
        <v>     Short Futbol Drb 2.40.32 Liso Marino</v>
      </c>
      <c r="G499" s="110" t="s">
        <v>2190</v>
      </c>
      <c r="H499" s="113">
        <v>0.0</v>
      </c>
      <c r="I499" s="110" t="s">
        <v>70</v>
      </c>
      <c r="J499" s="112">
        <f>J495</f>
        <v>7690</v>
      </c>
      <c r="K499" s="110" t="str">
        <f>K495&amp;"     "</f>
        <v>$     </v>
      </c>
      <c r="L499" s="110" t="str">
        <f t="shared" ref="L499:U499" si="251">L495</f>
        <v/>
      </c>
      <c r="M499" s="110" t="str">
        <f t="shared" si="251"/>
        <v/>
      </c>
      <c r="N499" s="110" t="str">
        <f t="shared" si="251"/>
        <v/>
      </c>
      <c r="O499" s="110" t="str">
        <f t="shared" si="251"/>
        <v/>
      </c>
      <c r="P499" s="110" t="str">
        <f t="shared" si="251"/>
        <v/>
      </c>
      <c r="Q499" s="110" t="str">
        <f t="shared" si="251"/>
        <v/>
      </c>
      <c r="R499" s="110" t="str">
        <f t="shared" si="251"/>
        <v/>
      </c>
      <c r="S499" s="110" t="str">
        <f t="shared" si="251"/>
        <v/>
      </c>
      <c r="T499" s="110" t="str">
        <f t="shared" si="251"/>
        <v/>
      </c>
      <c r="U499" s="110" t="str">
        <f t="shared" si="251"/>
        <v/>
      </c>
      <c r="V499" s="110" t="str">
        <f t="shared" ref="V499:W499" si="252">V495&amp;"     "</f>
        <v>Nuevo     </v>
      </c>
      <c r="W499" s="112" t="str">
        <f t="shared" si="252"/>
        <v>Activa     </v>
      </c>
    </row>
    <row r="500" ht="49.5" customHeight="1">
      <c r="A500" s="110" t="s">
        <v>63</v>
      </c>
      <c r="B500" s="110" t="s">
        <v>2191</v>
      </c>
      <c r="C500" s="110"/>
      <c r="D500" s="110"/>
      <c r="E500" s="112" t="s">
        <v>2191</v>
      </c>
      <c r="F500" s="111" t="s">
        <v>2192</v>
      </c>
      <c r="G500" s="110" t="s">
        <v>70</v>
      </c>
      <c r="H500" s="110" t="s">
        <v>666</v>
      </c>
      <c r="I500" s="110" t="s">
        <v>70</v>
      </c>
      <c r="J500" s="112">
        <v>20490.0</v>
      </c>
      <c r="K500" s="113" t="s">
        <v>71</v>
      </c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 t="s">
        <v>72</v>
      </c>
      <c r="W500" s="112" t="s">
        <v>73</v>
      </c>
    </row>
    <row r="501" ht="49.5" customHeight="1">
      <c r="A501" s="110" t="s">
        <v>63</v>
      </c>
      <c r="B501" s="110" t="s">
        <v>2191</v>
      </c>
      <c r="C501" s="110" t="s">
        <v>2193</v>
      </c>
      <c r="D501" s="110" t="s">
        <v>2193</v>
      </c>
      <c r="E501" s="111" t="s">
        <v>2194</v>
      </c>
      <c r="F501" s="114" t="str">
        <f>"     "&amp;F500</f>
        <v>     Short Dama C/lycra Blanco</v>
      </c>
      <c r="G501" s="110" t="s">
        <v>2195</v>
      </c>
      <c r="H501" s="113">
        <v>10.0</v>
      </c>
      <c r="I501" s="110" t="s">
        <v>70</v>
      </c>
      <c r="J501" s="112">
        <f>J500</f>
        <v>20490</v>
      </c>
      <c r="K501" s="110" t="str">
        <f>K500&amp;"     "</f>
        <v>$     </v>
      </c>
      <c r="L501" s="110" t="str">
        <f t="shared" ref="L501:U501" si="253">L500</f>
        <v/>
      </c>
      <c r="M501" s="110" t="str">
        <f t="shared" si="253"/>
        <v/>
      </c>
      <c r="N501" s="110" t="str">
        <f t="shared" si="253"/>
        <v/>
      </c>
      <c r="O501" s="110" t="str">
        <f t="shared" si="253"/>
        <v/>
      </c>
      <c r="P501" s="110" t="str">
        <f t="shared" si="253"/>
        <v/>
      </c>
      <c r="Q501" s="110" t="str">
        <f t="shared" si="253"/>
        <v/>
      </c>
      <c r="R501" s="110" t="str">
        <f t="shared" si="253"/>
        <v/>
      </c>
      <c r="S501" s="110" t="str">
        <f t="shared" si="253"/>
        <v/>
      </c>
      <c r="T501" s="110" t="str">
        <f t="shared" si="253"/>
        <v/>
      </c>
      <c r="U501" s="110" t="str">
        <f t="shared" si="253"/>
        <v/>
      </c>
      <c r="V501" s="110" t="str">
        <f t="shared" ref="V501:W501" si="254">V500&amp;"     "</f>
        <v>Nuevo     </v>
      </c>
      <c r="W501" s="112" t="str">
        <f t="shared" si="254"/>
        <v>Activa     </v>
      </c>
    </row>
    <row r="502" ht="49.5" customHeight="1">
      <c r="A502" s="110" t="s">
        <v>63</v>
      </c>
      <c r="B502" s="110" t="s">
        <v>2191</v>
      </c>
      <c r="C502" s="110" t="s">
        <v>2196</v>
      </c>
      <c r="D502" s="110" t="s">
        <v>2196</v>
      </c>
      <c r="E502" s="111" t="s">
        <v>2197</v>
      </c>
      <c r="F502" s="114" t="str">
        <f>"     "&amp;F500</f>
        <v>     Short Dama C/lycra Blanco</v>
      </c>
      <c r="G502" s="110" t="s">
        <v>2198</v>
      </c>
      <c r="H502" s="113">
        <v>10.0</v>
      </c>
      <c r="I502" s="110" t="s">
        <v>70</v>
      </c>
      <c r="J502" s="112">
        <f>J500</f>
        <v>20490</v>
      </c>
      <c r="K502" s="110" t="str">
        <f>K500&amp;"     "</f>
        <v>$     </v>
      </c>
      <c r="L502" s="110" t="str">
        <f t="shared" ref="L502:U502" si="255">L500</f>
        <v/>
      </c>
      <c r="M502" s="110" t="str">
        <f t="shared" si="255"/>
        <v/>
      </c>
      <c r="N502" s="110" t="str">
        <f t="shared" si="255"/>
        <v/>
      </c>
      <c r="O502" s="110" t="str">
        <f t="shared" si="255"/>
        <v/>
      </c>
      <c r="P502" s="110" t="str">
        <f t="shared" si="255"/>
        <v/>
      </c>
      <c r="Q502" s="110" t="str">
        <f t="shared" si="255"/>
        <v/>
      </c>
      <c r="R502" s="110" t="str">
        <f t="shared" si="255"/>
        <v/>
      </c>
      <c r="S502" s="110" t="str">
        <f t="shared" si="255"/>
        <v/>
      </c>
      <c r="T502" s="110" t="str">
        <f t="shared" si="255"/>
        <v/>
      </c>
      <c r="U502" s="110" t="str">
        <f t="shared" si="255"/>
        <v/>
      </c>
      <c r="V502" s="110" t="str">
        <f t="shared" ref="V502:W502" si="256">V500&amp;"     "</f>
        <v>Nuevo     </v>
      </c>
      <c r="W502" s="112" t="str">
        <f t="shared" si="256"/>
        <v>Activa     </v>
      </c>
    </row>
    <row r="503" ht="49.5" customHeight="1">
      <c r="A503" s="110" t="s">
        <v>63</v>
      </c>
      <c r="B503" s="110" t="s">
        <v>2191</v>
      </c>
      <c r="C503" s="110" t="s">
        <v>2199</v>
      </c>
      <c r="D503" s="110" t="s">
        <v>2199</v>
      </c>
      <c r="E503" s="111" t="s">
        <v>2200</v>
      </c>
      <c r="F503" s="114" t="str">
        <f>"     "&amp;F500</f>
        <v>     Short Dama C/lycra Blanco</v>
      </c>
      <c r="G503" s="110" t="s">
        <v>2201</v>
      </c>
      <c r="H503" s="113">
        <v>10.0</v>
      </c>
      <c r="I503" s="110" t="s">
        <v>70</v>
      </c>
      <c r="J503" s="112">
        <f>J500</f>
        <v>20490</v>
      </c>
      <c r="K503" s="110" t="str">
        <f>K500&amp;"     "</f>
        <v>$     </v>
      </c>
      <c r="L503" s="110" t="str">
        <f t="shared" ref="L503:U503" si="257">L500</f>
        <v/>
      </c>
      <c r="M503" s="110" t="str">
        <f t="shared" si="257"/>
        <v/>
      </c>
      <c r="N503" s="110" t="str">
        <f t="shared" si="257"/>
        <v/>
      </c>
      <c r="O503" s="110" t="str">
        <f t="shared" si="257"/>
        <v/>
      </c>
      <c r="P503" s="110" t="str">
        <f t="shared" si="257"/>
        <v/>
      </c>
      <c r="Q503" s="110" t="str">
        <f t="shared" si="257"/>
        <v/>
      </c>
      <c r="R503" s="110" t="str">
        <f t="shared" si="257"/>
        <v/>
      </c>
      <c r="S503" s="110" t="str">
        <f t="shared" si="257"/>
        <v/>
      </c>
      <c r="T503" s="110" t="str">
        <f t="shared" si="257"/>
        <v/>
      </c>
      <c r="U503" s="110" t="str">
        <f t="shared" si="257"/>
        <v/>
      </c>
      <c r="V503" s="110" t="str">
        <f t="shared" ref="V503:W503" si="258">V500&amp;"     "</f>
        <v>Nuevo     </v>
      </c>
      <c r="W503" s="112" t="str">
        <f t="shared" si="258"/>
        <v>Activa     </v>
      </c>
    </row>
    <row r="504" ht="49.5" customHeight="1">
      <c r="A504" s="110" t="s">
        <v>63</v>
      </c>
      <c r="B504" s="110" t="s">
        <v>2191</v>
      </c>
      <c r="C504" s="110" t="s">
        <v>2202</v>
      </c>
      <c r="D504" s="110" t="s">
        <v>2202</v>
      </c>
      <c r="E504" s="111" t="s">
        <v>2203</v>
      </c>
      <c r="F504" s="114" t="str">
        <f>"     "&amp;F500</f>
        <v>     Short Dama C/lycra Blanco</v>
      </c>
      <c r="G504" s="110" t="s">
        <v>2204</v>
      </c>
      <c r="H504" s="113">
        <v>10.0</v>
      </c>
      <c r="I504" s="110" t="s">
        <v>70</v>
      </c>
      <c r="J504" s="112">
        <f>J500</f>
        <v>20490</v>
      </c>
      <c r="K504" s="110" t="str">
        <f>K500&amp;"     "</f>
        <v>$     </v>
      </c>
      <c r="L504" s="110" t="str">
        <f t="shared" ref="L504:U504" si="259">L500</f>
        <v/>
      </c>
      <c r="M504" s="110" t="str">
        <f t="shared" si="259"/>
        <v/>
      </c>
      <c r="N504" s="110" t="str">
        <f t="shared" si="259"/>
        <v/>
      </c>
      <c r="O504" s="110" t="str">
        <f t="shared" si="259"/>
        <v/>
      </c>
      <c r="P504" s="110" t="str">
        <f t="shared" si="259"/>
        <v/>
      </c>
      <c r="Q504" s="110" t="str">
        <f t="shared" si="259"/>
        <v/>
      </c>
      <c r="R504" s="110" t="str">
        <f t="shared" si="259"/>
        <v/>
      </c>
      <c r="S504" s="110" t="str">
        <f t="shared" si="259"/>
        <v/>
      </c>
      <c r="T504" s="110" t="str">
        <f t="shared" si="259"/>
        <v/>
      </c>
      <c r="U504" s="110" t="str">
        <f t="shared" si="259"/>
        <v/>
      </c>
      <c r="V504" s="110" t="str">
        <f t="shared" ref="V504:W504" si="260">V500&amp;"     "</f>
        <v>Nuevo     </v>
      </c>
      <c r="W504" s="112" t="str">
        <f t="shared" si="260"/>
        <v>Activa     </v>
      </c>
    </row>
    <row r="505" ht="49.5" customHeight="1">
      <c r="A505" s="110" t="s">
        <v>63</v>
      </c>
      <c r="B505" s="110" t="s">
        <v>2205</v>
      </c>
      <c r="C505" s="110"/>
      <c r="D505" s="110"/>
      <c r="E505" s="112" t="s">
        <v>2205</v>
      </c>
      <c r="F505" s="111" t="s">
        <v>2206</v>
      </c>
      <c r="G505" s="110" t="s">
        <v>70</v>
      </c>
      <c r="H505" s="110" t="s">
        <v>666</v>
      </c>
      <c r="I505" s="110" t="s">
        <v>70</v>
      </c>
      <c r="J505" s="112">
        <v>9690.0</v>
      </c>
      <c r="K505" s="113" t="s">
        <v>71</v>
      </c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 t="s">
        <v>72</v>
      </c>
      <c r="W505" s="112" t="s">
        <v>73</v>
      </c>
    </row>
    <row r="506" ht="49.5" customHeight="1">
      <c r="A506" s="110" t="s">
        <v>63</v>
      </c>
      <c r="B506" s="110" t="s">
        <v>2205</v>
      </c>
      <c r="C506" s="110" t="s">
        <v>2207</v>
      </c>
      <c r="D506" s="110" t="s">
        <v>2207</v>
      </c>
      <c r="E506" s="111" t="s">
        <v>2208</v>
      </c>
      <c r="F506" s="114" t="str">
        <f>"     "&amp;F505</f>
        <v>     Short Futbol Liso Blanco</v>
      </c>
      <c r="G506" s="110" t="s">
        <v>2204</v>
      </c>
      <c r="H506" s="113">
        <v>10.0</v>
      </c>
      <c r="I506" s="110" t="s">
        <v>70</v>
      </c>
      <c r="J506" s="112">
        <f>J505</f>
        <v>9690</v>
      </c>
      <c r="K506" s="110" t="str">
        <f>K505&amp;"     "</f>
        <v>$     </v>
      </c>
      <c r="L506" s="110" t="str">
        <f t="shared" ref="L506:U506" si="261">L505</f>
        <v/>
      </c>
      <c r="M506" s="110" t="str">
        <f t="shared" si="261"/>
        <v/>
      </c>
      <c r="N506" s="110" t="str">
        <f t="shared" si="261"/>
        <v/>
      </c>
      <c r="O506" s="110" t="str">
        <f t="shared" si="261"/>
        <v/>
      </c>
      <c r="P506" s="110" t="str">
        <f t="shared" si="261"/>
        <v/>
      </c>
      <c r="Q506" s="110" t="str">
        <f t="shared" si="261"/>
        <v/>
      </c>
      <c r="R506" s="110" t="str">
        <f t="shared" si="261"/>
        <v/>
      </c>
      <c r="S506" s="110" t="str">
        <f t="shared" si="261"/>
        <v/>
      </c>
      <c r="T506" s="110" t="str">
        <f t="shared" si="261"/>
        <v/>
      </c>
      <c r="U506" s="110" t="str">
        <f t="shared" si="261"/>
        <v/>
      </c>
      <c r="V506" s="110" t="str">
        <f t="shared" ref="V506:W506" si="262">V505&amp;"     "</f>
        <v>Nuevo     </v>
      </c>
      <c r="W506" s="112" t="str">
        <f t="shared" si="262"/>
        <v>Activa     </v>
      </c>
    </row>
    <row r="507" ht="49.5" customHeight="1">
      <c r="A507" s="110" t="s">
        <v>63</v>
      </c>
      <c r="B507" s="110" t="s">
        <v>2205</v>
      </c>
      <c r="C507" s="110" t="s">
        <v>2209</v>
      </c>
      <c r="D507" s="110" t="s">
        <v>2209</v>
      </c>
      <c r="E507" s="111" t="s">
        <v>2210</v>
      </c>
      <c r="F507" s="114" t="str">
        <f>"     "&amp;F505</f>
        <v>     Short Futbol Liso Blanco</v>
      </c>
      <c r="G507" s="110" t="s">
        <v>2201</v>
      </c>
      <c r="H507" s="113">
        <v>10.0</v>
      </c>
      <c r="I507" s="110" t="s">
        <v>70</v>
      </c>
      <c r="J507" s="112">
        <f>J505</f>
        <v>9690</v>
      </c>
      <c r="K507" s="110" t="str">
        <f>K505&amp;"     "</f>
        <v>$     </v>
      </c>
      <c r="L507" s="110" t="str">
        <f t="shared" ref="L507:U507" si="263">L505</f>
        <v/>
      </c>
      <c r="M507" s="110" t="str">
        <f t="shared" si="263"/>
        <v/>
      </c>
      <c r="N507" s="110" t="str">
        <f t="shared" si="263"/>
        <v/>
      </c>
      <c r="O507" s="110" t="str">
        <f t="shared" si="263"/>
        <v/>
      </c>
      <c r="P507" s="110" t="str">
        <f t="shared" si="263"/>
        <v/>
      </c>
      <c r="Q507" s="110" t="str">
        <f t="shared" si="263"/>
        <v/>
      </c>
      <c r="R507" s="110" t="str">
        <f t="shared" si="263"/>
        <v/>
      </c>
      <c r="S507" s="110" t="str">
        <f t="shared" si="263"/>
        <v/>
      </c>
      <c r="T507" s="110" t="str">
        <f t="shared" si="263"/>
        <v/>
      </c>
      <c r="U507" s="110" t="str">
        <f t="shared" si="263"/>
        <v/>
      </c>
      <c r="V507" s="110" t="str">
        <f t="shared" ref="V507:W507" si="264">V505&amp;"     "</f>
        <v>Nuevo     </v>
      </c>
      <c r="W507" s="112" t="str">
        <f t="shared" si="264"/>
        <v>Activa     </v>
      </c>
    </row>
    <row r="508" ht="49.5" customHeight="1">
      <c r="A508" s="110" t="s">
        <v>63</v>
      </c>
      <c r="B508" s="110" t="s">
        <v>2205</v>
      </c>
      <c r="C508" s="110" t="s">
        <v>2211</v>
      </c>
      <c r="D508" s="110" t="s">
        <v>2211</v>
      </c>
      <c r="E508" s="111" t="s">
        <v>2212</v>
      </c>
      <c r="F508" s="114" t="str">
        <f>"     "&amp;F505</f>
        <v>     Short Futbol Liso Blanco</v>
      </c>
      <c r="G508" s="110" t="s">
        <v>2198</v>
      </c>
      <c r="H508" s="113">
        <v>10.0</v>
      </c>
      <c r="I508" s="110" t="s">
        <v>70</v>
      </c>
      <c r="J508" s="112">
        <f>J505</f>
        <v>9690</v>
      </c>
      <c r="K508" s="110" t="str">
        <f>K505&amp;"     "</f>
        <v>$     </v>
      </c>
      <c r="L508" s="110" t="str">
        <f t="shared" ref="L508:U508" si="265">L505</f>
        <v/>
      </c>
      <c r="M508" s="110" t="str">
        <f t="shared" si="265"/>
        <v/>
      </c>
      <c r="N508" s="110" t="str">
        <f t="shared" si="265"/>
        <v/>
      </c>
      <c r="O508" s="110" t="str">
        <f t="shared" si="265"/>
        <v/>
      </c>
      <c r="P508" s="110" t="str">
        <f t="shared" si="265"/>
        <v/>
      </c>
      <c r="Q508" s="110" t="str">
        <f t="shared" si="265"/>
        <v/>
      </c>
      <c r="R508" s="110" t="str">
        <f t="shared" si="265"/>
        <v/>
      </c>
      <c r="S508" s="110" t="str">
        <f t="shared" si="265"/>
        <v/>
      </c>
      <c r="T508" s="110" t="str">
        <f t="shared" si="265"/>
        <v/>
      </c>
      <c r="U508" s="110" t="str">
        <f t="shared" si="265"/>
        <v/>
      </c>
      <c r="V508" s="110" t="str">
        <f t="shared" ref="V508:W508" si="266">V505&amp;"     "</f>
        <v>Nuevo     </v>
      </c>
      <c r="W508" s="112" t="str">
        <f t="shared" si="266"/>
        <v>Activa     </v>
      </c>
    </row>
    <row r="509" ht="49.5" customHeight="1">
      <c r="A509" s="110" t="s">
        <v>63</v>
      </c>
      <c r="B509" s="110" t="s">
        <v>2205</v>
      </c>
      <c r="C509" s="110" t="s">
        <v>2213</v>
      </c>
      <c r="D509" s="110" t="s">
        <v>2213</v>
      </c>
      <c r="E509" s="111" t="s">
        <v>2214</v>
      </c>
      <c r="F509" s="114" t="str">
        <f>"     "&amp;F505</f>
        <v>     Short Futbol Liso Blanco</v>
      </c>
      <c r="G509" s="110" t="s">
        <v>2195</v>
      </c>
      <c r="H509" s="113">
        <v>10.0</v>
      </c>
      <c r="I509" s="110" t="s">
        <v>70</v>
      </c>
      <c r="J509" s="112">
        <f>J505</f>
        <v>9690</v>
      </c>
      <c r="K509" s="110" t="str">
        <f>K505&amp;"     "</f>
        <v>$     </v>
      </c>
      <c r="L509" s="110" t="str">
        <f t="shared" ref="L509:U509" si="267">L505</f>
        <v/>
      </c>
      <c r="M509" s="110" t="str">
        <f t="shared" si="267"/>
        <v/>
      </c>
      <c r="N509" s="110" t="str">
        <f t="shared" si="267"/>
        <v/>
      </c>
      <c r="O509" s="110" t="str">
        <f t="shared" si="267"/>
        <v/>
      </c>
      <c r="P509" s="110" t="str">
        <f t="shared" si="267"/>
        <v/>
      </c>
      <c r="Q509" s="110" t="str">
        <f t="shared" si="267"/>
        <v/>
      </c>
      <c r="R509" s="110" t="str">
        <f t="shared" si="267"/>
        <v/>
      </c>
      <c r="S509" s="110" t="str">
        <f t="shared" si="267"/>
        <v/>
      </c>
      <c r="T509" s="110" t="str">
        <f t="shared" si="267"/>
        <v/>
      </c>
      <c r="U509" s="110" t="str">
        <f t="shared" si="267"/>
        <v/>
      </c>
      <c r="V509" s="110" t="str">
        <f t="shared" ref="V509:W509" si="268">V505&amp;"     "</f>
        <v>Nuevo     </v>
      </c>
      <c r="W509" s="112" t="str">
        <f t="shared" si="268"/>
        <v>Activa     </v>
      </c>
    </row>
    <row r="510" ht="49.5" customHeight="1">
      <c r="A510" s="110" t="s">
        <v>63</v>
      </c>
      <c r="B510" s="110" t="s">
        <v>2215</v>
      </c>
      <c r="C510" s="110"/>
      <c r="D510" s="110"/>
      <c r="E510" s="112" t="s">
        <v>2215</v>
      </c>
      <c r="F510" s="111" t="s">
        <v>2216</v>
      </c>
      <c r="G510" s="110" t="s">
        <v>70</v>
      </c>
      <c r="H510" s="110" t="s">
        <v>681</v>
      </c>
      <c r="I510" s="110" t="s">
        <v>70</v>
      </c>
      <c r="J510" s="112">
        <v>7690.0</v>
      </c>
      <c r="K510" s="113" t="s">
        <v>71</v>
      </c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 t="s">
        <v>72</v>
      </c>
      <c r="W510" s="112" t="s">
        <v>73</v>
      </c>
    </row>
    <row r="511" ht="49.5" customHeight="1">
      <c r="A511" s="110" t="s">
        <v>63</v>
      </c>
      <c r="B511" s="110" t="s">
        <v>2215</v>
      </c>
      <c r="C511" s="110" t="s">
        <v>2217</v>
      </c>
      <c r="D511" s="110" t="s">
        <v>2217</v>
      </c>
      <c r="E511" s="111" t="s">
        <v>2218</v>
      </c>
      <c r="F511" s="114" t="str">
        <f>"     "&amp;F510</f>
        <v>     Short Fut Niño Drb 2.40.36 Liso Az Marino</v>
      </c>
      <c r="G511" s="110" t="s">
        <v>2219</v>
      </c>
      <c r="H511" s="113">
        <v>10.0</v>
      </c>
      <c r="I511" s="110" t="s">
        <v>70</v>
      </c>
      <c r="J511" s="112">
        <f>J510</f>
        <v>7690</v>
      </c>
      <c r="K511" s="110" t="str">
        <f>K510&amp;"     "</f>
        <v>$     </v>
      </c>
      <c r="L511" s="110" t="str">
        <f t="shared" ref="L511:U511" si="269">L510</f>
        <v/>
      </c>
      <c r="M511" s="110" t="str">
        <f t="shared" si="269"/>
        <v/>
      </c>
      <c r="N511" s="110" t="str">
        <f t="shared" si="269"/>
        <v/>
      </c>
      <c r="O511" s="110" t="str">
        <f t="shared" si="269"/>
        <v/>
      </c>
      <c r="P511" s="110" t="str">
        <f t="shared" si="269"/>
        <v/>
      </c>
      <c r="Q511" s="110" t="str">
        <f t="shared" si="269"/>
        <v/>
      </c>
      <c r="R511" s="110" t="str">
        <f t="shared" si="269"/>
        <v/>
      </c>
      <c r="S511" s="110" t="str">
        <f t="shared" si="269"/>
        <v/>
      </c>
      <c r="T511" s="110" t="str">
        <f t="shared" si="269"/>
        <v/>
      </c>
      <c r="U511" s="110" t="str">
        <f t="shared" si="269"/>
        <v/>
      </c>
      <c r="V511" s="110" t="str">
        <f t="shared" ref="V511:W511" si="270">V510&amp;"     "</f>
        <v>Nuevo     </v>
      </c>
      <c r="W511" s="112" t="str">
        <f t="shared" si="270"/>
        <v>Activa     </v>
      </c>
    </row>
    <row r="512" ht="49.5" customHeight="1">
      <c r="A512" s="110" t="s">
        <v>63</v>
      </c>
      <c r="B512" s="110" t="s">
        <v>2215</v>
      </c>
      <c r="C512" s="110" t="s">
        <v>2220</v>
      </c>
      <c r="D512" s="110" t="s">
        <v>2220</v>
      </c>
      <c r="E512" s="111" t="s">
        <v>2221</v>
      </c>
      <c r="F512" s="114" t="str">
        <f>"     "&amp;F510</f>
        <v>     Short Fut Niño Drb 2.40.36 Liso Az Marino</v>
      </c>
      <c r="G512" s="110" t="s">
        <v>2222</v>
      </c>
      <c r="H512" s="113">
        <v>10.0</v>
      </c>
      <c r="I512" s="110" t="s">
        <v>70</v>
      </c>
      <c r="J512" s="112">
        <f>J510</f>
        <v>7690</v>
      </c>
      <c r="K512" s="110" t="str">
        <f>K510&amp;"     "</f>
        <v>$     </v>
      </c>
      <c r="L512" s="110" t="str">
        <f t="shared" ref="L512:U512" si="271">L510</f>
        <v/>
      </c>
      <c r="M512" s="110" t="str">
        <f t="shared" si="271"/>
        <v/>
      </c>
      <c r="N512" s="110" t="str">
        <f t="shared" si="271"/>
        <v/>
      </c>
      <c r="O512" s="110" t="str">
        <f t="shared" si="271"/>
        <v/>
      </c>
      <c r="P512" s="110" t="str">
        <f t="shared" si="271"/>
        <v/>
      </c>
      <c r="Q512" s="110" t="str">
        <f t="shared" si="271"/>
        <v/>
      </c>
      <c r="R512" s="110" t="str">
        <f t="shared" si="271"/>
        <v/>
      </c>
      <c r="S512" s="110" t="str">
        <f t="shared" si="271"/>
        <v/>
      </c>
      <c r="T512" s="110" t="str">
        <f t="shared" si="271"/>
        <v/>
      </c>
      <c r="U512" s="110" t="str">
        <f t="shared" si="271"/>
        <v/>
      </c>
      <c r="V512" s="110" t="str">
        <f t="shared" ref="V512:W512" si="272">V510&amp;"     "</f>
        <v>Nuevo     </v>
      </c>
      <c r="W512" s="112" t="str">
        <f t="shared" si="272"/>
        <v>Activa     </v>
      </c>
    </row>
    <row r="513" ht="49.5" customHeight="1">
      <c r="A513" s="110" t="s">
        <v>63</v>
      </c>
      <c r="B513" s="110" t="s">
        <v>2223</v>
      </c>
      <c r="C513" s="110"/>
      <c r="D513" s="110"/>
      <c r="E513" s="112" t="s">
        <v>2223</v>
      </c>
      <c r="F513" s="111" t="s">
        <v>2224</v>
      </c>
      <c r="G513" s="110" t="s">
        <v>70</v>
      </c>
      <c r="H513" s="110" t="s">
        <v>666</v>
      </c>
      <c r="I513" s="110" t="s">
        <v>70</v>
      </c>
      <c r="J513" s="112">
        <v>7690.0</v>
      </c>
      <c r="K513" s="113" t="s">
        <v>71</v>
      </c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 t="s">
        <v>72</v>
      </c>
      <c r="W513" s="112" t="s">
        <v>73</v>
      </c>
    </row>
    <row r="514" ht="49.5" customHeight="1">
      <c r="A514" s="110" t="s">
        <v>63</v>
      </c>
      <c r="B514" s="110" t="s">
        <v>2223</v>
      </c>
      <c r="C514" s="110" t="s">
        <v>2225</v>
      </c>
      <c r="D514" s="110" t="s">
        <v>2225</v>
      </c>
      <c r="E514" s="111" t="s">
        <v>2226</v>
      </c>
      <c r="F514" s="114" t="str">
        <f>"     "&amp;F513</f>
        <v>     Short Futbol Drb 2.40.32 Liso Rojo</v>
      </c>
      <c r="G514" s="110" t="s">
        <v>2227</v>
      </c>
      <c r="H514" s="113">
        <v>10.0</v>
      </c>
      <c r="I514" s="110" t="s">
        <v>70</v>
      </c>
      <c r="J514" s="112">
        <f>J513</f>
        <v>7690</v>
      </c>
      <c r="K514" s="110" t="str">
        <f>K513&amp;"     "</f>
        <v>$     </v>
      </c>
      <c r="L514" s="110" t="str">
        <f t="shared" ref="L514:U514" si="273">L513</f>
        <v/>
      </c>
      <c r="M514" s="110" t="str">
        <f t="shared" si="273"/>
        <v/>
      </c>
      <c r="N514" s="110" t="str">
        <f t="shared" si="273"/>
        <v/>
      </c>
      <c r="O514" s="110" t="str">
        <f t="shared" si="273"/>
        <v/>
      </c>
      <c r="P514" s="110" t="str">
        <f t="shared" si="273"/>
        <v/>
      </c>
      <c r="Q514" s="110" t="str">
        <f t="shared" si="273"/>
        <v/>
      </c>
      <c r="R514" s="110" t="str">
        <f t="shared" si="273"/>
        <v/>
      </c>
      <c r="S514" s="110" t="str">
        <f t="shared" si="273"/>
        <v/>
      </c>
      <c r="T514" s="110" t="str">
        <f t="shared" si="273"/>
        <v/>
      </c>
      <c r="U514" s="110" t="str">
        <f t="shared" si="273"/>
        <v/>
      </c>
      <c r="V514" s="110" t="str">
        <f t="shared" ref="V514:W514" si="274">V513&amp;"     "</f>
        <v>Nuevo     </v>
      </c>
      <c r="W514" s="112" t="str">
        <f t="shared" si="274"/>
        <v>Activa     </v>
      </c>
    </row>
    <row r="515" ht="49.5" customHeight="1">
      <c r="A515" s="110" t="s">
        <v>63</v>
      </c>
      <c r="B515" s="110" t="s">
        <v>2223</v>
      </c>
      <c r="C515" s="110" t="s">
        <v>2228</v>
      </c>
      <c r="D515" s="110" t="s">
        <v>2228</v>
      </c>
      <c r="E515" s="111" t="s">
        <v>2229</v>
      </c>
      <c r="F515" s="114" t="str">
        <f>"     "&amp;F513</f>
        <v>     Short Futbol Drb 2.40.32 Liso Rojo</v>
      </c>
      <c r="G515" s="110" t="s">
        <v>2230</v>
      </c>
      <c r="H515" s="113">
        <v>10.0</v>
      </c>
      <c r="I515" s="110" t="s">
        <v>70</v>
      </c>
      <c r="J515" s="112">
        <f>J513</f>
        <v>7690</v>
      </c>
      <c r="K515" s="110" t="str">
        <f>K513&amp;"     "</f>
        <v>$     </v>
      </c>
      <c r="L515" s="110" t="str">
        <f t="shared" ref="L515:U515" si="275">L513</f>
        <v/>
      </c>
      <c r="M515" s="110" t="str">
        <f t="shared" si="275"/>
        <v/>
      </c>
      <c r="N515" s="110" t="str">
        <f t="shared" si="275"/>
        <v/>
      </c>
      <c r="O515" s="110" t="str">
        <f t="shared" si="275"/>
        <v/>
      </c>
      <c r="P515" s="110" t="str">
        <f t="shared" si="275"/>
        <v/>
      </c>
      <c r="Q515" s="110" t="str">
        <f t="shared" si="275"/>
        <v/>
      </c>
      <c r="R515" s="110" t="str">
        <f t="shared" si="275"/>
        <v/>
      </c>
      <c r="S515" s="110" t="str">
        <f t="shared" si="275"/>
        <v/>
      </c>
      <c r="T515" s="110" t="str">
        <f t="shared" si="275"/>
        <v/>
      </c>
      <c r="U515" s="110" t="str">
        <f t="shared" si="275"/>
        <v/>
      </c>
      <c r="V515" s="110" t="str">
        <f t="shared" ref="V515:W515" si="276">V513&amp;"     "</f>
        <v>Nuevo     </v>
      </c>
      <c r="W515" s="112" t="str">
        <f t="shared" si="276"/>
        <v>Activa     </v>
      </c>
    </row>
    <row r="516" ht="49.5" customHeight="1">
      <c r="A516" s="110" t="s">
        <v>63</v>
      </c>
      <c r="B516" s="110" t="s">
        <v>2223</v>
      </c>
      <c r="C516" s="110" t="s">
        <v>2231</v>
      </c>
      <c r="D516" s="110" t="s">
        <v>2231</v>
      </c>
      <c r="E516" s="111" t="s">
        <v>2232</v>
      </c>
      <c r="F516" s="114" t="str">
        <f>"     "&amp;F513</f>
        <v>     Short Futbol Drb 2.40.32 Liso Rojo</v>
      </c>
      <c r="G516" s="110" t="s">
        <v>2233</v>
      </c>
      <c r="H516" s="113">
        <v>10.0</v>
      </c>
      <c r="I516" s="110" t="s">
        <v>70</v>
      </c>
      <c r="J516" s="112">
        <f>J513</f>
        <v>7690</v>
      </c>
      <c r="K516" s="110" t="str">
        <f>K513&amp;"     "</f>
        <v>$     </v>
      </c>
      <c r="L516" s="110" t="str">
        <f t="shared" ref="L516:U516" si="277">L513</f>
        <v/>
      </c>
      <c r="M516" s="110" t="str">
        <f t="shared" si="277"/>
        <v/>
      </c>
      <c r="N516" s="110" t="str">
        <f t="shared" si="277"/>
        <v/>
      </c>
      <c r="O516" s="110" t="str">
        <f t="shared" si="277"/>
        <v/>
      </c>
      <c r="P516" s="110" t="str">
        <f t="shared" si="277"/>
        <v/>
      </c>
      <c r="Q516" s="110" t="str">
        <f t="shared" si="277"/>
        <v/>
      </c>
      <c r="R516" s="110" t="str">
        <f t="shared" si="277"/>
        <v/>
      </c>
      <c r="S516" s="110" t="str">
        <f t="shared" si="277"/>
        <v/>
      </c>
      <c r="T516" s="110" t="str">
        <f t="shared" si="277"/>
        <v/>
      </c>
      <c r="U516" s="110" t="str">
        <f t="shared" si="277"/>
        <v/>
      </c>
      <c r="V516" s="110" t="str">
        <f t="shared" ref="V516:W516" si="278">V513&amp;"     "</f>
        <v>Nuevo     </v>
      </c>
      <c r="W516" s="112" t="str">
        <f t="shared" si="278"/>
        <v>Activa     </v>
      </c>
    </row>
    <row r="517" ht="49.5" customHeight="1">
      <c r="A517" s="110" t="s">
        <v>63</v>
      </c>
      <c r="B517" s="110" t="s">
        <v>2223</v>
      </c>
      <c r="C517" s="110" t="s">
        <v>2234</v>
      </c>
      <c r="D517" s="110" t="s">
        <v>2234</v>
      </c>
      <c r="E517" s="111" t="s">
        <v>2235</v>
      </c>
      <c r="F517" s="114" t="str">
        <f>"     "&amp;F513</f>
        <v>     Short Futbol Drb 2.40.32 Liso Rojo</v>
      </c>
      <c r="G517" s="110" t="s">
        <v>2236</v>
      </c>
      <c r="H517" s="113">
        <v>10.0</v>
      </c>
      <c r="I517" s="110" t="s">
        <v>70</v>
      </c>
      <c r="J517" s="112">
        <f>J513</f>
        <v>7690</v>
      </c>
      <c r="K517" s="110" t="str">
        <f>K513&amp;"     "</f>
        <v>$     </v>
      </c>
      <c r="L517" s="110" t="str">
        <f t="shared" ref="L517:U517" si="279">L513</f>
        <v/>
      </c>
      <c r="M517" s="110" t="str">
        <f t="shared" si="279"/>
        <v/>
      </c>
      <c r="N517" s="110" t="str">
        <f t="shared" si="279"/>
        <v/>
      </c>
      <c r="O517" s="110" t="str">
        <f t="shared" si="279"/>
        <v/>
      </c>
      <c r="P517" s="110" t="str">
        <f t="shared" si="279"/>
        <v/>
      </c>
      <c r="Q517" s="110" t="str">
        <f t="shared" si="279"/>
        <v/>
      </c>
      <c r="R517" s="110" t="str">
        <f t="shared" si="279"/>
        <v/>
      </c>
      <c r="S517" s="110" t="str">
        <f t="shared" si="279"/>
        <v/>
      </c>
      <c r="T517" s="110" t="str">
        <f t="shared" si="279"/>
        <v/>
      </c>
      <c r="U517" s="110" t="str">
        <f t="shared" si="279"/>
        <v/>
      </c>
      <c r="V517" s="110" t="str">
        <f t="shared" ref="V517:W517" si="280">V513&amp;"     "</f>
        <v>Nuevo     </v>
      </c>
      <c r="W517" s="112" t="str">
        <f t="shared" si="280"/>
        <v>Activa     </v>
      </c>
    </row>
    <row r="518" ht="49.5" customHeight="1">
      <c r="A518" s="110" t="s">
        <v>63</v>
      </c>
      <c r="B518" s="110" t="s">
        <v>2237</v>
      </c>
      <c r="C518" s="110"/>
      <c r="D518" s="110"/>
      <c r="E518" s="112" t="s">
        <v>2237</v>
      </c>
      <c r="F518" s="111" t="s">
        <v>2238</v>
      </c>
      <c r="G518" s="110" t="s">
        <v>70</v>
      </c>
      <c r="H518" s="110" t="s">
        <v>666</v>
      </c>
      <c r="I518" s="110" t="s">
        <v>70</v>
      </c>
      <c r="J518" s="112">
        <v>20490.0</v>
      </c>
      <c r="K518" s="113" t="s">
        <v>71</v>
      </c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 t="s">
        <v>72</v>
      </c>
      <c r="W518" s="112" t="s">
        <v>73</v>
      </c>
    </row>
    <row r="519" ht="49.5" customHeight="1">
      <c r="A519" s="110" t="s">
        <v>63</v>
      </c>
      <c r="B519" s="110" t="s">
        <v>2237</v>
      </c>
      <c r="C519" s="110" t="s">
        <v>2239</v>
      </c>
      <c r="D519" s="110" t="s">
        <v>2239</v>
      </c>
      <c r="E519" s="111" t="s">
        <v>2240</v>
      </c>
      <c r="F519" s="114" t="str">
        <f>"     "&amp;F518</f>
        <v>     Short Dama C/lycra Azulino</v>
      </c>
      <c r="G519" s="110" t="s">
        <v>202</v>
      </c>
      <c r="H519" s="113">
        <v>10.0</v>
      </c>
      <c r="I519" s="110" t="s">
        <v>70</v>
      </c>
      <c r="J519" s="112">
        <f>J518</f>
        <v>20490</v>
      </c>
      <c r="K519" s="110" t="str">
        <f>K518&amp;"     "</f>
        <v>$     </v>
      </c>
      <c r="L519" s="110" t="str">
        <f t="shared" ref="L519:U519" si="281">L518</f>
        <v/>
      </c>
      <c r="M519" s="110" t="str">
        <f t="shared" si="281"/>
        <v/>
      </c>
      <c r="N519" s="110" t="str">
        <f t="shared" si="281"/>
        <v/>
      </c>
      <c r="O519" s="110" t="str">
        <f t="shared" si="281"/>
        <v/>
      </c>
      <c r="P519" s="110" t="str">
        <f t="shared" si="281"/>
        <v/>
      </c>
      <c r="Q519" s="110" t="str">
        <f t="shared" si="281"/>
        <v/>
      </c>
      <c r="R519" s="110" t="str">
        <f t="shared" si="281"/>
        <v/>
      </c>
      <c r="S519" s="110" t="str">
        <f t="shared" si="281"/>
        <v/>
      </c>
      <c r="T519" s="110" t="str">
        <f t="shared" si="281"/>
        <v/>
      </c>
      <c r="U519" s="110" t="str">
        <f t="shared" si="281"/>
        <v/>
      </c>
      <c r="V519" s="110" t="str">
        <f t="shared" ref="V519:W519" si="282">V518&amp;"     "</f>
        <v>Nuevo     </v>
      </c>
      <c r="W519" s="112" t="str">
        <f t="shared" si="282"/>
        <v>Activa     </v>
      </c>
    </row>
    <row r="520" ht="49.5" customHeight="1">
      <c r="A520" s="110" t="s">
        <v>63</v>
      </c>
      <c r="B520" s="110" t="s">
        <v>2237</v>
      </c>
      <c r="C520" s="110" t="s">
        <v>2241</v>
      </c>
      <c r="D520" s="110" t="s">
        <v>2241</v>
      </c>
      <c r="E520" s="111" t="s">
        <v>2242</v>
      </c>
      <c r="F520" s="114" t="str">
        <f>"     "&amp;F518</f>
        <v>     Short Dama C/lycra Azulino</v>
      </c>
      <c r="G520" s="110" t="s">
        <v>196</v>
      </c>
      <c r="H520" s="113">
        <v>10.0</v>
      </c>
      <c r="I520" s="110" t="s">
        <v>70</v>
      </c>
      <c r="J520" s="112">
        <f>J518</f>
        <v>20490</v>
      </c>
      <c r="K520" s="110" t="str">
        <f>K518&amp;"     "</f>
        <v>$     </v>
      </c>
      <c r="L520" s="110" t="str">
        <f t="shared" ref="L520:U520" si="283">L518</f>
        <v/>
      </c>
      <c r="M520" s="110" t="str">
        <f t="shared" si="283"/>
        <v/>
      </c>
      <c r="N520" s="110" t="str">
        <f t="shared" si="283"/>
        <v/>
      </c>
      <c r="O520" s="110" t="str">
        <f t="shared" si="283"/>
        <v/>
      </c>
      <c r="P520" s="110" t="str">
        <f t="shared" si="283"/>
        <v/>
      </c>
      <c r="Q520" s="110" t="str">
        <f t="shared" si="283"/>
        <v/>
      </c>
      <c r="R520" s="110" t="str">
        <f t="shared" si="283"/>
        <v/>
      </c>
      <c r="S520" s="110" t="str">
        <f t="shared" si="283"/>
        <v/>
      </c>
      <c r="T520" s="110" t="str">
        <f t="shared" si="283"/>
        <v/>
      </c>
      <c r="U520" s="110" t="str">
        <f t="shared" si="283"/>
        <v/>
      </c>
      <c r="V520" s="110" t="str">
        <f t="shared" ref="V520:W520" si="284">V518&amp;"     "</f>
        <v>Nuevo     </v>
      </c>
      <c r="W520" s="112" t="str">
        <f t="shared" si="284"/>
        <v>Activa     </v>
      </c>
    </row>
    <row r="521" ht="49.5" customHeight="1">
      <c r="A521" s="110" t="s">
        <v>63</v>
      </c>
      <c r="B521" s="110" t="s">
        <v>2237</v>
      </c>
      <c r="C521" s="110" t="s">
        <v>2243</v>
      </c>
      <c r="D521" s="110" t="s">
        <v>2243</v>
      </c>
      <c r="E521" s="111" t="s">
        <v>2244</v>
      </c>
      <c r="F521" s="114" t="str">
        <f>"     "&amp;F518</f>
        <v>     Short Dama C/lycra Azulino</v>
      </c>
      <c r="G521" s="110" t="s">
        <v>199</v>
      </c>
      <c r="H521" s="113">
        <v>10.0</v>
      </c>
      <c r="I521" s="110" t="s">
        <v>70</v>
      </c>
      <c r="J521" s="112">
        <f>J518</f>
        <v>20490</v>
      </c>
      <c r="K521" s="110" t="str">
        <f>K518&amp;"     "</f>
        <v>$     </v>
      </c>
      <c r="L521" s="110" t="str">
        <f t="shared" ref="L521:U521" si="285">L518</f>
        <v/>
      </c>
      <c r="M521" s="110" t="str">
        <f t="shared" si="285"/>
        <v/>
      </c>
      <c r="N521" s="110" t="str">
        <f t="shared" si="285"/>
        <v/>
      </c>
      <c r="O521" s="110" t="str">
        <f t="shared" si="285"/>
        <v/>
      </c>
      <c r="P521" s="110" t="str">
        <f t="shared" si="285"/>
        <v/>
      </c>
      <c r="Q521" s="110" t="str">
        <f t="shared" si="285"/>
        <v/>
      </c>
      <c r="R521" s="110" t="str">
        <f t="shared" si="285"/>
        <v/>
      </c>
      <c r="S521" s="110" t="str">
        <f t="shared" si="285"/>
        <v/>
      </c>
      <c r="T521" s="110" t="str">
        <f t="shared" si="285"/>
        <v/>
      </c>
      <c r="U521" s="110" t="str">
        <f t="shared" si="285"/>
        <v/>
      </c>
      <c r="V521" s="110" t="str">
        <f t="shared" ref="V521:W521" si="286">V518&amp;"     "</f>
        <v>Nuevo     </v>
      </c>
      <c r="W521" s="112" t="str">
        <f t="shared" si="286"/>
        <v>Activa     </v>
      </c>
    </row>
    <row r="522" ht="49.5" customHeight="1">
      <c r="A522" s="110" t="s">
        <v>63</v>
      </c>
      <c r="B522" s="110" t="s">
        <v>2237</v>
      </c>
      <c r="C522" s="110" t="s">
        <v>2245</v>
      </c>
      <c r="D522" s="110" t="s">
        <v>2245</v>
      </c>
      <c r="E522" s="111" t="s">
        <v>2246</v>
      </c>
      <c r="F522" s="114" t="str">
        <f>"     "&amp;F518</f>
        <v>     Short Dama C/lycra Azulino</v>
      </c>
      <c r="G522" s="110" t="s">
        <v>193</v>
      </c>
      <c r="H522" s="113">
        <v>10.0</v>
      </c>
      <c r="I522" s="110" t="s">
        <v>70</v>
      </c>
      <c r="J522" s="112">
        <f>J518</f>
        <v>20490</v>
      </c>
      <c r="K522" s="110" t="str">
        <f>K518&amp;"     "</f>
        <v>$     </v>
      </c>
      <c r="L522" s="110" t="str">
        <f t="shared" ref="L522:U522" si="287">L518</f>
        <v/>
      </c>
      <c r="M522" s="110" t="str">
        <f t="shared" si="287"/>
        <v/>
      </c>
      <c r="N522" s="110" t="str">
        <f t="shared" si="287"/>
        <v/>
      </c>
      <c r="O522" s="110" t="str">
        <f t="shared" si="287"/>
        <v/>
      </c>
      <c r="P522" s="110" t="str">
        <f t="shared" si="287"/>
        <v/>
      </c>
      <c r="Q522" s="110" t="str">
        <f t="shared" si="287"/>
        <v/>
      </c>
      <c r="R522" s="110" t="str">
        <f t="shared" si="287"/>
        <v/>
      </c>
      <c r="S522" s="110" t="str">
        <f t="shared" si="287"/>
        <v/>
      </c>
      <c r="T522" s="110" t="str">
        <f t="shared" si="287"/>
        <v/>
      </c>
      <c r="U522" s="110" t="str">
        <f t="shared" si="287"/>
        <v/>
      </c>
      <c r="V522" s="110" t="str">
        <f t="shared" ref="V522:W522" si="288">V518&amp;"     "</f>
        <v>Nuevo     </v>
      </c>
      <c r="W522" s="112" t="str">
        <f t="shared" si="288"/>
        <v>Activa     </v>
      </c>
    </row>
    <row r="523" ht="49.5" customHeight="1">
      <c r="A523" s="110" t="s">
        <v>63</v>
      </c>
      <c r="B523" s="110" t="s">
        <v>2247</v>
      </c>
      <c r="C523" s="110"/>
      <c r="D523" s="110"/>
      <c r="E523" s="112" t="s">
        <v>2247</v>
      </c>
      <c r="F523" s="111" t="s">
        <v>2248</v>
      </c>
      <c r="G523" s="110" t="s">
        <v>70</v>
      </c>
      <c r="H523" s="110" t="s">
        <v>666</v>
      </c>
      <c r="I523" s="110" t="s">
        <v>70</v>
      </c>
      <c r="J523" s="112">
        <v>7190.0</v>
      </c>
      <c r="K523" s="113" t="s">
        <v>71</v>
      </c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 t="s">
        <v>72</v>
      </c>
      <c r="W523" s="112" t="s">
        <v>73</v>
      </c>
    </row>
    <row r="524" ht="49.5" customHeight="1">
      <c r="A524" s="110" t="s">
        <v>63</v>
      </c>
      <c r="B524" s="110" t="s">
        <v>2247</v>
      </c>
      <c r="C524" s="110" t="s">
        <v>2249</v>
      </c>
      <c r="D524" s="110" t="s">
        <v>2249</v>
      </c>
      <c r="E524" s="111" t="s">
        <v>2250</v>
      </c>
      <c r="F524" s="114" t="str">
        <f>"     "&amp;F523</f>
        <v>     Short Dama Drb 2.40.39 - Liso Blanco</v>
      </c>
      <c r="G524" s="110" t="s">
        <v>2195</v>
      </c>
      <c r="H524" s="113">
        <v>10.0</v>
      </c>
      <c r="I524" s="110" t="s">
        <v>70</v>
      </c>
      <c r="J524" s="112">
        <f>J523</f>
        <v>7190</v>
      </c>
      <c r="K524" s="110" t="str">
        <f>K523&amp;"     "</f>
        <v>$     </v>
      </c>
      <c r="L524" s="110" t="str">
        <f t="shared" ref="L524:U524" si="289">L523</f>
        <v/>
      </c>
      <c r="M524" s="110" t="str">
        <f t="shared" si="289"/>
        <v/>
      </c>
      <c r="N524" s="110" t="str">
        <f t="shared" si="289"/>
        <v/>
      </c>
      <c r="O524" s="110" t="str">
        <f t="shared" si="289"/>
        <v/>
      </c>
      <c r="P524" s="110" t="str">
        <f t="shared" si="289"/>
        <v/>
      </c>
      <c r="Q524" s="110" t="str">
        <f t="shared" si="289"/>
        <v/>
      </c>
      <c r="R524" s="110" t="str">
        <f t="shared" si="289"/>
        <v/>
      </c>
      <c r="S524" s="110" t="str">
        <f t="shared" si="289"/>
        <v/>
      </c>
      <c r="T524" s="110" t="str">
        <f t="shared" si="289"/>
        <v/>
      </c>
      <c r="U524" s="110" t="str">
        <f t="shared" si="289"/>
        <v/>
      </c>
      <c r="V524" s="110" t="str">
        <f t="shared" ref="V524:W524" si="290">V523&amp;"     "</f>
        <v>Nuevo     </v>
      </c>
      <c r="W524" s="112" t="str">
        <f t="shared" si="290"/>
        <v>Activa     </v>
      </c>
    </row>
    <row r="525" ht="49.5" customHeight="1">
      <c r="A525" s="110" t="s">
        <v>63</v>
      </c>
      <c r="B525" s="110" t="s">
        <v>2247</v>
      </c>
      <c r="C525" s="110" t="s">
        <v>2251</v>
      </c>
      <c r="D525" s="110" t="s">
        <v>2251</v>
      </c>
      <c r="E525" s="111" t="s">
        <v>2252</v>
      </c>
      <c r="F525" s="114" t="str">
        <f>"     "&amp;F523</f>
        <v>     Short Dama Drb 2.40.39 - Liso Blanco</v>
      </c>
      <c r="G525" s="110" t="s">
        <v>2201</v>
      </c>
      <c r="H525" s="113">
        <v>10.0</v>
      </c>
      <c r="I525" s="110" t="s">
        <v>70</v>
      </c>
      <c r="J525" s="112">
        <f>J523</f>
        <v>7190</v>
      </c>
      <c r="K525" s="110" t="str">
        <f>K523&amp;"     "</f>
        <v>$     </v>
      </c>
      <c r="L525" s="110" t="str">
        <f t="shared" ref="L525:U525" si="291">L523</f>
        <v/>
      </c>
      <c r="M525" s="110" t="str">
        <f t="shared" si="291"/>
        <v/>
      </c>
      <c r="N525" s="110" t="str">
        <f t="shared" si="291"/>
        <v/>
      </c>
      <c r="O525" s="110" t="str">
        <f t="shared" si="291"/>
        <v/>
      </c>
      <c r="P525" s="110" t="str">
        <f t="shared" si="291"/>
        <v/>
      </c>
      <c r="Q525" s="110" t="str">
        <f t="shared" si="291"/>
        <v/>
      </c>
      <c r="R525" s="110" t="str">
        <f t="shared" si="291"/>
        <v/>
      </c>
      <c r="S525" s="110" t="str">
        <f t="shared" si="291"/>
        <v/>
      </c>
      <c r="T525" s="110" t="str">
        <f t="shared" si="291"/>
        <v/>
      </c>
      <c r="U525" s="110" t="str">
        <f t="shared" si="291"/>
        <v/>
      </c>
      <c r="V525" s="110" t="str">
        <f t="shared" ref="V525:W525" si="292">V523&amp;"     "</f>
        <v>Nuevo     </v>
      </c>
      <c r="W525" s="112" t="str">
        <f t="shared" si="292"/>
        <v>Activa     </v>
      </c>
    </row>
    <row r="526" ht="49.5" customHeight="1">
      <c r="A526" s="110" t="s">
        <v>63</v>
      </c>
      <c r="B526" s="110" t="s">
        <v>2247</v>
      </c>
      <c r="C526" s="110" t="s">
        <v>2253</v>
      </c>
      <c r="D526" s="110" t="s">
        <v>2253</v>
      </c>
      <c r="E526" s="111" t="s">
        <v>2254</v>
      </c>
      <c r="F526" s="114" t="str">
        <f>"     "&amp;F523</f>
        <v>     Short Dama Drb 2.40.39 - Liso Blanco</v>
      </c>
      <c r="G526" s="110" t="s">
        <v>2198</v>
      </c>
      <c r="H526" s="113">
        <v>10.0</v>
      </c>
      <c r="I526" s="110" t="s">
        <v>70</v>
      </c>
      <c r="J526" s="112">
        <f>J523</f>
        <v>7190</v>
      </c>
      <c r="K526" s="110" t="str">
        <f>K523&amp;"     "</f>
        <v>$     </v>
      </c>
      <c r="L526" s="110" t="str">
        <f t="shared" ref="L526:U526" si="293">L523</f>
        <v/>
      </c>
      <c r="M526" s="110" t="str">
        <f t="shared" si="293"/>
        <v/>
      </c>
      <c r="N526" s="110" t="str">
        <f t="shared" si="293"/>
        <v/>
      </c>
      <c r="O526" s="110" t="str">
        <f t="shared" si="293"/>
        <v/>
      </c>
      <c r="P526" s="110" t="str">
        <f t="shared" si="293"/>
        <v/>
      </c>
      <c r="Q526" s="110" t="str">
        <f t="shared" si="293"/>
        <v/>
      </c>
      <c r="R526" s="110" t="str">
        <f t="shared" si="293"/>
        <v/>
      </c>
      <c r="S526" s="110" t="str">
        <f t="shared" si="293"/>
        <v/>
      </c>
      <c r="T526" s="110" t="str">
        <f t="shared" si="293"/>
        <v/>
      </c>
      <c r="U526" s="110" t="str">
        <f t="shared" si="293"/>
        <v/>
      </c>
      <c r="V526" s="110" t="str">
        <f t="shared" ref="V526:W526" si="294">V523&amp;"     "</f>
        <v>Nuevo     </v>
      </c>
      <c r="W526" s="112" t="str">
        <f t="shared" si="294"/>
        <v>Activa     </v>
      </c>
    </row>
    <row r="527" ht="49.5" customHeight="1">
      <c r="A527" s="110" t="s">
        <v>63</v>
      </c>
      <c r="B527" s="110" t="s">
        <v>2247</v>
      </c>
      <c r="C527" s="110" t="s">
        <v>2255</v>
      </c>
      <c r="D527" s="110" t="s">
        <v>2255</v>
      </c>
      <c r="E527" s="111" t="s">
        <v>2256</v>
      </c>
      <c r="F527" s="114" t="str">
        <f>"     "&amp;F523</f>
        <v>     Short Dama Drb 2.40.39 - Liso Blanco</v>
      </c>
      <c r="G527" s="110" t="s">
        <v>2204</v>
      </c>
      <c r="H527" s="113">
        <v>10.0</v>
      </c>
      <c r="I527" s="110" t="s">
        <v>70</v>
      </c>
      <c r="J527" s="112">
        <f>J523</f>
        <v>7190</v>
      </c>
      <c r="K527" s="110" t="str">
        <f>K523&amp;"     "</f>
        <v>$     </v>
      </c>
      <c r="L527" s="110" t="str">
        <f t="shared" ref="L527:U527" si="295">L523</f>
        <v/>
      </c>
      <c r="M527" s="110" t="str">
        <f t="shared" si="295"/>
        <v/>
      </c>
      <c r="N527" s="110" t="str">
        <f t="shared" si="295"/>
        <v/>
      </c>
      <c r="O527" s="110" t="str">
        <f t="shared" si="295"/>
        <v/>
      </c>
      <c r="P527" s="110" t="str">
        <f t="shared" si="295"/>
        <v/>
      </c>
      <c r="Q527" s="110" t="str">
        <f t="shared" si="295"/>
        <v/>
      </c>
      <c r="R527" s="110" t="str">
        <f t="shared" si="295"/>
        <v/>
      </c>
      <c r="S527" s="110" t="str">
        <f t="shared" si="295"/>
        <v/>
      </c>
      <c r="T527" s="110" t="str">
        <f t="shared" si="295"/>
        <v/>
      </c>
      <c r="U527" s="110" t="str">
        <f t="shared" si="295"/>
        <v/>
      </c>
      <c r="V527" s="110" t="str">
        <f t="shared" ref="V527:W527" si="296">V523&amp;"     "</f>
        <v>Nuevo     </v>
      </c>
      <c r="W527" s="112" t="str">
        <f t="shared" si="296"/>
        <v>Activa     </v>
      </c>
    </row>
    <row r="528" ht="49.5" customHeight="1">
      <c r="A528" s="110" t="s">
        <v>2257</v>
      </c>
      <c r="B528" s="110" t="s">
        <v>2258</v>
      </c>
      <c r="C528" s="110" t="s">
        <v>2259</v>
      </c>
      <c r="D528" s="110"/>
      <c r="E528" s="111" t="s">
        <v>2260</v>
      </c>
      <c r="F528" s="111" t="s">
        <v>2261</v>
      </c>
      <c r="G528" s="110" t="s">
        <v>2262</v>
      </c>
      <c r="H528" s="113">
        <v>10.0</v>
      </c>
      <c r="I528" s="110" t="s">
        <v>70</v>
      </c>
      <c r="J528" s="112">
        <v>5490.0</v>
      </c>
      <c r="K528" s="113" t="s">
        <v>71</v>
      </c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 t="s">
        <v>72</v>
      </c>
      <c r="W528" s="112" t="s">
        <v>73</v>
      </c>
    </row>
    <row r="529" ht="49.5" customHeight="1">
      <c r="A529" s="110" t="s">
        <v>2263</v>
      </c>
      <c r="B529" s="110" t="s">
        <v>2264</v>
      </c>
      <c r="C529" s="110" t="s">
        <v>2265</v>
      </c>
      <c r="D529" s="110"/>
      <c r="E529" s="111" t="s">
        <v>2266</v>
      </c>
      <c r="F529" s="111" t="s">
        <v>2267</v>
      </c>
      <c r="G529" s="110" t="s">
        <v>2267</v>
      </c>
      <c r="H529" s="113">
        <v>30.0</v>
      </c>
      <c r="I529" s="110" t="s">
        <v>70</v>
      </c>
      <c r="J529" s="112">
        <v>30190.0</v>
      </c>
      <c r="K529" s="113" t="s">
        <v>71</v>
      </c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 t="s">
        <v>72</v>
      </c>
      <c r="W529" s="112" t="s">
        <v>73</v>
      </c>
    </row>
    <row r="530" ht="49.5" customHeight="1">
      <c r="A530" s="110" t="s">
        <v>2268</v>
      </c>
      <c r="B530" s="110" t="s">
        <v>2269</v>
      </c>
      <c r="C530" s="110" t="s">
        <v>2270</v>
      </c>
      <c r="D530" s="110"/>
      <c r="E530" s="111" t="s">
        <v>2271</v>
      </c>
      <c r="F530" s="111" t="s">
        <v>2272</v>
      </c>
      <c r="G530" s="110" t="s">
        <v>2272</v>
      </c>
      <c r="H530" s="113">
        <v>30.0</v>
      </c>
      <c r="I530" s="110" t="s">
        <v>70</v>
      </c>
      <c r="J530" s="112">
        <v>7390.0</v>
      </c>
      <c r="K530" s="113" t="s">
        <v>71</v>
      </c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 t="s">
        <v>72</v>
      </c>
      <c r="W530" s="112" t="s">
        <v>73</v>
      </c>
    </row>
    <row r="531" ht="49.5" customHeight="1">
      <c r="A531" s="110" t="s">
        <v>2273</v>
      </c>
      <c r="B531" s="110" t="s">
        <v>2274</v>
      </c>
      <c r="C531" s="110" t="s">
        <v>2275</v>
      </c>
      <c r="D531" s="110"/>
      <c r="E531" s="111" t="s">
        <v>2276</v>
      </c>
      <c r="F531" s="111" t="s">
        <v>2277</v>
      </c>
      <c r="G531" s="110" t="s">
        <v>2277</v>
      </c>
      <c r="H531" s="113">
        <v>30.0</v>
      </c>
      <c r="I531" s="110" t="s">
        <v>70</v>
      </c>
      <c r="J531" s="112">
        <v>10790.0</v>
      </c>
      <c r="K531" s="113" t="s">
        <v>71</v>
      </c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 t="s">
        <v>72</v>
      </c>
      <c r="W531" s="112" t="s">
        <v>73</v>
      </c>
    </row>
    <row r="532" ht="49.5" customHeight="1">
      <c r="A532" s="110" t="s">
        <v>2278</v>
      </c>
      <c r="B532" s="110" t="s">
        <v>2279</v>
      </c>
      <c r="C532" s="110" t="s">
        <v>2280</v>
      </c>
      <c r="D532" s="110"/>
      <c r="E532" s="111" t="s">
        <v>813</v>
      </c>
      <c r="F532" s="111" t="s">
        <v>2281</v>
      </c>
      <c r="G532" s="110" t="s">
        <v>704</v>
      </c>
      <c r="H532" s="113">
        <v>30.0</v>
      </c>
      <c r="I532" s="110" t="s">
        <v>70</v>
      </c>
      <c r="J532" s="112">
        <v>4490.0</v>
      </c>
      <c r="K532" s="113" t="s">
        <v>71</v>
      </c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 t="s">
        <v>72</v>
      </c>
      <c r="W532" s="112" t="s">
        <v>73</v>
      </c>
    </row>
    <row r="533" ht="49.5" customHeight="1">
      <c r="A533" s="110" t="s">
        <v>2282</v>
      </c>
      <c r="B533" s="110" t="s">
        <v>2283</v>
      </c>
      <c r="C533" s="110" t="s">
        <v>2284</v>
      </c>
      <c r="D533" s="110"/>
      <c r="E533" s="111" t="s">
        <v>2285</v>
      </c>
      <c r="F533" s="111" t="s">
        <v>2286</v>
      </c>
      <c r="G533" s="110" t="s">
        <v>2286</v>
      </c>
      <c r="H533" s="113">
        <v>30.0</v>
      </c>
      <c r="I533" s="110" t="s">
        <v>70</v>
      </c>
      <c r="J533" s="112">
        <v>39590.0</v>
      </c>
      <c r="K533" s="113" t="s">
        <v>71</v>
      </c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 t="s">
        <v>72</v>
      </c>
      <c r="W533" s="112" t="s">
        <v>73</v>
      </c>
    </row>
    <row r="534" ht="49.5" customHeight="1">
      <c r="A534" s="110" t="s">
        <v>2287</v>
      </c>
      <c r="B534" s="110" t="s">
        <v>2288</v>
      </c>
      <c r="C534" s="110" t="s">
        <v>2289</v>
      </c>
      <c r="D534" s="110"/>
      <c r="E534" s="111" t="s">
        <v>2290</v>
      </c>
      <c r="F534" s="111" t="s">
        <v>2291</v>
      </c>
      <c r="G534" s="110" t="s">
        <v>752</v>
      </c>
      <c r="H534" s="113">
        <v>30.0</v>
      </c>
      <c r="I534" s="110" t="s">
        <v>70</v>
      </c>
      <c r="J534" s="112">
        <v>33390.0</v>
      </c>
      <c r="K534" s="113" t="s">
        <v>71</v>
      </c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 t="s">
        <v>72</v>
      </c>
      <c r="W534" s="112" t="s">
        <v>73</v>
      </c>
    </row>
    <row r="535" ht="49.5" customHeight="1">
      <c r="A535" s="110" t="s">
        <v>2292</v>
      </c>
      <c r="B535" s="110" t="s">
        <v>2293</v>
      </c>
      <c r="C535" s="110" t="s">
        <v>2294</v>
      </c>
      <c r="D535" s="110"/>
      <c r="E535" s="111" t="s">
        <v>2295</v>
      </c>
      <c r="F535" s="111" t="s">
        <v>2296</v>
      </c>
      <c r="G535" s="110" t="s">
        <v>165</v>
      </c>
      <c r="H535" s="113">
        <v>10.0</v>
      </c>
      <c r="I535" s="110" t="s">
        <v>70</v>
      </c>
      <c r="J535" s="112">
        <v>18990.0</v>
      </c>
      <c r="K535" s="113" t="s">
        <v>71</v>
      </c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 t="s">
        <v>72</v>
      </c>
      <c r="W535" s="112" t="s">
        <v>73</v>
      </c>
    </row>
    <row r="536" ht="49.5" customHeight="1">
      <c r="A536" s="110" t="s">
        <v>63</v>
      </c>
      <c r="B536" s="110" t="s">
        <v>2297</v>
      </c>
      <c r="C536" s="110"/>
      <c r="D536" s="110"/>
      <c r="E536" s="112" t="s">
        <v>63</v>
      </c>
      <c r="F536" s="111" t="s">
        <v>2298</v>
      </c>
      <c r="G536" s="110" t="s">
        <v>70</v>
      </c>
      <c r="H536" s="110" t="s">
        <v>666</v>
      </c>
      <c r="I536" s="110" t="s">
        <v>70</v>
      </c>
      <c r="J536" s="112">
        <v>13590.0</v>
      </c>
      <c r="K536" s="113" t="s">
        <v>71</v>
      </c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 t="s">
        <v>72</v>
      </c>
      <c r="W536" s="112" t="s">
        <v>73</v>
      </c>
    </row>
    <row r="537" ht="49.5" customHeight="1">
      <c r="A537" s="110" t="s">
        <v>63</v>
      </c>
      <c r="B537" s="110" t="s">
        <v>2297</v>
      </c>
      <c r="C537" s="110" t="s">
        <v>2299</v>
      </c>
      <c r="D537" s="110" t="s">
        <v>2299</v>
      </c>
      <c r="E537" s="111" t="s">
        <v>2300</v>
      </c>
      <c r="F537" s="114" t="str">
        <f>"     "&amp;F536</f>
        <v>     Guante Box Ecco 10 Oz Junior Blu-v.00.08</v>
      </c>
      <c r="G537" s="110" t="s">
        <v>793</v>
      </c>
      <c r="H537" s="113">
        <v>10.0</v>
      </c>
      <c r="I537" s="110" t="s">
        <v>70</v>
      </c>
      <c r="J537" s="112">
        <f>J536</f>
        <v>13590</v>
      </c>
      <c r="K537" s="110" t="str">
        <f>K536&amp;"     "</f>
        <v>$     </v>
      </c>
      <c r="L537" s="110" t="str">
        <f t="shared" ref="L537:U537" si="297">L536</f>
        <v/>
      </c>
      <c r="M537" s="110" t="str">
        <f t="shared" si="297"/>
        <v/>
      </c>
      <c r="N537" s="110" t="str">
        <f t="shared" si="297"/>
        <v/>
      </c>
      <c r="O537" s="110" t="str">
        <f t="shared" si="297"/>
        <v/>
      </c>
      <c r="P537" s="110" t="str">
        <f t="shared" si="297"/>
        <v/>
      </c>
      <c r="Q537" s="110" t="str">
        <f t="shared" si="297"/>
        <v/>
      </c>
      <c r="R537" s="110" t="str">
        <f t="shared" si="297"/>
        <v/>
      </c>
      <c r="S537" s="110" t="str">
        <f t="shared" si="297"/>
        <v/>
      </c>
      <c r="T537" s="110" t="str">
        <f t="shared" si="297"/>
        <v/>
      </c>
      <c r="U537" s="110" t="str">
        <f t="shared" si="297"/>
        <v/>
      </c>
      <c r="V537" s="110" t="str">
        <f t="shared" ref="V537:W537" si="298">V536&amp;"     "</f>
        <v>Nuevo     </v>
      </c>
      <c r="W537" s="112" t="str">
        <f t="shared" si="298"/>
        <v>Activa     </v>
      </c>
    </row>
    <row r="538" ht="49.5" customHeight="1">
      <c r="A538" s="110" t="s">
        <v>63</v>
      </c>
      <c r="B538" s="110" t="s">
        <v>2297</v>
      </c>
      <c r="C538" s="110" t="s">
        <v>2301</v>
      </c>
      <c r="D538" s="110" t="s">
        <v>2301</v>
      </c>
      <c r="E538" s="111" t="s">
        <v>2302</v>
      </c>
      <c r="F538" s="114" t="str">
        <f>"     "&amp;F536</f>
        <v>     Guante Box Ecco 10 Oz Junior Blu-v.00.08</v>
      </c>
      <c r="G538" s="110" t="s">
        <v>796</v>
      </c>
      <c r="H538" s="113">
        <v>10.0</v>
      </c>
      <c r="I538" s="110" t="s">
        <v>70</v>
      </c>
      <c r="J538" s="112">
        <f>J536</f>
        <v>13590</v>
      </c>
      <c r="K538" s="110" t="str">
        <f>K536&amp;"     "</f>
        <v>$     </v>
      </c>
      <c r="L538" s="110" t="str">
        <f t="shared" ref="L538:U538" si="299">L536</f>
        <v/>
      </c>
      <c r="M538" s="110" t="str">
        <f t="shared" si="299"/>
        <v/>
      </c>
      <c r="N538" s="110" t="str">
        <f t="shared" si="299"/>
        <v/>
      </c>
      <c r="O538" s="110" t="str">
        <f t="shared" si="299"/>
        <v/>
      </c>
      <c r="P538" s="110" t="str">
        <f t="shared" si="299"/>
        <v/>
      </c>
      <c r="Q538" s="110" t="str">
        <f t="shared" si="299"/>
        <v/>
      </c>
      <c r="R538" s="110" t="str">
        <f t="shared" si="299"/>
        <v/>
      </c>
      <c r="S538" s="110" t="str">
        <f t="shared" si="299"/>
        <v/>
      </c>
      <c r="T538" s="110" t="str">
        <f t="shared" si="299"/>
        <v/>
      </c>
      <c r="U538" s="110" t="str">
        <f t="shared" si="299"/>
        <v/>
      </c>
      <c r="V538" s="110" t="str">
        <f t="shared" ref="V538:W538" si="300">V536&amp;"     "</f>
        <v>Nuevo     </v>
      </c>
      <c r="W538" s="112" t="str">
        <f t="shared" si="300"/>
        <v>Activa     </v>
      </c>
    </row>
    <row r="539" ht="49.5" customHeight="1">
      <c r="A539" s="110" t="s">
        <v>63</v>
      </c>
      <c r="B539" s="110" t="s">
        <v>2297</v>
      </c>
      <c r="C539" s="110" t="s">
        <v>2303</v>
      </c>
      <c r="D539" s="110" t="s">
        <v>2303</v>
      </c>
      <c r="E539" s="111" t="s">
        <v>2304</v>
      </c>
      <c r="F539" s="114" t="str">
        <f>"     "&amp;F536</f>
        <v>     Guante Box Ecco 10 Oz Junior Blu-v.00.08</v>
      </c>
      <c r="G539" s="110" t="s">
        <v>799</v>
      </c>
      <c r="H539" s="113">
        <v>10.0</v>
      </c>
      <c r="I539" s="110" t="s">
        <v>70</v>
      </c>
      <c r="J539" s="112">
        <f>J536</f>
        <v>13590</v>
      </c>
      <c r="K539" s="110" t="str">
        <f>K536&amp;"     "</f>
        <v>$     </v>
      </c>
      <c r="L539" s="110" t="str">
        <f t="shared" ref="L539:U539" si="301">L536</f>
        <v/>
      </c>
      <c r="M539" s="110" t="str">
        <f t="shared" si="301"/>
        <v/>
      </c>
      <c r="N539" s="110" t="str">
        <f t="shared" si="301"/>
        <v/>
      </c>
      <c r="O539" s="110" t="str">
        <f t="shared" si="301"/>
        <v/>
      </c>
      <c r="P539" s="110" t="str">
        <f t="shared" si="301"/>
        <v/>
      </c>
      <c r="Q539" s="110" t="str">
        <f t="shared" si="301"/>
        <v/>
      </c>
      <c r="R539" s="110" t="str">
        <f t="shared" si="301"/>
        <v/>
      </c>
      <c r="S539" s="110" t="str">
        <f t="shared" si="301"/>
        <v/>
      </c>
      <c r="T539" s="110" t="str">
        <f t="shared" si="301"/>
        <v/>
      </c>
      <c r="U539" s="110" t="str">
        <f t="shared" si="301"/>
        <v/>
      </c>
      <c r="V539" s="110" t="str">
        <f t="shared" ref="V539:W539" si="302">V536&amp;"     "</f>
        <v>Nuevo     </v>
      </c>
      <c r="W539" s="112" t="str">
        <f t="shared" si="302"/>
        <v>Activa     </v>
      </c>
    </row>
    <row r="540" ht="49.5" customHeight="1">
      <c r="A540" s="110" t="s">
        <v>63</v>
      </c>
      <c r="B540" s="110" t="s">
        <v>2297</v>
      </c>
      <c r="C540" s="110" t="s">
        <v>2305</v>
      </c>
      <c r="D540" s="110" t="s">
        <v>2305</v>
      </c>
      <c r="E540" s="111" t="s">
        <v>2306</v>
      </c>
      <c r="F540" s="114" t="str">
        <f>"     "&amp;F536</f>
        <v>     Guante Box Ecco 10 Oz Junior Blu-v.00.08</v>
      </c>
      <c r="G540" s="110" t="s">
        <v>2307</v>
      </c>
      <c r="H540" s="113">
        <v>10.0</v>
      </c>
      <c r="I540" s="110" t="s">
        <v>70</v>
      </c>
      <c r="J540" s="112">
        <f>J536</f>
        <v>13590</v>
      </c>
      <c r="K540" s="110" t="str">
        <f>K536&amp;"     "</f>
        <v>$     </v>
      </c>
      <c r="L540" s="110" t="str">
        <f t="shared" ref="L540:U540" si="303">L536</f>
        <v/>
      </c>
      <c r="M540" s="110" t="str">
        <f t="shared" si="303"/>
        <v/>
      </c>
      <c r="N540" s="110" t="str">
        <f t="shared" si="303"/>
        <v/>
      </c>
      <c r="O540" s="110" t="str">
        <f t="shared" si="303"/>
        <v/>
      </c>
      <c r="P540" s="110" t="str">
        <f t="shared" si="303"/>
        <v/>
      </c>
      <c r="Q540" s="110" t="str">
        <f t="shared" si="303"/>
        <v/>
      </c>
      <c r="R540" s="110" t="str">
        <f t="shared" si="303"/>
        <v/>
      </c>
      <c r="S540" s="110" t="str">
        <f t="shared" si="303"/>
        <v/>
      </c>
      <c r="T540" s="110" t="str">
        <f t="shared" si="303"/>
        <v/>
      </c>
      <c r="U540" s="110" t="str">
        <f t="shared" si="303"/>
        <v/>
      </c>
      <c r="V540" s="110" t="str">
        <f t="shared" ref="V540:W540" si="304">V536&amp;"     "</f>
        <v>Nuevo     </v>
      </c>
      <c r="W540" s="112" t="str">
        <f t="shared" si="304"/>
        <v>Activa     </v>
      </c>
    </row>
    <row r="541" ht="49.5" customHeight="1">
      <c r="A541" s="110" t="s">
        <v>63</v>
      </c>
      <c r="B541" s="110" t="s">
        <v>2308</v>
      </c>
      <c r="C541" s="110"/>
      <c r="D541" s="110"/>
      <c r="E541" s="112" t="s">
        <v>63</v>
      </c>
      <c r="F541" s="111" t="s">
        <v>2309</v>
      </c>
      <c r="G541" s="110" t="s">
        <v>70</v>
      </c>
      <c r="H541" s="110" t="s">
        <v>666</v>
      </c>
      <c r="I541" s="110" t="s">
        <v>70</v>
      </c>
      <c r="J541" s="112">
        <v>26990.0</v>
      </c>
      <c r="K541" s="113" t="s">
        <v>71</v>
      </c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 t="s">
        <v>72</v>
      </c>
      <c r="W541" s="112" t="s">
        <v>73</v>
      </c>
    </row>
    <row r="542" ht="49.5" customHeight="1">
      <c r="A542" s="110" t="s">
        <v>63</v>
      </c>
      <c r="B542" s="110" t="s">
        <v>2308</v>
      </c>
      <c r="C542" s="110" t="s">
        <v>2310</v>
      </c>
      <c r="D542" s="110" t="s">
        <v>2310</v>
      </c>
      <c r="E542" s="111" t="s">
        <v>2311</v>
      </c>
      <c r="F542" s="114" t="str">
        <f>"     "&amp;F541</f>
        <v>     Miton Karate Drb V.03.01</v>
      </c>
      <c r="G542" s="110" t="s">
        <v>766</v>
      </c>
      <c r="H542" s="113">
        <v>10.0</v>
      </c>
      <c r="I542" s="110" t="s">
        <v>70</v>
      </c>
      <c r="J542" s="112">
        <f>J541</f>
        <v>26990</v>
      </c>
      <c r="K542" s="110" t="str">
        <f>K541&amp;"     "</f>
        <v>$     </v>
      </c>
      <c r="L542" s="110" t="str">
        <f t="shared" ref="L542:U542" si="305">L541</f>
        <v/>
      </c>
      <c r="M542" s="110" t="str">
        <f t="shared" si="305"/>
        <v/>
      </c>
      <c r="N542" s="110" t="str">
        <f t="shared" si="305"/>
        <v/>
      </c>
      <c r="O542" s="110" t="str">
        <f t="shared" si="305"/>
        <v/>
      </c>
      <c r="P542" s="110" t="str">
        <f t="shared" si="305"/>
        <v/>
      </c>
      <c r="Q542" s="110" t="str">
        <f t="shared" si="305"/>
        <v/>
      </c>
      <c r="R542" s="110" t="str">
        <f t="shared" si="305"/>
        <v/>
      </c>
      <c r="S542" s="110" t="str">
        <f t="shared" si="305"/>
        <v/>
      </c>
      <c r="T542" s="110" t="str">
        <f t="shared" si="305"/>
        <v/>
      </c>
      <c r="U542" s="110" t="str">
        <f t="shared" si="305"/>
        <v/>
      </c>
      <c r="V542" s="110" t="str">
        <f t="shared" ref="V542:W542" si="306">V541&amp;"     "</f>
        <v>Nuevo     </v>
      </c>
      <c r="W542" s="112" t="str">
        <f t="shared" si="306"/>
        <v>Activa     </v>
      </c>
    </row>
    <row r="543" ht="49.5" customHeight="1">
      <c r="A543" s="110" t="s">
        <v>63</v>
      </c>
      <c r="B543" s="110" t="s">
        <v>2308</v>
      </c>
      <c r="C543" s="110" t="s">
        <v>2312</v>
      </c>
      <c r="D543" s="110" t="s">
        <v>2312</v>
      </c>
      <c r="E543" s="111" t="s">
        <v>2313</v>
      </c>
      <c r="F543" s="114" t="str">
        <f>"     "&amp;F541</f>
        <v>     Miton Karate Drb V.03.01</v>
      </c>
      <c r="G543" s="110" t="s">
        <v>213</v>
      </c>
      <c r="H543" s="113">
        <v>10.0</v>
      </c>
      <c r="I543" s="110" t="s">
        <v>70</v>
      </c>
      <c r="J543" s="112">
        <f>J541</f>
        <v>26990</v>
      </c>
      <c r="K543" s="110" t="str">
        <f>K541&amp;"     "</f>
        <v>$     </v>
      </c>
      <c r="L543" s="110" t="str">
        <f t="shared" ref="L543:U543" si="307">L541</f>
        <v/>
      </c>
      <c r="M543" s="110" t="str">
        <f t="shared" si="307"/>
        <v/>
      </c>
      <c r="N543" s="110" t="str">
        <f t="shared" si="307"/>
        <v/>
      </c>
      <c r="O543" s="110" t="str">
        <f t="shared" si="307"/>
        <v/>
      </c>
      <c r="P543" s="110" t="str">
        <f t="shared" si="307"/>
        <v/>
      </c>
      <c r="Q543" s="110" t="str">
        <f t="shared" si="307"/>
        <v/>
      </c>
      <c r="R543" s="110" t="str">
        <f t="shared" si="307"/>
        <v/>
      </c>
      <c r="S543" s="110" t="str">
        <f t="shared" si="307"/>
        <v/>
      </c>
      <c r="T543" s="110" t="str">
        <f t="shared" si="307"/>
        <v/>
      </c>
      <c r="U543" s="110" t="str">
        <f t="shared" si="307"/>
        <v/>
      </c>
      <c r="V543" s="110" t="str">
        <f t="shared" ref="V543:W543" si="308">V541&amp;"     "</f>
        <v>Nuevo     </v>
      </c>
      <c r="W543" s="112" t="str">
        <f t="shared" si="308"/>
        <v>Activa     </v>
      </c>
    </row>
    <row r="544" ht="49.5" customHeight="1">
      <c r="A544" s="110" t="s">
        <v>63</v>
      </c>
      <c r="B544" s="110" t="s">
        <v>2308</v>
      </c>
      <c r="C544" s="110" t="s">
        <v>2314</v>
      </c>
      <c r="D544" s="110" t="s">
        <v>2314</v>
      </c>
      <c r="E544" s="111" t="s">
        <v>2315</v>
      </c>
      <c r="F544" s="114" t="str">
        <f>"     "&amp;F541</f>
        <v>     Miton Karate Drb V.03.01</v>
      </c>
      <c r="G544" s="110" t="s">
        <v>752</v>
      </c>
      <c r="H544" s="113">
        <v>10.0</v>
      </c>
      <c r="I544" s="110" t="s">
        <v>70</v>
      </c>
      <c r="J544" s="112">
        <f>J541</f>
        <v>26990</v>
      </c>
      <c r="K544" s="110" t="str">
        <f>K541&amp;"     "</f>
        <v>$     </v>
      </c>
      <c r="L544" s="110" t="str">
        <f t="shared" ref="L544:U544" si="309">L541</f>
        <v/>
      </c>
      <c r="M544" s="110" t="str">
        <f t="shared" si="309"/>
        <v/>
      </c>
      <c r="N544" s="110" t="str">
        <f t="shared" si="309"/>
        <v/>
      </c>
      <c r="O544" s="110" t="str">
        <f t="shared" si="309"/>
        <v/>
      </c>
      <c r="P544" s="110" t="str">
        <f t="shared" si="309"/>
        <v/>
      </c>
      <c r="Q544" s="110" t="str">
        <f t="shared" si="309"/>
        <v/>
      </c>
      <c r="R544" s="110" t="str">
        <f t="shared" si="309"/>
        <v/>
      </c>
      <c r="S544" s="110" t="str">
        <f t="shared" si="309"/>
        <v/>
      </c>
      <c r="T544" s="110" t="str">
        <f t="shared" si="309"/>
        <v/>
      </c>
      <c r="U544" s="110" t="str">
        <f t="shared" si="309"/>
        <v/>
      </c>
      <c r="V544" s="110" t="str">
        <f t="shared" ref="V544:W544" si="310">V541&amp;"     "</f>
        <v>Nuevo     </v>
      </c>
      <c r="W544" s="112" t="str">
        <f t="shared" si="310"/>
        <v>Activa     </v>
      </c>
    </row>
    <row r="545" ht="49.5" customHeight="1">
      <c r="A545" s="110" t="s">
        <v>63</v>
      </c>
      <c r="B545" s="110" t="s">
        <v>2308</v>
      </c>
      <c r="C545" s="110" t="s">
        <v>2316</v>
      </c>
      <c r="D545" s="110" t="s">
        <v>2316</v>
      </c>
      <c r="E545" s="111" t="s">
        <v>2317</v>
      </c>
      <c r="F545" s="114" t="str">
        <f>"     "&amp;F541</f>
        <v>     Miton Karate Drb V.03.01</v>
      </c>
      <c r="G545" s="110" t="s">
        <v>773</v>
      </c>
      <c r="H545" s="113">
        <v>10.0</v>
      </c>
      <c r="I545" s="110" t="s">
        <v>70</v>
      </c>
      <c r="J545" s="112">
        <f>J541</f>
        <v>26990</v>
      </c>
      <c r="K545" s="110" t="str">
        <f>K541&amp;"     "</f>
        <v>$     </v>
      </c>
      <c r="L545" s="110" t="str">
        <f t="shared" ref="L545:U545" si="311">L541</f>
        <v/>
      </c>
      <c r="M545" s="110" t="str">
        <f t="shared" si="311"/>
        <v/>
      </c>
      <c r="N545" s="110" t="str">
        <f t="shared" si="311"/>
        <v/>
      </c>
      <c r="O545" s="110" t="str">
        <f t="shared" si="311"/>
        <v/>
      </c>
      <c r="P545" s="110" t="str">
        <f t="shared" si="311"/>
        <v/>
      </c>
      <c r="Q545" s="110" t="str">
        <f t="shared" si="311"/>
        <v/>
      </c>
      <c r="R545" s="110" t="str">
        <f t="shared" si="311"/>
        <v/>
      </c>
      <c r="S545" s="110" t="str">
        <f t="shared" si="311"/>
        <v/>
      </c>
      <c r="T545" s="110" t="str">
        <f t="shared" si="311"/>
        <v/>
      </c>
      <c r="U545" s="110" t="str">
        <f t="shared" si="311"/>
        <v/>
      </c>
      <c r="V545" s="110" t="str">
        <f t="shared" ref="V545:W545" si="312">V541&amp;"     "</f>
        <v>Nuevo     </v>
      </c>
      <c r="W545" s="112" t="str">
        <f t="shared" si="312"/>
        <v>Activa     </v>
      </c>
    </row>
    <row r="546" ht="49.5" customHeight="1">
      <c r="A546" s="110" t="s">
        <v>63</v>
      </c>
      <c r="B546" s="110" t="s">
        <v>2318</v>
      </c>
      <c r="C546" s="110"/>
      <c r="D546" s="110"/>
      <c r="E546" s="112" t="s">
        <v>63</v>
      </c>
      <c r="F546" s="111" t="s">
        <v>2319</v>
      </c>
      <c r="G546" s="110" t="s">
        <v>70</v>
      </c>
      <c r="H546" s="110" t="s">
        <v>321</v>
      </c>
      <c r="I546" s="110" t="s">
        <v>70</v>
      </c>
      <c r="J546" s="112">
        <v>8090.0</v>
      </c>
      <c r="K546" s="113" t="s">
        <v>71</v>
      </c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 t="s">
        <v>72</v>
      </c>
      <c r="W546" s="112" t="s">
        <v>73</v>
      </c>
    </row>
    <row r="547" ht="49.5" customHeight="1">
      <c r="A547" s="110" t="s">
        <v>63</v>
      </c>
      <c r="B547" s="110" t="s">
        <v>2318</v>
      </c>
      <c r="C547" s="110" t="s">
        <v>2320</v>
      </c>
      <c r="D547" s="110" t="s">
        <v>2320</v>
      </c>
      <c r="E547" s="111" t="s">
        <v>2321</v>
      </c>
      <c r="F547" s="114" t="str">
        <f>"     "&amp;F546</f>
        <v>     Canillera Drb 2.80.50 - Licencia Boca</v>
      </c>
      <c r="G547" s="110" t="s">
        <v>213</v>
      </c>
      <c r="H547" s="113">
        <v>10.0</v>
      </c>
      <c r="I547" s="110" t="s">
        <v>70</v>
      </c>
      <c r="J547" s="112">
        <f>J546</f>
        <v>8090</v>
      </c>
      <c r="K547" s="110" t="str">
        <f>K546&amp;"     "</f>
        <v>$     </v>
      </c>
      <c r="L547" s="110" t="str">
        <f t="shared" ref="L547:U547" si="313">L546</f>
        <v/>
      </c>
      <c r="M547" s="110" t="str">
        <f t="shared" si="313"/>
        <v/>
      </c>
      <c r="N547" s="110" t="str">
        <f t="shared" si="313"/>
        <v/>
      </c>
      <c r="O547" s="110" t="str">
        <f t="shared" si="313"/>
        <v/>
      </c>
      <c r="P547" s="110" t="str">
        <f t="shared" si="313"/>
        <v/>
      </c>
      <c r="Q547" s="110" t="str">
        <f t="shared" si="313"/>
        <v/>
      </c>
      <c r="R547" s="110" t="str">
        <f t="shared" si="313"/>
        <v/>
      </c>
      <c r="S547" s="110" t="str">
        <f t="shared" si="313"/>
        <v/>
      </c>
      <c r="T547" s="110" t="str">
        <f t="shared" si="313"/>
        <v/>
      </c>
      <c r="U547" s="110" t="str">
        <f t="shared" si="313"/>
        <v/>
      </c>
      <c r="V547" s="110" t="str">
        <f t="shared" ref="V547:W547" si="314">V546&amp;"     "</f>
        <v>Nuevo     </v>
      </c>
      <c r="W547" s="112" t="str">
        <f t="shared" si="314"/>
        <v>Activa     </v>
      </c>
    </row>
    <row r="548" ht="49.5" customHeight="1">
      <c r="A548" s="110" t="s">
        <v>63</v>
      </c>
      <c r="B548" s="110" t="s">
        <v>2318</v>
      </c>
      <c r="C548" s="110" t="s">
        <v>2322</v>
      </c>
      <c r="D548" s="110" t="s">
        <v>2322</v>
      </c>
      <c r="E548" s="111" t="s">
        <v>2323</v>
      </c>
      <c r="F548" s="114" t="str">
        <f>"     "&amp;F546</f>
        <v>     Canillera Drb 2.80.50 - Licencia Boca</v>
      </c>
      <c r="G548" s="110" t="s">
        <v>752</v>
      </c>
      <c r="H548" s="113">
        <v>10.0</v>
      </c>
      <c r="I548" s="110" t="s">
        <v>70</v>
      </c>
      <c r="J548" s="112">
        <f>J546</f>
        <v>8090</v>
      </c>
      <c r="K548" s="110" t="str">
        <f>K546&amp;"     "</f>
        <v>$     </v>
      </c>
      <c r="L548" s="110" t="str">
        <f t="shared" ref="L548:U548" si="315">L546</f>
        <v/>
      </c>
      <c r="M548" s="110" t="str">
        <f t="shared" si="315"/>
        <v/>
      </c>
      <c r="N548" s="110" t="str">
        <f t="shared" si="315"/>
        <v/>
      </c>
      <c r="O548" s="110" t="str">
        <f t="shared" si="315"/>
        <v/>
      </c>
      <c r="P548" s="110" t="str">
        <f t="shared" si="315"/>
        <v/>
      </c>
      <c r="Q548" s="110" t="str">
        <f t="shared" si="315"/>
        <v/>
      </c>
      <c r="R548" s="110" t="str">
        <f t="shared" si="315"/>
        <v/>
      </c>
      <c r="S548" s="110" t="str">
        <f t="shared" si="315"/>
        <v/>
      </c>
      <c r="T548" s="110" t="str">
        <f t="shared" si="315"/>
        <v/>
      </c>
      <c r="U548" s="110" t="str">
        <f t="shared" si="315"/>
        <v/>
      </c>
      <c r="V548" s="110" t="str">
        <f t="shared" ref="V548:W548" si="316">V546&amp;"     "</f>
        <v>Nuevo     </v>
      </c>
      <c r="W548" s="112" t="str">
        <f t="shared" si="316"/>
        <v>Activa     </v>
      </c>
    </row>
    <row r="549" ht="49.5" customHeight="1">
      <c r="A549" s="110" t="s">
        <v>63</v>
      </c>
      <c r="B549" s="110" t="s">
        <v>2318</v>
      </c>
      <c r="C549" s="110" t="s">
        <v>2324</v>
      </c>
      <c r="D549" s="110" t="s">
        <v>2324</v>
      </c>
      <c r="E549" s="111" t="s">
        <v>2325</v>
      </c>
      <c r="F549" s="114" t="str">
        <f>"     "&amp;F546</f>
        <v>     Canillera Drb 2.80.50 - Licencia Boca</v>
      </c>
      <c r="G549" s="110" t="s">
        <v>755</v>
      </c>
      <c r="H549" s="113">
        <v>10.0</v>
      </c>
      <c r="I549" s="110" t="s">
        <v>70</v>
      </c>
      <c r="J549" s="112">
        <f>J546</f>
        <v>8090</v>
      </c>
      <c r="K549" s="110" t="str">
        <f>K546&amp;"     "</f>
        <v>$     </v>
      </c>
      <c r="L549" s="110" t="str">
        <f t="shared" ref="L549:U549" si="317">L546</f>
        <v/>
      </c>
      <c r="M549" s="110" t="str">
        <f t="shared" si="317"/>
        <v/>
      </c>
      <c r="N549" s="110" t="str">
        <f t="shared" si="317"/>
        <v/>
      </c>
      <c r="O549" s="110" t="str">
        <f t="shared" si="317"/>
        <v/>
      </c>
      <c r="P549" s="110" t="str">
        <f t="shared" si="317"/>
        <v/>
      </c>
      <c r="Q549" s="110" t="str">
        <f t="shared" si="317"/>
        <v/>
      </c>
      <c r="R549" s="110" t="str">
        <f t="shared" si="317"/>
        <v/>
      </c>
      <c r="S549" s="110" t="str">
        <f t="shared" si="317"/>
        <v/>
      </c>
      <c r="T549" s="110" t="str">
        <f t="shared" si="317"/>
        <v/>
      </c>
      <c r="U549" s="110" t="str">
        <f t="shared" si="317"/>
        <v/>
      </c>
      <c r="V549" s="110" t="str">
        <f t="shared" ref="V549:W549" si="318">V546&amp;"     "</f>
        <v>Nuevo     </v>
      </c>
      <c r="W549" s="112" t="str">
        <f t="shared" si="318"/>
        <v>Activa     </v>
      </c>
    </row>
    <row r="550" ht="49.5" customHeight="1">
      <c r="A550" s="110" t="s">
        <v>721</v>
      </c>
      <c r="B550" s="110" t="s">
        <v>2326</v>
      </c>
      <c r="C550" s="110" t="s">
        <v>723</v>
      </c>
      <c r="D550" s="110"/>
      <c r="E550" s="111" t="s">
        <v>724</v>
      </c>
      <c r="F550" s="112" t="s">
        <v>2327</v>
      </c>
      <c r="G550" s="110" t="s">
        <v>70</v>
      </c>
      <c r="H550" s="113">
        <v>30.0</v>
      </c>
      <c r="I550" s="110" t="s">
        <v>70</v>
      </c>
      <c r="J550" s="112">
        <v>4490.0</v>
      </c>
      <c r="K550" s="113" t="s">
        <v>71</v>
      </c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0" t="s">
        <v>72</v>
      </c>
      <c r="W550" s="112" t="s">
        <v>73</v>
      </c>
    </row>
    <row r="551" ht="49.5" customHeight="1">
      <c r="A551" s="110" t="s">
        <v>2328</v>
      </c>
      <c r="B551" s="110" t="s">
        <v>2329</v>
      </c>
      <c r="C551" s="110" t="s">
        <v>2330</v>
      </c>
      <c r="D551" s="110"/>
      <c r="E551" s="111" t="s">
        <v>2331</v>
      </c>
      <c r="F551" s="112" t="s">
        <v>2332</v>
      </c>
      <c r="G551" s="110" t="s">
        <v>70</v>
      </c>
      <c r="H551" s="113">
        <v>10.0</v>
      </c>
      <c r="I551" s="110" t="s">
        <v>70</v>
      </c>
      <c r="J551" s="112">
        <v>26190.0</v>
      </c>
      <c r="K551" s="113" t="s">
        <v>71</v>
      </c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0" t="s">
        <v>72</v>
      </c>
      <c r="W551" s="112" t="s">
        <v>73</v>
      </c>
    </row>
    <row r="552" ht="49.5" customHeight="1">
      <c r="A552" s="110" t="s">
        <v>349</v>
      </c>
      <c r="B552" s="110" t="s">
        <v>2333</v>
      </c>
      <c r="C552" s="110" t="s">
        <v>351</v>
      </c>
      <c r="D552" s="110"/>
      <c r="E552" s="111" t="s">
        <v>352</v>
      </c>
      <c r="F552" s="112" t="s">
        <v>2334</v>
      </c>
      <c r="G552" s="110" t="s">
        <v>70</v>
      </c>
      <c r="H552" s="113">
        <v>30.0</v>
      </c>
      <c r="I552" s="110" t="s">
        <v>70</v>
      </c>
      <c r="J552" s="112">
        <v>95790.0</v>
      </c>
      <c r="K552" s="113" t="s">
        <v>71</v>
      </c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0" t="s">
        <v>72</v>
      </c>
      <c r="W552" s="112" t="s">
        <v>73</v>
      </c>
    </row>
    <row r="553" ht="49.5" customHeight="1">
      <c r="A553" s="110" t="s">
        <v>2335</v>
      </c>
      <c r="B553" s="110" t="s">
        <v>2336</v>
      </c>
      <c r="C553" s="110" t="s">
        <v>2337</v>
      </c>
      <c r="D553" s="110"/>
      <c r="E553" s="111" t="s">
        <v>2338</v>
      </c>
      <c r="F553" s="112" t="s">
        <v>2339</v>
      </c>
      <c r="G553" s="110" t="s">
        <v>70</v>
      </c>
      <c r="H553" s="113">
        <v>30.0</v>
      </c>
      <c r="I553" s="110" t="s">
        <v>70</v>
      </c>
      <c r="J553" s="112">
        <v>11890.0</v>
      </c>
      <c r="K553" s="113" t="s">
        <v>71</v>
      </c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0" t="s">
        <v>72</v>
      </c>
      <c r="W553" s="112" t="s">
        <v>73</v>
      </c>
    </row>
    <row r="554" ht="49.5" customHeight="1">
      <c r="A554" s="110" t="s">
        <v>2340</v>
      </c>
      <c r="B554" s="110" t="s">
        <v>2341</v>
      </c>
      <c r="C554" s="110" t="s">
        <v>2342</v>
      </c>
      <c r="D554" s="110"/>
      <c r="E554" s="111" t="s">
        <v>2343</v>
      </c>
      <c r="F554" s="112" t="s">
        <v>2344</v>
      </c>
      <c r="G554" s="110" t="s">
        <v>70</v>
      </c>
      <c r="H554" s="113">
        <v>30.0</v>
      </c>
      <c r="I554" s="110" t="s">
        <v>70</v>
      </c>
      <c r="J554" s="112">
        <v>38690.0</v>
      </c>
      <c r="K554" s="113" t="s">
        <v>71</v>
      </c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0" t="s">
        <v>72</v>
      </c>
      <c r="W554" s="112" t="s">
        <v>73</v>
      </c>
    </row>
    <row r="555" ht="49.5" customHeight="1">
      <c r="A555" s="110" t="s">
        <v>1844</v>
      </c>
      <c r="B555" s="110" t="s">
        <v>2345</v>
      </c>
      <c r="C555" s="110" t="s">
        <v>1846</v>
      </c>
      <c r="D555" s="110"/>
      <c r="E555" s="111" t="s">
        <v>1847</v>
      </c>
      <c r="F555" s="112" t="s">
        <v>2346</v>
      </c>
      <c r="G555" s="110" t="s">
        <v>70</v>
      </c>
      <c r="H555" s="113">
        <v>30.0</v>
      </c>
      <c r="I555" s="110" t="s">
        <v>70</v>
      </c>
      <c r="J555" s="112">
        <v>9390.0</v>
      </c>
      <c r="K555" s="113" t="s">
        <v>71</v>
      </c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0" t="s">
        <v>72</v>
      </c>
      <c r="W555" s="112" t="s">
        <v>73</v>
      </c>
    </row>
    <row r="556" ht="49.5" customHeight="1">
      <c r="A556" s="110" t="s">
        <v>63</v>
      </c>
      <c r="B556" s="110" t="s">
        <v>2347</v>
      </c>
      <c r="C556" s="110"/>
      <c r="D556" s="110"/>
      <c r="E556" s="112" t="s">
        <v>63</v>
      </c>
      <c r="F556" s="111" t="s">
        <v>2348</v>
      </c>
      <c r="G556" s="110" t="s">
        <v>70</v>
      </c>
      <c r="H556" s="110" t="s">
        <v>2349</v>
      </c>
      <c r="I556" s="110" t="s">
        <v>70</v>
      </c>
      <c r="J556" s="112">
        <v>9990.0</v>
      </c>
      <c r="K556" s="113" t="s">
        <v>71</v>
      </c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 t="s">
        <v>72</v>
      </c>
      <c r="W556" s="112" t="s">
        <v>73</v>
      </c>
    </row>
    <row r="557" ht="49.5" customHeight="1">
      <c r="A557" s="110" t="s">
        <v>63</v>
      </c>
      <c r="B557" s="110" t="s">
        <v>2347</v>
      </c>
      <c r="C557" s="110" t="s">
        <v>2350</v>
      </c>
      <c r="D557" s="110" t="s">
        <v>2350</v>
      </c>
      <c r="E557" s="111" t="s">
        <v>2351</v>
      </c>
      <c r="F557" s="114" t="str">
        <f>"     "&amp;F556</f>
        <v>     Pack Short Drb 2.40.32 Futbol Liso</v>
      </c>
      <c r="G557" s="110" t="s">
        <v>2352</v>
      </c>
      <c r="H557" s="113">
        <v>10.0</v>
      </c>
      <c r="I557" s="110" t="s">
        <v>70</v>
      </c>
      <c r="J557" s="112">
        <f>J556</f>
        <v>9990</v>
      </c>
      <c r="K557" s="110" t="str">
        <f>K556&amp;"     "</f>
        <v>$     </v>
      </c>
      <c r="L557" s="110" t="str">
        <f t="shared" ref="L557:U557" si="319">L556</f>
        <v/>
      </c>
      <c r="M557" s="110" t="str">
        <f t="shared" si="319"/>
        <v/>
      </c>
      <c r="N557" s="110" t="str">
        <f t="shared" si="319"/>
        <v/>
      </c>
      <c r="O557" s="110" t="str">
        <f t="shared" si="319"/>
        <v/>
      </c>
      <c r="P557" s="110" t="str">
        <f t="shared" si="319"/>
        <v/>
      </c>
      <c r="Q557" s="110" t="str">
        <f t="shared" si="319"/>
        <v/>
      </c>
      <c r="R557" s="110" t="str">
        <f t="shared" si="319"/>
        <v/>
      </c>
      <c r="S557" s="110" t="str">
        <f t="shared" si="319"/>
        <v/>
      </c>
      <c r="T557" s="110" t="str">
        <f t="shared" si="319"/>
        <v/>
      </c>
      <c r="U557" s="110" t="str">
        <f t="shared" si="319"/>
        <v/>
      </c>
      <c r="V557" s="110" t="str">
        <f t="shared" ref="V557:W557" si="320">V556&amp;"     "</f>
        <v>Nuevo     </v>
      </c>
      <c r="W557" s="112" t="str">
        <f t="shared" si="320"/>
        <v>Activa     </v>
      </c>
    </row>
    <row r="558" ht="49.5" customHeight="1">
      <c r="A558" s="110" t="s">
        <v>63</v>
      </c>
      <c r="B558" s="110" t="s">
        <v>2347</v>
      </c>
      <c r="C558" s="110" t="s">
        <v>2353</v>
      </c>
      <c r="D558" s="110" t="s">
        <v>2353</v>
      </c>
      <c r="E558" s="111" t="s">
        <v>2354</v>
      </c>
      <c r="F558" s="114" t="str">
        <f>"     "&amp;F556</f>
        <v>     Pack Short Drb 2.40.32 Futbol Liso</v>
      </c>
      <c r="G558" s="110" t="s">
        <v>2355</v>
      </c>
      <c r="H558" s="113">
        <v>10.0</v>
      </c>
      <c r="I558" s="110" t="s">
        <v>70</v>
      </c>
      <c r="J558" s="112">
        <f>J556</f>
        <v>9990</v>
      </c>
      <c r="K558" s="110" t="str">
        <f>K556&amp;"     "</f>
        <v>$     </v>
      </c>
      <c r="L558" s="110" t="str">
        <f t="shared" ref="L558:U558" si="321">L556</f>
        <v/>
      </c>
      <c r="M558" s="110" t="str">
        <f t="shared" si="321"/>
        <v/>
      </c>
      <c r="N558" s="110" t="str">
        <f t="shared" si="321"/>
        <v/>
      </c>
      <c r="O558" s="110" t="str">
        <f t="shared" si="321"/>
        <v/>
      </c>
      <c r="P558" s="110" t="str">
        <f t="shared" si="321"/>
        <v/>
      </c>
      <c r="Q558" s="110" t="str">
        <f t="shared" si="321"/>
        <v/>
      </c>
      <c r="R558" s="110" t="str">
        <f t="shared" si="321"/>
        <v/>
      </c>
      <c r="S558" s="110" t="str">
        <f t="shared" si="321"/>
        <v/>
      </c>
      <c r="T558" s="110" t="str">
        <f t="shared" si="321"/>
        <v/>
      </c>
      <c r="U558" s="110" t="str">
        <f t="shared" si="321"/>
        <v/>
      </c>
      <c r="V558" s="110" t="str">
        <f t="shared" ref="V558:W558" si="322">V556&amp;"     "</f>
        <v>Nuevo     </v>
      </c>
      <c r="W558" s="112" t="str">
        <f t="shared" si="322"/>
        <v>Activa     </v>
      </c>
    </row>
    <row r="559" ht="49.5" customHeight="1">
      <c r="A559" s="110" t="s">
        <v>63</v>
      </c>
      <c r="B559" s="110" t="s">
        <v>2347</v>
      </c>
      <c r="C559" s="110" t="s">
        <v>2356</v>
      </c>
      <c r="D559" s="110" t="s">
        <v>2356</v>
      </c>
      <c r="E559" s="111" t="s">
        <v>2357</v>
      </c>
      <c r="F559" s="114" t="str">
        <f>"     "&amp;F556</f>
        <v>     Pack Short Drb 2.40.32 Futbol Liso</v>
      </c>
      <c r="G559" s="110" t="s">
        <v>2358</v>
      </c>
      <c r="H559" s="113">
        <v>0.0</v>
      </c>
      <c r="I559" s="110" t="s">
        <v>70</v>
      </c>
      <c r="J559" s="112">
        <f>J556</f>
        <v>9990</v>
      </c>
      <c r="K559" s="110" t="str">
        <f>K556&amp;"     "</f>
        <v>$     </v>
      </c>
      <c r="L559" s="110" t="str">
        <f t="shared" ref="L559:U559" si="323">L556</f>
        <v/>
      </c>
      <c r="M559" s="110" t="str">
        <f t="shared" si="323"/>
        <v/>
      </c>
      <c r="N559" s="110" t="str">
        <f t="shared" si="323"/>
        <v/>
      </c>
      <c r="O559" s="110" t="str">
        <f t="shared" si="323"/>
        <v/>
      </c>
      <c r="P559" s="110" t="str">
        <f t="shared" si="323"/>
        <v/>
      </c>
      <c r="Q559" s="110" t="str">
        <f t="shared" si="323"/>
        <v/>
      </c>
      <c r="R559" s="110" t="str">
        <f t="shared" si="323"/>
        <v/>
      </c>
      <c r="S559" s="110" t="str">
        <f t="shared" si="323"/>
        <v/>
      </c>
      <c r="T559" s="110" t="str">
        <f t="shared" si="323"/>
        <v/>
      </c>
      <c r="U559" s="110" t="str">
        <f t="shared" si="323"/>
        <v/>
      </c>
      <c r="V559" s="110" t="str">
        <f t="shared" ref="V559:W559" si="324">V556&amp;"     "</f>
        <v>Nuevo     </v>
      </c>
      <c r="W559" s="112" t="str">
        <f t="shared" si="324"/>
        <v>Activa     </v>
      </c>
    </row>
    <row r="560" ht="49.5" customHeight="1">
      <c r="A560" s="110" t="s">
        <v>63</v>
      </c>
      <c r="B560" s="110" t="s">
        <v>2347</v>
      </c>
      <c r="C560" s="110" t="s">
        <v>2359</v>
      </c>
      <c r="D560" s="110" t="s">
        <v>2359</v>
      </c>
      <c r="E560" s="111" t="s">
        <v>2360</v>
      </c>
      <c r="F560" s="114" t="str">
        <f>"     "&amp;F556</f>
        <v>     Pack Short Drb 2.40.32 Futbol Liso</v>
      </c>
      <c r="G560" s="110" t="s">
        <v>2361</v>
      </c>
      <c r="H560" s="113">
        <v>10.0</v>
      </c>
      <c r="I560" s="110" t="s">
        <v>70</v>
      </c>
      <c r="J560" s="112">
        <f>J556</f>
        <v>9990</v>
      </c>
      <c r="K560" s="110" t="str">
        <f>K556&amp;"     "</f>
        <v>$     </v>
      </c>
      <c r="L560" s="110" t="str">
        <f t="shared" ref="L560:U560" si="325">L556</f>
        <v/>
      </c>
      <c r="M560" s="110" t="str">
        <f t="shared" si="325"/>
        <v/>
      </c>
      <c r="N560" s="110" t="str">
        <f t="shared" si="325"/>
        <v/>
      </c>
      <c r="O560" s="110" t="str">
        <f t="shared" si="325"/>
        <v/>
      </c>
      <c r="P560" s="110" t="str">
        <f t="shared" si="325"/>
        <v/>
      </c>
      <c r="Q560" s="110" t="str">
        <f t="shared" si="325"/>
        <v/>
      </c>
      <c r="R560" s="110" t="str">
        <f t="shared" si="325"/>
        <v/>
      </c>
      <c r="S560" s="110" t="str">
        <f t="shared" si="325"/>
        <v/>
      </c>
      <c r="T560" s="110" t="str">
        <f t="shared" si="325"/>
        <v/>
      </c>
      <c r="U560" s="110" t="str">
        <f t="shared" si="325"/>
        <v/>
      </c>
      <c r="V560" s="110" t="str">
        <f t="shared" ref="V560:W560" si="326">V556&amp;"     "</f>
        <v>Nuevo     </v>
      </c>
      <c r="W560" s="112" t="str">
        <f t="shared" si="326"/>
        <v>Activa     </v>
      </c>
    </row>
    <row r="561" ht="49.5" customHeight="1">
      <c r="A561" s="110" t="s">
        <v>63</v>
      </c>
      <c r="B561" s="110" t="s">
        <v>2347</v>
      </c>
      <c r="C561" s="110" t="s">
        <v>2362</v>
      </c>
      <c r="D561" s="110" t="s">
        <v>2362</v>
      </c>
      <c r="E561" s="111" t="s">
        <v>2363</v>
      </c>
      <c r="F561" s="114" t="str">
        <f>"     "&amp;F556</f>
        <v>     Pack Short Drb 2.40.32 Futbol Liso</v>
      </c>
      <c r="G561" s="110" t="s">
        <v>2364</v>
      </c>
      <c r="H561" s="113">
        <v>10.0</v>
      </c>
      <c r="I561" s="110" t="s">
        <v>70</v>
      </c>
      <c r="J561" s="112">
        <f>J556</f>
        <v>9990</v>
      </c>
      <c r="K561" s="110" t="str">
        <f>K556&amp;"     "</f>
        <v>$     </v>
      </c>
      <c r="L561" s="110" t="str">
        <f t="shared" ref="L561:U561" si="327">L556</f>
        <v/>
      </c>
      <c r="M561" s="110" t="str">
        <f t="shared" si="327"/>
        <v/>
      </c>
      <c r="N561" s="110" t="str">
        <f t="shared" si="327"/>
        <v/>
      </c>
      <c r="O561" s="110" t="str">
        <f t="shared" si="327"/>
        <v/>
      </c>
      <c r="P561" s="110" t="str">
        <f t="shared" si="327"/>
        <v/>
      </c>
      <c r="Q561" s="110" t="str">
        <f t="shared" si="327"/>
        <v/>
      </c>
      <c r="R561" s="110" t="str">
        <f t="shared" si="327"/>
        <v/>
      </c>
      <c r="S561" s="110" t="str">
        <f t="shared" si="327"/>
        <v/>
      </c>
      <c r="T561" s="110" t="str">
        <f t="shared" si="327"/>
        <v/>
      </c>
      <c r="U561" s="110" t="str">
        <f t="shared" si="327"/>
        <v/>
      </c>
      <c r="V561" s="110" t="str">
        <f t="shared" ref="V561:W561" si="328">V556&amp;"     "</f>
        <v>Nuevo     </v>
      </c>
      <c r="W561" s="112" t="str">
        <f t="shared" si="328"/>
        <v>Activa     </v>
      </c>
    </row>
    <row r="562" ht="49.5" customHeight="1">
      <c r="A562" s="110" t="s">
        <v>63</v>
      </c>
      <c r="B562" s="110" t="s">
        <v>2347</v>
      </c>
      <c r="C562" s="110" t="s">
        <v>2365</v>
      </c>
      <c r="D562" s="110" t="s">
        <v>2365</v>
      </c>
      <c r="E562" s="111" t="s">
        <v>2366</v>
      </c>
      <c r="F562" s="114" t="str">
        <f>"     "&amp;F556</f>
        <v>     Pack Short Drb 2.40.32 Futbol Liso</v>
      </c>
      <c r="G562" s="110" t="s">
        <v>2367</v>
      </c>
      <c r="H562" s="113">
        <v>10.0</v>
      </c>
      <c r="I562" s="110" t="s">
        <v>70</v>
      </c>
      <c r="J562" s="112">
        <f>J556</f>
        <v>9990</v>
      </c>
      <c r="K562" s="110" t="str">
        <f>K556&amp;"     "</f>
        <v>$     </v>
      </c>
      <c r="L562" s="110" t="str">
        <f t="shared" ref="L562:U562" si="329">L556</f>
        <v/>
      </c>
      <c r="M562" s="110" t="str">
        <f t="shared" si="329"/>
        <v/>
      </c>
      <c r="N562" s="110" t="str">
        <f t="shared" si="329"/>
        <v/>
      </c>
      <c r="O562" s="110" t="str">
        <f t="shared" si="329"/>
        <v/>
      </c>
      <c r="P562" s="110" t="str">
        <f t="shared" si="329"/>
        <v/>
      </c>
      <c r="Q562" s="110" t="str">
        <f t="shared" si="329"/>
        <v/>
      </c>
      <c r="R562" s="110" t="str">
        <f t="shared" si="329"/>
        <v/>
      </c>
      <c r="S562" s="110" t="str">
        <f t="shared" si="329"/>
        <v/>
      </c>
      <c r="T562" s="110" t="str">
        <f t="shared" si="329"/>
        <v/>
      </c>
      <c r="U562" s="110" t="str">
        <f t="shared" si="329"/>
        <v/>
      </c>
      <c r="V562" s="110" t="str">
        <f t="shared" ref="V562:W562" si="330">V556&amp;"     "</f>
        <v>Nuevo     </v>
      </c>
      <c r="W562" s="112" t="str">
        <f t="shared" si="330"/>
        <v>Activa     </v>
      </c>
    </row>
    <row r="563" ht="49.5" customHeight="1">
      <c r="A563" s="110" t="s">
        <v>63</v>
      </c>
      <c r="B563" s="110" t="s">
        <v>2347</v>
      </c>
      <c r="C563" s="110" t="s">
        <v>2368</v>
      </c>
      <c r="D563" s="110" t="s">
        <v>2368</v>
      </c>
      <c r="E563" s="111" t="s">
        <v>2369</v>
      </c>
      <c r="F563" s="114" t="str">
        <f>"     "&amp;F556</f>
        <v>     Pack Short Drb 2.40.32 Futbol Liso</v>
      </c>
      <c r="G563" s="110" t="s">
        <v>2370</v>
      </c>
      <c r="H563" s="113">
        <v>10.0</v>
      </c>
      <c r="I563" s="110" t="s">
        <v>70</v>
      </c>
      <c r="J563" s="112">
        <f>J556</f>
        <v>9990</v>
      </c>
      <c r="K563" s="110" t="str">
        <f>K556&amp;"     "</f>
        <v>$     </v>
      </c>
      <c r="L563" s="110" t="str">
        <f t="shared" ref="L563:U563" si="331">L556</f>
        <v/>
      </c>
      <c r="M563" s="110" t="str">
        <f t="shared" si="331"/>
        <v/>
      </c>
      <c r="N563" s="110" t="str">
        <f t="shared" si="331"/>
        <v/>
      </c>
      <c r="O563" s="110" t="str">
        <f t="shared" si="331"/>
        <v/>
      </c>
      <c r="P563" s="110" t="str">
        <f t="shared" si="331"/>
        <v/>
      </c>
      <c r="Q563" s="110" t="str">
        <f t="shared" si="331"/>
        <v/>
      </c>
      <c r="R563" s="110" t="str">
        <f t="shared" si="331"/>
        <v/>
      </c>
      <c r="S563" s="110" t="str">
        <f t="shared" si="331"/>
        <v/>
      </c>
      <c r="T563" s="110" t="str">
        <f t="shared" si="331"/>
        <v/>
      </c>
      <c r="U563" s="110" t="str">
        <f t="shared" si="331"/>
        <v/>
      </c>
      <c r="V563" s="110" t="str">
        <f t="shared" ref="V563:W563" si="332">V556&amp;"     "</f>
        <v>Nuevo     </v>
      </c>
      <c r="W563" s="112" t="str">
        <f t="shared" si="332"/>
        <v>Activa     </v>
      </c>
    </row>
    <row r="564" ht="49.5" customHeight="1">
      <c r="A564" s="110" t="s">
        <v>63</v>
      </c>
      <c r="B564" s="110" t="s">
        <v>2347</v>
      </c>
      <c r="C564" s="110" t="s">
        <v>2371</v>
      </c>
      <c r="D564" s="110" t="s">
        <v>2371</v>
      </c>
      <c r="E564" s="111" t="s">
        <v>2372</v>
      </c>
      <c r="F564" s="114" t="str">
        <f>"     "&amp;F556</f>
        <v>     Pack Short Drb 2.40.32 Futbol Liso</v>
      </c>
      <c r="G564" s="110" t="s">
        <v>2373</v>
      </c>
      <c r="H564" s="113">
        <v>0.0</v>
      </c>
      <c r="I564" s="110" t="s">
        <v>70</v>
      </c>
      <c r="J564" s="112">
        <f>J556</f>
        <v>9990</v>
      </c>
      <c r="K564" s="110" t="str">
        <f>K556&amp;"     "</f>
        <v>$     </v>
      </c>
      <c r="L564" s="110" t="str">
        <f t="shared" ref="L564:U564" si="333">L556</f>
        <v/>
      </c>
      <c r="M564" s="110" t="str">
        <f t="shared" si="333"/>
        <v/>
      </c>
      <c r="N564" s="110" t="str">
        <f t="shared" si="333"/>
        <v/>
      </c>
      <c r="O564" s="110" t="str">
        <f t="shared" si="333"/>
        <v/>
      </c>
      <c r="P564" s="110" t="str">
        <f t="shared" si="333"/>
        <v/>
      </c>
      <c r="Q564" s="110" t="str">
        <f t="shared" si="333"/>
        <v/>
      </c>
      <c r="R564" s="110" t="str">
        <f t="shared" si="333"/>
        <v/>
      </c>
      <c r="S564" s="110" t="str">
        <f t="shared" si="333"/>
        <v/>
      </c>
      <c r="T564" s="110" t="str">
        <f t="shared" si="333"/>
        <v/>
      </c>
      <c r="U564" s="110" t="str">
        <f t="shared" si="333"/>
        <v/>
      </c>
      <c r="V564" s="110" t="str">
        <f t="shared" ref="V564:W564" si="334">V556&amp;"     "</f>
        <v>Nuevo     </v>
      </c>
      <c r="W564" s="112" t="str">
        <f t="shared" si="334"/>
        <v>Activa     </v>
      </c>
    </row>
    <row r="565" ht="49.5" customHeight="1">
      <c r="A565" s="110" t="s">
        <v>63</v>
      </c>
      <c r="B565" s="110" t="s">
        <v>2347</v>
      </c>
      <c r="C565" s="110" t="s">
        <v>2374</v>
      </c>
      <c r="D565" s="110" t="s">
        <v>2374</v>
      </c>
      <c r="E565" s="111" t="s">
        <v>2375</v>
      </c>
      <c r="F565" s="114" t="str">
        <f>"     "&amp;F556</f>
        <v>     Pack Short Drb 2.40.32 Futbol Liso</v>
      </c>
      <c r="G565" s="110" t="s">
        <v>2376</v>
      </c>
      <c r="H565" s="113">
        <v>0.0</v>
      </c>
      <c r="I565" s="110" t="s">
        <v>70</v>
      </c>
      <c r="J565" s="112">
        <f>J556</f>
        <v>9990</v>
      </c>
      <c r="K565" s="110" t="str">
        <f>K556&amp;"     "</f>
        <v>$     </v>
      </c>
      <c r="L565" s="110" t="str">
        <f t="shared" ref="L565:U565" si="335">L556</f>
        <v/>
      </c>
      <c r="M565" s="110" t="str">
        <f t="shared" si="335"/>
        <v/>
      </c>
      <c r="N565" s="110" t="str">
        <f t="shared" si="335"/>
        <v/>
      </c>
      <c r="O565" s="110" t="str">
        <f t="shared" si="335"/>
        <v/>
      </c>
      <c r="P565" s="110" t="str">
        <f t="shared" si="335"/>
        <v/>
      </c>
      <c r="Q565" s="110" t="str">
        <f t="shared" si="335"/>
        <v/>
      </c>
      <c r="R565" s="110" t="str">
        <f t="shared" si="335"/>
        <v/>
      </c>
      <c r="S565" s="110" t="str">
        <f t="shared" si="335"/>
        <v/>
      </c>
      <c r="T565" s="110" t="str">
        <f t="shared" si="335"/>
        <v/>
      </c>
      <c r="U565" s="110" t="str">
        <f t="shared" si="335"/>
        <v/>
      </c>
      <c r="V565" s="110" t="str">
        <f t="shared" ref="V565:W565" si="336">V556&amp;"     "</f>
        <v>Nuevo     </v>
      </c>
      <c r="W565" s="112" t="str">
        <f t="shared" si="336"/>
        <v>Activa     </v>
      </c>
    </row>
    <row r="566" ht="49.5" customHeight="1">
      <c r="A566" s="110" t="s">
        <v>63</v>
      </c>
      <c r="B566" s="110" t="s">
        <v>2347</v>
      </c>
      <c r="C566" s="110" t="s">
        <v>2377</v>
      </c>
      <c r="D566" s="110" t="s">
        <v>2377</v>
      </c>
      <c r="E566" s="111" t="s">
        <v>2378</v>
      </c>
      <c r="F566" s="114" t="str">
        <f>"     "&amp;F556</f>
        <v>     Pack Short Drb 2.40.32 Futbol Liso</v>
      </c>
      <c r="G566" s="110" t="s">
        <v>2379</v>
      </c>
      <c r="H566" s="113">
        <v>10.0</v>
      </c>
      <c r="I566" s="110" t="s">
        <v>70</v>
      </c>
      <c r="J566" s="112">
        <f>J556</f>
        <v>9990</v>
      </c>
      <c r="K566" s="110" t="str">
        <f>K556&amp;"     "</f>
        <v>$     </v>
      </c>
      <c r="L566" s="110" t="str">
        <f t="shared" ref="L566:U566" si="337">L556</f>
        <v/>
      </c>
      <c r="M566" s="110" t="str">
        <f t="shared" si="337"/>
        <v/>
      </c>
      <c r="N566" s="110" t="str">
        <f t="shared" si="337"/>
        <v/>
      </c>
      <c r="O566" s="110" t="str">
        <f t="shared" si="337"/>
        <v/>
      </c>
      <c r="P566" s="110" t="str">
        <f t="shared" si="337"/>
        <v/>
      </c>
      <c r="Q566" s="110" t="str">
        <f t="shared" si="337"/>
        <v/>
      </c>
      <c r="R566" s="110" t="str">
        <f t="shared" si="337"/>
        <v/>
      </c>
      <c r="S566" s="110" t="str">
        <f t="shared" si="337"/>
        <v/>
      </c>
      <c r="T566" s="110" t="str">
        <f t="shared" si="337"/>
        <v/>
      </c>
      <c r="U566" s="110" t="str">
        <f t="shared" si="337"/>
        <v/>
      </c>
      <c r="V566" s="110" t="str">
        <f t="shared" ref="V566:W566" si="338">V556&amp;"     "</f>
        <v>Nuevo     </v>
      </c>
      <c r="W566" s="112" t="str">
        <f t="shared" si="338"/>
        <v>Activa     </v>
      </c>
    </row>
    <row r="567" ht="49.5" customHeight="1">
      <c r="A567" s="110" t="s">
        <v>63</v>
      </c>
      <c r="B567" s="110" t="s">
        <v>2347</v>
      </c>
      <c r="C567" s="110" t="s">
        <v>2380</v>
      </c>
      <c r="D567" s="110" t="s">
        <v>2380</v>
      </c>
      <c r="E567" s="111" t="s">
        <v>2381</v>
      </c>
      <c r="F567" s="114" t="str">
        <f>"     "&amp;F556</f>
        <v>     Pack Short Drb 2.40.32 Futbol Liso</v>
      </c>
      <c r="G567" s="110" t="s">
        <v>2382</v>
      </c>
      <c r="H567" s="113">
        <v>10.0</v>
      </c>
      <c r="I567" s="110" t="s">
        <v>70</v>
      </c>
      <c r="J567" s="112">
        <f>J556</f>
        <v>9990</v>
      </c>
      <c r="K567" s="110" t="str">
        <f>K556&amp;"     "</f>
        <v>$     </v>
      </c>
      <c r="L567" s="110" t="str">
        <f t="shared" ref="L567:U567" si="339">L556</f>
        <v/>
      </c>
      <c r="M567" s="110" t="str">
        <f t="shared" si="339"/>
        <v/>
      </c>
      <c r="N567" s="110" t="str">
        <f t="shared" si="339"/>
        <v/>
      </c>
      <c r="O567" s="110" t="str">
        <f t="shared" si="339"/>
        <v/>
      </c>
      <c r="P567" s="110" t="str">
        <f t="shared" si="339"/>
        <v/>
      </c>
      <c r="Q567" s="110" t="str">
        <f t="shared" si="339"/>
        <v/>
      </c>
      <c r="R567" s="110" t="str">
        <f t="shared" si="339"/>
        <v/>
      </c>
      <c r="S567" s="110" t="str">
        <f t="shared" si="339"/>
        <v/>
      </c>
      <c r="T567" s="110" t="str">
        <f t="shared" si="339"/>
        <v/>
      </c>
      <c r="U567" s="110" t="str">
        <f t="shared" si="339"/>
        <v/>
      </c>
      <c r="V567" s="110" t="str">
        <f t="shared" ref="V567:W567" si="340">V556&amp;"     "</f>
        <v>Nuevo     </v>
      </c>
      <c r="W567" s="112" t="str">
        <f t="shared" si="340"/>
        <v>Activa     </v>
      </c>
    </row>
    <row r="568" ht="49.5" customHeight="1">
      <c r="A568" s="110" t="s">
        <v>63</v>
      </c>
      <c r="B568" s="110" t="s">
        <v>2347</v>
      </c>
      <c r="C568" s="110" t="s">
        <v>2383</v>
      </c>
      <c r="D568" s="110" t="s">
        <v>2383</v>
      </c>
      <c r="E568" s="111" t="s">
        <v>2384</v>
      </c>
      <c r="F568" s="114" t="str">
        <f>"     "&amp;F556</f>
        <v>     Pack Short Drb 2.40.32 Futbol Liso</v>
      </c>
      <c r="G568" s="110" t="s">
        <v>2385</v>
      </c>
      <c r="H568" s="113">
        <v>10.0</v>
      </c>
      <c r="I568" s="110" t="s">
        <v>70</v>
      </c>
      <c r="J568" s="112">
        <f>J556</f>
        <v>9990</v>
      </c>
      <c r="K568" s="110" t="str">
        <f>K556&amp;"     "</f>
        <v>$     </v>
      </c>
      <c r="L568" s="110" t="str">
        <f t="shared" ref="L568:U568" si="341">L556</f>
        <v/>
      </c>
      <c r="M568" s="110" t="str">
        <f t="shared" si="341"/>
        <v/>
      </c>
      <c r="N568" s="110" t="str">
        <f t="shared" si="341"/>
        <v/>
      </c>
      <c r="O568" s="110" t="str">
        <f t="shared" si="341"/>
        <v/>
      </c>
      <c r="P568" s="110" t="str">
        <f t="shared" si="341"/>
        <v/>
      </c>
      <c r="Q568" s="110" t="str">
        <f t="shared" si="341"/>
        <v/>
      </c>
      <c r="R568" s="110" t="str">
        <f t="shared" si="341"/>
        <v/>
      </c>
      <c r="S568" s="110" t="str">
        <f t="shared" si="341"/>
        <v/>
      </c>
      <c r="T568" s="110" t="str">
        <f t="shared" si="341"/>
        <v/>
      </c>
      <c r="U568" s="110" t="str">
        <f t="shared" si="341"/>
        <v/>
      </c>
      <c r="V568" s="110" t="str">
        <f t="shared" ref="V568:W568" si="342">V556&amp;"     "</f>
        <v>Nuevo     </v>
      </c>
      <c r="W568" s="112" t="str">
        <f t="shared" si="342"/>
        <v>Activa     </v>
      </c>
    </row>
    <row r="569" ht="49.5" customHeight="1">
      <c r="A569" s="110" t="s">
        <v>63</v>
      </c>
      <c r="B569" s="110" t="s">
        <v>2347</v>
      </c>
      <c r="C569" s="110" t="s">
        <v>2386</v>
      </c>
      <c r="D569" s="110" t="s">
        <v>2386</v>
      </c>
      <c r="E569" s="111" t="s">
        <v>2387</v>
      </c>
      <c r="F569" s="114" t="str">
        <f>"     "&amp;F556</f>
        <v>     Pack Short Drb 2.40.32 Futbol Liso</v>
      </c>
      <c r="G569" s="110" t="s">
        <v>2388</v>
      </c>
      <c r="H569" s="113">
        <v>10.0</v>
      </c>
      <c r="I569" s="110" t="s">
        <v>70</v>
      </c>
      <c r="J569" s="112">
        <f>J556</f>
        <v>9990</v>
      </c>
      <c r="K569" s="110" t="str">
        <f>K556&amp;"     "</f>
        <v>$     </v>
      </c>
      <c r="L569" s="110" t="str">
        <f t="shared" ref="L569:U569" si="343">L556</f>
        <v/>
      </c>
      <c r="M569" s="110" t="str">
        <f t="shared" si="343"/>
        <v/>
      </c>
      <c r="N569" s="110" t="str">
        <f t="shared" si="343"/>
        <v/>
      </c>
      <c r="O569" s="110" t="str">
        <f t="shared" si="343"/>
        <v/>
      </c>
      <c r="P569" s="110" t="str">
        <f t="shared" si="343"/>
        <v/>
      </c>
      <c r="Q569" s="110" t="str">
        <f t="shared" si="343"/>
        <v/>
      </c>
      <c r="R569" s="110" t="str">
        <f t="shared" si="343"/>
        <v/>
      </c>
      <c r="S569" s="110" t="str">
        <f t="shared" si="343"/>
        <v/>
      </c>
      <c r="T569" s="110" t="str">
        <f t="shared" si="343"/>
        <v/>
      </c>
      <c r="U569" s="110" t="str">
        <f t="shared" si="343"/>
        <v/>
      </c>
      <c r="V569" s="110" t="str">
        <f t="shared" ref="V569:W569" si="344">V556&amp;"     "</f>
        <v>Nuevo     </v>
      </c>
      <c r="W569" s="112" t="str">
        <f t="shared" si="344"/>
        <v>Activa     </v>
      </c>
    </row>
    <row r="570" ht="49.5" customHeight="1">
      <c r="A570" s="110" t="s">
        <v>63</v>
      </c>
      <c r="B570" s="110" t="s">
        <v>2347</v>
      </c>
      <c r="C570" s="110" t="s">
        <v>2389</v>
      </c>
      <c r="D570" s="110" t="s">
        <v>2389</v>
      </c>
      <c r="E570" s="111" t="s">
        <v>2390</v>
      </c>
      <c r="F570" s="114" t="str">
        <f>"     "&amp;F556</f>
        <v>     Pack Short Drb 2.40.32 Futbol Liso</v>
      </c>
      <c r="G570" s="110" t="s">
        <v>2391</v>
      </c>
      <c r="H570" s="113">
        <v>10.0</v>
      </c>
      <c r="I570" s="110" t="s">
        <v>70</v>
      </c>
      <c r="J570" s="112">
        <f>J556</f>
        <v>9990</v>
      </c>
      <c r="K570" s="110" t="str">
        <f>K556&amp;"     "</f>
        <v>$     </v>
      </c>
      <c r="L570" s="110" t="str">
        <f t="shared" ref="L570:U570" si="345">L556</f>
        <v/>
      </c>
      <c r="M570" s="110" t="str">
        <f t="shared" si="345"/>
        <v/>
      </c>
      <c r="N570" s="110" t="str">
        <f t="shared" si="345"/>
        <v/>
      </c>
      <c r="O570" s="110" t="str">
        <f t="shared" si="345"/>
        <v/>
      </c>
      <c r="P570" s="110" t="str">
        <f t="shared" si="345"/>
        <v/>
      </c>
      <c r="Q570" s="110" t="str">
        <f t="shared" si="345"/>
        <v/>
      </c>
      <c r="R570" s="110" t="str">
        <f t="shared" si="345"/>
        <v/>
      </c>
      <c r="S570" s="110" t="str">
        <f t="shared" si="345"/>
        <v/>
      </c>
      <c r="T570" s="110" t="str">
        <f t="shared" si="345"/>
        <v/>
      </c>
      <c r="U570" s="110" t="str">
        <f t="shared" si="345"/>
        <v/>
      </c>
      <c r="V570" s="110" t="str">
        <f t="shared" ref="V570:W570" si="346">V556&amp;"     "</f>
        <v>Nuevo     </v>
      </c>
      <c r="W570" s="112" t="str">
        <f t="shared" si="346"/>
        <v>Activa     </v>
      </c>
    </row>
    <row r="571" ht="49.5" customHeight="1">
      <c r="A571" s="110" t="s">
        <v>63</v>
      </c>
      <c r="B571" s="110" t="s">
        <v>2347</v>
      </c>
      <c r="C571" s="110" t="s">
        <v>2392</v>
      </c>
      <c r="D571" s="110" t="s">
        <v>2392</v>
      </c>
      <c r="E571" s="111" t="s">
        <v>2393</v>
      </c>
      <c r="F571" s="114" t="str">
        <f>"     "&amp;F556</f>
        <v>     Pack Short Drb 2.40.32 Futbol Liso</v>
      </c>
      <c r="G571" s="110" t="s">
        <v>2394</v>
      </c>
      <c r="H571" s="113">
        <v>10.0</v>
      </c>
      <c r="I571" s="110" t="s">
        <v>70</v>
      </c>
      <c r="J571" s="112">
        <f>J556</f>
        <v>9990</v>
      </c>
      <c r="K571" s="110" t="str">
        <f>K556&amp;"     "</f>
        <v>$     </v>
      </c>
      <c r="L571" s="110" t="str">
        <f t="shared" ref="L571:U571" si="347">L556</f>
        <v/>
      </c>
      <c r="M571" s="110" t="str">
        <f t="shared" si="347"/>
        <v/>
      </c>
      <c r="N571" s="110" t="str">
        <f t="shared" si="347"/>
        <v/>
      </c>
      <c r="O571" s="110" t="str">
        <f t="shared" si="347"/>
        <v/>
      </c>
      <c r="P571" s="110" t="str">
        <f t="shared" si="347"/>
        <v/>
      </c>
      <c r="Q571" s="110" t="str">
        <f t="shared" si="347"/>
        <v/>
      </c>
      <c r="R571" s="110" t="str">
        <f t="shared" si="347"/>
        <v/>
      </c>
      <c r="S571" s="110" t="str">
        <f t="shared" si="347"/>
        <v/>
      </c>
      <c r="T571" s="110" t="str">
        <f t="shared" si="347"/>
        <v/>
      </c>
      <c r="U571" s="110" t="str">
        <f t="shared" si="347"/>
        <v/>
      </c>
      <c r="V571" s="110" t="str">
        <f t="shared" ref="V571:W571" si="348">V556&amp;"     "</f>
        <v>Nuevo     </v>
      </c>
      <c r="W571" s="112" t="str">
        <f t="shared" si="348"/>
        <v>Activa     </v>
      </c>
    </row>
    <row r="572" ht="49.5" customHeight="1">
      <c r="A572" s="110" t="s">
        <v>63</v>
      </c>
      <c r="B572" s="110" t="s">
        <v>2347</v>
      </c>
      <c r="C572" s="110" t="s">
        <v>2395</v>
      </c>
      <c r="D572" s="110" t="s">
        <v>2395</v>
      </c>
      <c r="E572" s="111" t="s">
        <v>2396</v>
      </c>
      <c r="F572" s="114" t="str">
        <f>"     "&amp;F556</f>
        <v>     Pack Short Drb 2.40.32 Futbol Liso</v>
      </c>
      <c r="G572" s="110" t="s">
        <v>2397</v>
      </c>
      <c r="H572" s="113">
        <v>10.0</v>
      </c>
      <c r="I572" s="110" t="s">
        <v>70</v>
      </c>
      <c r="J572" s="112">
        <f>J556</f>
        <v>9990</v>
      </c>
      <c r="K572" s="110" t="str">
        <f>K556&amp;"     "</f>
        <v>$     </v>
      </c>
      <c r="L572" s="110" t="str">
        <f t="shared" ref="L572:U572" si="349">L556</f>
        <v/>
      </c>
      <c r="M572" s="110" t="str">
        <f t="shared" si="349"/>
        <v/>
      </c>
      <c r="N572" s="110" t="str">
        <f t="shared" si="349"/>
        <v/>
      </c>
      <c r="O572" s="110" t="str">
        <f t="shared" si="349"/>
        <v/>
      </c>
      <c r="P572" s="110" t="str">
        <f t="shared" si="349"/>
        <v/>
      </c>
      <c r="Q572" s="110" t="str">
        <f t="shared" si="349"/>
        <v/>
      </c>
      <c r="R572" s="110" t="str">
        <f t="shared" si="349"/>
        <v/>
      </c>
      <c r="S572" s="110" t="str">
        <f t="shared" si="349"/>
        <v/>
      </c>
      <c r="T572" s="110" t="str">
        <f t="shared" si="349"/>
        <v/>
      </c>
      <c r="U572" s="110" t="str">
        <f t="shared" si="349"/>
        <v/>
      </c>
      <c r="V572" s="110" t="str">
        <f t="shared" ref="V572:W572" si="350">V556&amp;"     "</f>
        <v>Nuevo     </v>
      </c>
      <c r="W572" s="112" t="str">
        <f t="shared" si="350"/>
        <v>Activa     </v>
      </c>
    </row>
    <row r="573" ht="49.5" customHeight="1">
      <c r="A573" s="110" t="s">
        <v>63</v>
      </c>
      <c r="B573" s="110" t="s">
        <v>2398</v>
      </c>
      <c r="C573" s="110"/>
      <c r="D573" s="110"/>
      <c r="E573" s="112" t="s">
        <v>63</v>
      </c>
      <c r="F573" s="111" t="s">
        <v>2399</v>
      </c>
      <c r="G573" s="110" t="s">
        <v>70</v>
      </c>
      <c r="H573" s="110" t="s">
        <v>321</v>
      </c>
      <c r="I573" s="110" t="s">
        <v>70</v>
      </c>
      <c r="J573" s="112">
        <v>5590.0</v>
      </c>
      <c r="K573" s="113" t="s">
        <v>71</v>
      </c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 t="s">
        <v>72</v>
      </c>
      <c r="W573" s="112" t="s">
        <v>73</v>
      </c>
    </row>
    <row r="574" ht="49.5" customHeight="1">
      <c r="A574" s="110" t="s">
        <v>63</v>
      </c>
      <c r="B574" s="110" t="s">
        <v>2398</v>
      </c>
      <c r="C574" s="110" t="s">
        <v>2400</v>
      </c>
      <c r="D574" s="110" t="s">
        <v>2400</v>
      </c>
      <c r="E574" s="111" t="s">
        <v>2401</v>
      </c>
      <c r="F574" s="114" t="str">
        <f>"     "&amp;F573</f>
        <v>     Pack Media Adulto 2.20.14 Lisa</v>
      </c>
      <c r="G574" s="110" t="s">
        <v>2402</v>
      </c>
      <c r="H574" s="113">
        <v>10.0</v>
      </c>
      <c r="I574" s="110" t="s">
        <v>70</v>
      </c>
      <c r="J574" s="112">
        <f>J573</f>
        <v>5590</v>
      </c>
      <c r="K574" s="110" t="str">
        <f>K573&amp;"     "</f>
        <v>$     </v>
      </c>
      <c r="L574" s="110" t="str">
        <f t="shared" ref="L574:U574" si="351">L573</f>
        <v/>
      </c>
      <c r="M574" s="110" t="str">
        <f t="shared" si="351"/>
        <v/>
      </c>
      <c r="N574" s="110" t="str">
        <f t="shared" si="351"/>
        <v/>
      </c>
      <c r="O574" s="110" t="str">
        <f t="shared" si="351"/>
        <v/>
      </c>
      <c r="P574" s="110" t="str">
        <f t="shared" si="351"/>
        <v/>
      </c>
      <c r="Q574" s="110" t="str">
        <f t="shared" si="351"/>
        <v/>
      </c>
      <c r="R574" s="110" t="str">
        <f t="shared" si="351"/>
        <v/>
      </c>
      <c r="S574" s="110" t="str">
        <f t="shared" si="351"/>
        <v/>
      </c>
      <c r="T574" s="110" t="str">
        <f t="shared" si="351"/>
        <v/>
      </c>
      <c r="U574" s="110" t="str">
        <f t="shared" si="351"/>
        <v/>
      </c>
      <c r="V574" s="110" t="str">
        <f t="shared" ref="V574:W574" si="352">V573&amp;"     "</f>
        <v>Nuevo     </v>
      </c>
      <c r="W574" s="112" t="str">
        <f t="shared" si="352"/>
        <v>Activa     </v>
      </c>
    </row>
    <row r="575" ht="49.5" customHeight="1">
      <c r="A575" s="110" t="s">
        <v>63</v>
      </c>
      <c r="B575" s="110" t="s">
        <v>2398</v>
      </c>
      <c r="C575" s="110" t="s">
        <v>2403</v>
      </c>
      <c r="D575" s="110" t="s">
        <v>2403</v>
      </c>
      <c r="E575" s="111" t="s">
        <v>2404</v>
      </c>
      <c r="F575" s="114" t="str">
        <f>"     "&amp;F573</f>
        <v>     Pack Media Adulto 2.20.14 Lisa</v>
      </c>
      <c r="G575" s="110" t="s">
        <v>2405</v>
      </c>
      <c r="H575" s="113">
        <v>10.0</v>
      </c>
      <c r="I575" s="110" t="s">
        <v>70</v>
      </c>
      <c r="J575" s="112">
        <f>J573</f>
        <v>5590</v>
      </c>
      <c r="K575" s="110" t="str">
        <f>K573&amp;"     "</f>
        <v>$     </v>
      </c>
      <c r="L575" s="110" t="str">
        <f t="shared" ref="L575:U575" si="353">L573</f>
        <v/>
      </c>
      <c r="M575" s="110" t="str">
        <f t="shared" si="353"/>
        <v/>
      </c>
      <c r="N575" s="110" t="str">
        <f t="shared" si="353"/>
        <v/>
      </c>
      <c r="O575" s="110" t="str">
        <f t="shared" si="353"/>
        <v/>
      </c>
      <c r="P575" s="110" t="str">
        <f t="shared" si="353"/>
        <v/>
      </c>
      <c r="Q575" s="110" t="str">
        <f t="shared" si="353"/>
        <v/>
      </c>
      <c r="R575" s="110" t="str">
        <f t="shared" si="353"/>
        <v/>
      </c>
      <c r="S575" s="110" t="str">
        <f t="shared" si="353"/>
        <v/>
      </c>
      <c r="T575" s="110" t="str">
        <f t="shared" si="353"/>
        <v/>
      </c>
      <c r="U575" s="110" t="str">
        <f t="shared" si="353"/>
        <v/>
      </c>
      <c r="V575" s="110" t="str">
        <f t="shared" ref="V575:W575" si="354">V573&amp;"     "</f>
        <v>Nuevo     </v>
      </c>
      <c r="W575" s="112" t="str">
        <f t="shared" si="354"/>
        <v>Activa     </v>
      </c>
    </row>
    <row r="576" ht="49.5" customHeight="1">
      <c r="A576" s="110" t="s">
        <v>63</v>
      </c>
      <c r="B576" s="110" t="s">
        <v>2398</v>
      </c>
      <c r="C576" s="110" t="s">
        <v>2406</v>
      </c>
      <c r="D576" s="110" t="s">
        <v>2406</v>
      </c>
      <c r="E576" s="111" t="s">
        <v>2407</v>
      </c>
      <c r="F576" s="114" t="str">
        <f>"     "&amp;F573</f>
        <v>     Pack Media Adulto 2.20.14 Lisa</v>
      </c>
      <c r="G576" s="110" t="s">
        <v>889</v>
      </c>
      <c r="H576" s="113">
        <v>10.0</v>
      </c>
      <c r="I576" s="110" t="s">
        <v>70</v>
      </c>
      <c r="J576" s="112">
        <f>J573</f>
        <v>5590</v>
      </c>
      <c r="K576" s="110" t="str">
        <f>K573&amp;"     "</f>
        <v>$     </v>
      </c>
      <c r="L576" s="110" t="str">
        <f t="shared" ref="L576:U576" si="355">L573</f>
        <v/>
      </c>
      <c r="M576" s="110" t="str">
        <f t="shared" si="355"/>
        <v/>
      </c>
      <c r="N576" s="110" t="str">
        <f t="shared" si="355"/>
        <v/>
      </c>
      <c r="O576" s="110" t="str">
        <f t="shared" si="355"/>
        <v/>
      </c>
      <c r="P576" s="110" t="str">
        <f t="shared" si="355"/>
        <v/>
      </c>
      <c r="Q576" s="110" t="str">
        <f t="shared" si="355"/>
        <v/>
      </c>
      <c r="R576" s="110" t="str">
        <f t="shared" si="355"/>
        <v/>
      </c>
      <c r="S576" s="110" t="str">
        <f t="shared" si="355"/>
        <v/>
      </c>
      <c r="T576" s="110" t="str">
        <f t="shared" si="355"/>
        <v/>
      </c>
      <c r="U576" s="110" t="str">
        <f t="shared" si="355"/>
        <v/>
      </c>
      <c r="V576" s="110" t="str">
        <f t="shared" ref="V576:W576" si="356">V573&amp;"     "</f>
        <v>Nuevo     </v>
      </c>
      <c r="W576" s="112" t="str">
        <f t="shared" si="356"/>
        <v>Activa     </v>
      </c>
    </row>
    <row r="577" ht="49.5" customHeight="1">
      <c r="A577" s="110" t="s">
        <v>63</v>
      </c>
      <c r="B577" s="110" t="s">
        <v>2408</v>
      </c>
      <c r="C577" s="110"/>
      <c r="D577" s="110"/>
      <c r="E577" s="112" t="s">
        <v>63</v>
      </c>
      <c r="F577" s="111" t="s">
        <v>2409</v>
      </c>
      <c r="G577" s="110" t="s">
        <v>70</v>
      </c>
      <c r="H577" s="110" t="s">
        <v>666</v>
      </c>
      <c r="I577" s="110" t="s">
        <v>70</v>
      </c>
      <c r="J577" s="112">
        <v>7090.0</v>
      </c>
      <c r="K577" s="113" t="s">
        <v>71</v>
      </c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 t="s">
        <v>72</v>
      </c>
      <c r="W577" s="112" t="s">
        <v>73</v>
      </c>
    </row>
    <row r="578" ht="49.5" customHeight="1">
      <c r="A578" s="110" t="s">
        <v>63</v>
      </c>
      <c r="B578" s="110" t="s">
        <v>2408</v>
      </c>
      <c r="C578" s="110" t="s">
        <v>2410</v>
      </c>
      <c r="D578" s="110" t="s">
        <v>2410</v>
      </c>
      <c r="E578" s="111" t="s">
        <v>879</v>
      </c>
      <c r="F578" s="114" t="str">
        <f>"     "&amp;F577</f>
        <v>     Pack Media Adulto 2.20.20 Sin Pie</v>
      </c>
      <c r="G578" s="110" t="s">
        <v>880</v>
      </c>
      <c r="H578" s="113">
        <v>10.0</v>
      </c>
      <c r="I578" s="110" t="s">
        <v>70</v>
      </c>
      <c r="J578" s="112">
        <f>J577</f>
        <v>7090</v>
      </c>
      <c r="K578" s="110" t="str">
        <f>K577&amp;"     "</f>
        <v>$     </v>
      </c>
      <c r="L578" s="110" t="str">
        <f t="shared" ref="L578:U578" si="357">L577</f>
        <v/>
      </c>
      <c r="M578" s="110" t="str">
        <f t="shared" si="357"/>
        <v/>
      </c>
      <c r="N578" s="110" t="str">
        <f t="shared" si="357"/>
        <v/>
      </c>
      <c r="O578" s="110" t="str">
        <f t="shared" si="357"/>
        <v/>
      </c>
      <c r="P578" s="110" t="str">
        <f t="shared" si="357"/>
        <v/>
      </c>
      <c r="Q578" s="110" t="str">
        <f t="shared" si="357"/>
        <v/>
      </c>
      <c r="R578" s="110" t="str">
        <f t="shared" si="357"/>
        <v/>
      </c>
      <c r="S578" s="110" t="str">
        <f t="shared" si="357"/>
        <v/>
      </c>
      <c r="T578" s="110" t="str">
        <f t="shared" si="357"/>
        <v/>
      </c>
      <c r="U578" s="110" t="str">
        <f t="shared" si="357"/>
        <v/>
      </c>
      <c r="V578" s="110" t="str">
        <f t="shared" ref="V578:W578" si="358">V577&amp;"     "</f>
        <v>Nuevo     </v>
      </c>
      <c r="W578" s="112" t="str">
        <f t="shared" si="358"/>
        <v>Activa     </v>
      </c>
    </row>
    <row r="579" ht="49.5" customHeight="1">
      <c r="A579" s="110" t="s">
        <v>63</v>
      </c>
      <c r="B579" s="110" t="s">
        <v>2408</v>
      </c>
      <c r="C579" s="110" t="s">
        <v>2411</v>
      </c>
      <c r="D579" s="110" t="s">
        <v>2411</v>
      </c>
      <c r="E579" s="111" t="s">
        <v>2412</v>
      </c>
      <c r="F579" s="114" t="str">
        <f>"     "&amp;F577</f>
        <v>     Pack Media Adulto 2.20.20 Sin Pie</v>
      </c>
      <c r="G579" s="110" t="s">
        <v>883</v>
      </c>
      <c r="H579" s="113">
        <v>10.0</v>
      </c>
      <c r="I579" s="110" t="s">
        <v>70</v>
      </c>
      <c r="J579" s="112">
        <f>J577</f>
        <v>7090</v>
      </c>
      <c r="K579" s="110" t="str">
        <f>K577&amp;"     "</f>
        <v>$     </v>
      </c>
      <c r="L579" s="110" t="str">
        <f t="shared" ref="L579:U579" si="359">L577</f>
        <v/>
      </c>
      <c r="M579" s="110" t="str">
        <f t="shared" si="359"/>
        <v/>
      </c>
      <c r="N579" s="110" t="str">
        <f t="shared" si="359"/>
        <v/>
      </c>
      <c r="O579" s="110" t="str">
        <f t="shared" si="359"/>
        <v/>
      </c>
      <c r="P579" s="110" t="str">
        <f t="shared" si="359"/>
        <v/>
      </c>
      <c r="Q579" s="110" t="str">
        <f t="shared" si="359"/>
        <v/>
      </c>
      <c r="R579" s="110" t="str">
        <f t="shared" si="359"/>
        <v/>
      </c>
      <c r="S579" s="110" t="str">
        <f t="shared" si="359"/>
        <v/>
      </c>
      <c r="T579" s="110" t="str">
        <f t="shared" si="359"/>
        <v/>
      </c>
      <c r="U579" s="110" t="str">
        <f t="shared" si="359"/>
        <v/>
      </c>
      <c r="V579" s="110" t="str">
        <f t="shared" ref="V579:W579" si="360">V577&amp;"     "</f>
        <v>Nuevo     </v>
      </c>
      <c r="W579" s="112" t="str">
        <f t="shared" si="360"/>
        <v>Activa     </v>
      </c>
    </row>
    <row r="580" ht="49.5" customHeight="1">
      <c r="A580" s="110" t="s">
        <v>63</v>
      </c>
      <c r="B580" s="110" t="s">
        <v>2408</v>
      </c>
      <c r="C580" s="110" t="s">
        <v>2413</v>
      </c>
      <c r="D580" s="110" t="s">
        <v>2413</v>
      </c>
      <c r="E580" s="111" t="s">
        <v>2414</v>
      </c>
      <c r="F580" s="114" t="str">
        <f>"     "&amp;F577</f>
        <v>     Pack Media Adulto 2.20.20 Sin Pie</v>
      </c>
      <c r="G580" s="110" t="s">
        <v>886</v>
      </c>
      <c r="H580" s="113">
        <v>10.0</v>
      </c>
      <c r="I580" s="110" t="s">
        <v>70</v>
      </c>
      <c r="J580" s="112">
        <f>J577</f>
        <v>7090</v>
      </c>
      <c r="K580" s="110" t="str">
        <f>K577&amp;"     "</f>
        <v>$     </v>
      </c>
      <c r="L580" s="110" t="str">
        <f t="shared" ref="L580:U580" si="361">L577</f>
        <v/>
      </c>
      <c r="M580" s="110" t="str">
        <f t="shared" si="361"/>
        <v/>
      </c>
      <c r="N580" s="110" t="str">
        <f t="shared" si="361"/>
        <v/>
      </c>
      <c r="O580" s="110" t="str">
        <f t="shared" si="361"/>
        <v/>
      </c>
      <c r="P580" s="110" t="str">
        <f t="shared" si="361"/>
        <v/>
      </c>
      <c r="Q580" s="110" t="str">
        <f t="shared" si="361"/>
        <v/>
      </c>
      <c r="R580" s="110" t="str">
        <f t="shared" si="361"/>
        <v/>
      </c>
      <c r="S580" s="110" t="str">
        <f t="shared" si="361"/>
        <v/>
      </c>
      <c r="T580" s="110" t="str">
        <f t="shared" si="361"/>
        <v/>
      </c>
      <c r="U580" s="110" t="str">
        <f t="shared" si="361"/>
        <v/>
      </c>
      <c r="V580" s="110" t="str">
        <f t="shared" ref="V580:W580" si="362">V577&amp;"     "</f>
        <v>Nuevo     </v>
      </c>
      <c r="W580" s="112" t="str">
        <f t="shared" si="362"/>
        <v>Activa     </v>
      </c>
    </row>
    <row r="581" ht="49.5" customHeight="1">
      <c r="A581" s="110" t="s">
        <v>63</v>
      </c>
      <c r="B581" s="110" t="s">
        <v>2408</v>
      </c>
      <c r="C581" s="110" t="s">
        <v>2415</v>
      </c>
      <c r="D581" s="110" t="s">
        <v>2415</v>
      </c>
      <c r="E581" s="111" t="s">
        <v>2416</v>
      </c>
      <c r="F581" s="114" t="str">
        <f>"     "&amp;F577</f>
        <v>     Pack Media Adulto 2.20.20 Sin Pie</v>
      </c>
      <c r="G581" s="110" t="s">
        <v>889</v>
      </c>
      <c r="H581" s="113">
        <v>10.0</v>
      </c>
      <c r="I581" s="110" t="s">
        <v>70</v>
      </c>
      <c r="J581" s="112">
        <f>J577</f>
        <v>7090</v>
      </c>
      <c r="K581" s="110" t="str">
        <f>K577&amp;"     "</f>
        <v>$     </v>
      </c>
      <c r="L581" s="110" t="str">
        <f t="shared" ref="L581:U581" si="363">L577</f>
        <v/>
      </c>
      <c r="M581" s="110" t="str">
        <f t="shared" si="363"/>
        <v/>
      </c>
      <c r="N581" s="110" t="str">
        <f t="shared" si="363"/>
        <v/>
      </c>
      <c r="O581" s="110" t="str">
        <f t="shared" si="363"/>
        <v/>
      </c>
      <c r="P581" s="110" t="str">
        <f t="shared" si="363"/>
        <v/>
      </c>
      <c r="Q581" s="110" t="str">
        <f t="shared" si="363"/>
        <v/>
      </c>
      <c r="R581" s="110" t="str">
        <f t="shared" si="363"/>
        <v/>
      </c>
      <c r="S581" s="110" t="str">
        <f t="shared" si="363"/>
        <v/>
      </c>
      <c r="T581" s="110" t="str">
        <f t="shared" si="363"/>
        <v/>
      </c>
      <c r="U581" s="110" t="str">
        <f t="shared" si="363"/>
        <v/>
      </c>
      <c r="V581" s="110" t="str">
        <f t="shared" ref="V581:W581" si="364">V577&amp;"     "</f>
        <v>Nuevo     </v>
      </c>
      <c r="W581" s="112" t="str">
        <f t="shared" si="364"/>
        <v>Activa     </v>
      </c>
    </row>
    <row r="582" ht="49.5" customHeight="1">
      <c r="A582" s="110" t="s">
        <v>63</v>
      </c>
      <c r="B582" s="110" t="s">
        <v>2417</v>
      </c>
      <c r="C582" s="110"/>
      <c r="D582" s="110"/>
      <c r="E582" s="112" t="s">
        <v>63</v>
      </c>
      <c r="F582" s="111" t="s">
        <v>2418</v>
      </c>
      <c r="G582" s="110" t="s">
        <v>70</v>
      </c>
      <c r="H582" s="110" t="s">
        <v>666</v>
      </c>
      <c r="I582" s="110" t="s">
        <v>70</v>
      </c>
      <c r="J582" s="112">
        <v>8590.0</v>
      </c>
      <c r="K582" s="113" t="s">
        <v>71</v>
      </c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 t="s">
        <v>72</v>
      </c>
      <c r="W582" s="112" t="s">
        <v>73</v>
      </c>
    </row>
    <row r="583" ht="49.5" customHeight="1">
      <c r="A583" s="110" t="s">
        <v>63</v>
      </c>
      <c r="B583" s="110" t="s">
        <v>2417</v>
      </c>
      <c r="C583" s="110" t="s">
        <v>2419</v>
      </c>
      <c r="D583" s="110" t="s">
        <v>2419</v>
      </c>
      <c r="E583" s="111" t="s">
        <v>2420</v>
      </c>
      <c r="F583" s="114" t="str">
        <f>"     "&amp;F582</f>
        <v>     Pack Media Adulto 2.20.00 Lisa</v>
      </c>
      <c r="G583" s="110" t="s">
        <v>2421</v>
      </c>
      <c r="H583" s="113">
        <v>10.0</v>
      </c>
      <c r="I583" s="110" t="s">
        <v>70</v>
      </c>
      <c r="J583" s="112">
        <f>J582</f>
        <v>8590</v>
      </c>
      <c r="K583" s="110" t="str">
        <f>K582&amp;"     "</f>
        <v>$     </v>
      </c>
      <c r="L583" s="110" t="str">
        <f t="shared" ref="L583:U583" si="365">L582</f>
        <v/>
      </c>
      <c r="M583" s="110" t="str">
        <f t="shared" si="365"/>
        <v/>
      </c>
      <c r="N583" s="110" t="str">
        <f t="shared" si="365"/>
        <v/>
      </c>
      <c r="O583" s="110" t="str">
        <f t="shared" si="365"/>
        <v/>
      </c>
      <c r="P583" s="110" t="str">
        <f t="shared" si="365"/>
        <v/>
      </c>
      <c r="Q583" s="110" t="str">
        <f t="shared" si="365"/>
        <v/>
      </c>
      <c r="R583" s="110" t="str">
        <f t="shared" si="365"/>
        <v/>
      </c>
      <c r="S583" s="110" t="str">
        <f t="shared" si="365"/>
        <v/>
      </c>
      <c r="T583" s="110" t="str">
        <f t="shared" si="365"/>
        <v/>
      </c>
      <c r="U583" s="110" t="str">
        <f t="shared" si="365"/>
        <v/>
      </c>
      <c r="V583" s="110" t="str">
        <f t="shared" ref="V583:W583" si="366">V582&amp;"     "</f>
        <v>Nuevo     </v>
      </c>
      <c r="W583" s="112" t="str">
        <f t="shared" si="366"/>
        <v>Activa     </v>
      </c>
    </row>
    <row r="584" ht="49.5" customHeight="1">
      <c r="A584" s="110" t="s">
        <v>63</v>
      </c>
      <c r="B584" s="110" t="s">
        <v>2417</v>
      </c>
      <c r="C584" s="110" t="s">
        <v>2422</v>
      </c>
      <c r="D584" s="110" t="s">
        <v>2422</v>
      </c>
      <c r="E584" s="111" t="s">
        <v>2423</v>
      </c>
      <c r="F584" s="114" t="str">
        <f>"     "&amp;F582</f>
        <v>     Pack Media Adulto 2.20.00 Lisa</v>
      </c>
      <c r="G584" s="110" t="s">
        <v>2402</v>
      </c>
      <c r="H584" s="113">
        <v>10.0</v>
      </c>
      <c r="I584" s="110" t="s">
        <v>70</v>
      </c>
      <c r="J584" s="112">
        <f>J582</f>
        <v>8590</v>
      </c>
      <c r="K584" s="110" t="str">
        <f>K582&amp;"     "</f>
        <v>$     </v>
      </c>
      <c r="L584" s="110" t="str">
        <f t="shared" ref="L584:U584" si="367">L582</f>
        <v/>
      </c>
      <c r="M584" s="110" t="str">
        <f t="shared" si="367"/>
        <v/>
      </c>
      <c r="N584" s="110" t="str">
        <f t="shared" si="367"/>
        <v/>
      </c>
      <c r="O584" s="110" t="str">
        <f t="shared" si="367"/>
        <v/>
      </c>
      <c r="P584" s="110" t="str">
        <f t="shared" si="367"/>
        <v/>
      </c>
      <c r="Q584" s="110" t="str">
        <f t="shared" si="367"/>
        <v/>
      </c>
      <c r="R584" s="110" t="str">
        <f t="shared" si="367"/>
        <v/>
      </c>
      <c r="S584" s="110" t="str">
        <f t="shared" si="367"/>
        <v/>
      </c>
      <c r="T584" s="110" t="str">
        <f t="shared" si="367"/>
        <v/>
      </c>
      <c r="U584" s="110" t="str">
        <f t="shared" si="367"/>
        <v/>
      </c>
      <c r="V584" s="110" t="str">
        <f t="shared" ref="V584:W584" si="368">V582&amp;"     "</f>
        <v>Nuevo     </v>
      </c>
      <c r="W584" s="112" t="str">
        <f t="shared" si="368"/>
        <v>Activa     </v>
      </c>
    </row>
    <row r="585" ht="49.5" customHeight="1">
      <c r="A585" s="110" t="s">
        <v>63</v>
      </c>
      <c r="B585" s="110" t="s">
        <v>2417</v>
      </c>
      <c r="C585" s="110" t="s">
        <v>2424</v>
      </c>
      <c r="D585" s="110" t="s">
        <v>2424</v>
      </c>
      <c r="E585" s="111" t="s">
        <v>2425</v>
      </c>
      <c r="F585" s="114" t="str">
        <f>"     "&amp;F582</f>
        <v>     Pack Media Adulto 2.20.00 Lisa</v>
      </c>
      <c r="G585" s="110" t="s">
        <v>886</v>
      </c>
      <c r="H585" s="113">
        <v>10.0</v>
      </c>
      <c r="I585" s="110" t="s">
        <v>70</v>
      </c>
      <c r="J585" s="112">
        <f>J582</f>
        <v>8590</v>
      </c>
      <c r="K585" s="110" t="str">
        <f>K582&amp;"     "</f>
        <v>$     </v>
      </c>
      <c r="L585" s="110" t="str">
        <f t="shared" ref="L585:U585" si="369">L582</f>
        <v/>
      </c>
      <c r="M585" s="110" t="str">
        <f t="shared" si="369"/>
        <v/>
      </c>
      <c r="N585" s="110" t="str">
        <f t="shared" si="369"/>
        <v/>
      </c>
      <c r="O585" s="110" t="str">
        <f t="shared" si="369"/>
        <v/>
      </c>
      <c r="P585" s="110" t="str">
        <f t="shared" si="369"/>
        <v/>
      </c>
      <c r="Q585" s="110" t="str">
        <f t="shared" si="369"/>
        <v/>
      </c>
      <c r="R585" s="110" t="str">
        <f t="shared" si="369"/>
        <v/>
      </c>
      <c r="S585" s="110" t="str">
        <f t="shared" si="369"/>
        <v/>
      </c>
      <c r="T585" s="110" t="str">
        <f t="shared" si="369"/>
        <v/>
      </c>
      <c r="U585" s="110" t="str">
        <f t="shared" si="369"/>
        <v/>
      </c>
      <c r="V585" s="110" t="str">
        <f t="shared" ref="V585:W585" si="370">V582&amp;"     "</f>
        <v>Nuevo     </v>
      </c>
      <c r="W585" s="112" t="str">
        <f t="shared" si="370"/>
        <v>Activa     </v>
      </c>
    </row>
    <row r="586" ht="49.5" customHeight="1">
      <c r="A586" s="110" t="s">
        <v>63</v>
      </c>
      <c r="B586" s="110" t="s">
        <v>2417</v>
      </c>
      <c r="C586" s="110" t="s">
        <v>2426</v>
      </c>
      <c r="D586" s="110" t="s">
        <v>2426</v>
      </c>
      <c r="E586" s="111" t="s">
        <v>2427</v>
      </c>
      <c r="F586" s="114" t="str">
        <f>"     "&amp;F582</f>
        <v>     Pack Media Adulto 2.20.00 Lisa</v>
      </c>
      <c r="G586" s="110" t="s">
        <v>2428</v>
      </c>
      <c r="H586" s="113">
        <v>10.0</v>
      </c>
      <c r="I586" s="110" t="s">
        <v>70</v>
      </c>
      <c r="J586" s="112">
        <f>J582</f>
        <v>8590</v>
      </c>
      <c r="K586" s="110" t="str">
        <f>K582&amp;"     "</f>
        <v>$     </v>
      </c>
      <c r="L586" s="110" t="str">
        <f t="shared" ref="L586:U586" si="371">L582</f>
        <v/>
      </c>
      <c r="M586" s="110" t="str">
        <f t="shared" si="371"/>
        <v/>
      </c>
      <c r="N586" s="110" t="str">
        <f t="shared" si="371"/>
        <v/>
      </c>
      <c r="O586" s="110" t="str">
        <f t="shared" si="371"/>
        <v/>
      </c>
      <c r="P586" s="110" t="str">
        <f t="shared" si="371"/>
        <v/>
      </c>
      <c r="Q586" s="110" t="str">
        <f t="shared" si="371"/>
        <v/>
      </c>
      <c r="R586" s="110" t="str">
        <f t="shared" si="371"/>
        <v/>
      </c>
      <c r="S586" s="110" t="str">
        <f t="shared" si="371"/>
        <v/>
      </c>
      <c r="T586" s="110" t="str">
        <f t="shared" si="371"/>
        <v/>
      </c>
      <c r="U586" s="110" t="str">
        <f t="shared" si="371"/>
        <v/>
      </c>
      <c r="V586" s="110" t="str">
        <f t="shared" ref="V586:W586" si="372">V582&amp;"     "</f>
        <v>Nuevo     </v>
      </c>
      <c r="W586" s="112" t="str">
        <f t="shared" si="372"/>
        <v>Activa     </v>
      </c>
    </row>
    <row r="587" ht="49.5" customHeight="1">
      <c r="A587" s="110" t="s">
        <v>2429</v>
      </c>
      <c r="B587" s="110" t="s">
        <v>2430</v>
      </c>
      <c r="C587" s="110" t="s">
        <v>2431</v>
      </c>
      <c r="D587" s="110"/>
      <c r="E587" s="111" t="s">
        <v>2432</v>
      </c>
      <c r="F587" s="111" t="s">
        <v>2433</v>
      </c>
      <c r="G587" s="110" t="s">
        <v>144</v>
      </c>
      <c r="H587" s="113">
        <v>30.0</v>
      </c>
      <c r="I587" s="110" t="s">
        <v>70</v>
      </c>
      <c r="J587" s="112">
        <v>84290.0</v>
      </c>
      <c r="K587" s="113" t="s">
        <v>71</v>
      </c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 t="s">
        <v>72</v>
      </c>
      <c r="W587" s="112" t="s">
        <v>73</v>
      </c>
    </row>
    <row r="588" ht="49.5" customHeight="1">
      <c r="A588" s="110" t="s">
        <v>63</v>
      </c>
      <c r="B588" s="110" t="s">
        <v>2434</v>
      </c>
      <c r="C588" s="110"/>
      <c r="D588" s="110"/>
      <c r="E588" s="112" t="s">
        <v>63</v>
      </c>
      <c r="F588" s="111" t="s">
        <v>2435</v>
      </c>
      <c r="G588" s="110" t="s">
        <v>70</v>
      </c>
      <c r="H588" s="110" t="s">
        <v>666</v>
      </c>
      <c r="I588" s="110" t="s">
        <v>70</v>
      </c>
      <c r="J588" s="112">
        <v>9490.0</v>
      </c>
      <c r="K588" s="113" t="s">
        <v>71</v>
      </c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 t="s">
        <v>72</v>
      </c>
      <c r="W588" s="112" t="s">
        <v>73</v>
      </c>
    </row>
    <row r="589" ht="49.5" customHeight="1">
      <c r="A589" s="110" t="s">
        <v>63</v>
      </c>
      <c r="B589" s="110" t="s">
        <v>2434</v>
      </c>
      <c r="C589" s="110" t="s">
        <v>2436</v>
      </c>
      <c r="D589" s="110" t="s">
        <v>2436</v>
      </c>
      <c r="E589" s="111" t="s">
        <v>2437</v>
      </c>
      <c r="F589" s="114" t="str">
        <f>"     "&amp;F588</f>
        <v>     Tripack Media Adulto Drb 2.20.20 - Sin Pie</v>
      </c>
      <c r="G589" s="110" t="s">
        <v>2438</v>
      </c>
      <c r="H589" s="113">
        <v>10.0</v>
      </c>
      <c r="I589" s="110" t="s">
        <v>70</v>
      </c>
      <c r="J589" s="112">
        <f>J588</f>
        <v>9490</v>
      </c>
      <c r="K589" s="110" t="str">
        <f>K588&amp;"     "</f>
        <v>$     </v>
      </c>
      <c r="L589" s="110" t="str">
        <f t="shared" ref="L589:U589" si="373">L588</f>
        <v/>
      </c>
      <c r="M589" s="110" t="str">
        <f t="shared" si="373"/>
        <v/>
      </c>
      <c r="N589" s="110" t="str">
        <f t="shared" si="373"/>
        <v/>
      </c>
      <c r="O589" s="110" t="str">
        <f t="shared" si="373"/>
        <v/>
      </c>
      <c r="P589" s="110" t="str">
        <f t="shared" si="373"/>
        <v/>
      </c>
      <c r="Q589" s="110" t="str">
        <f t="shared" si="373"/>
        <v/>
      </c>
      <c r="R589" s="110" t="str">
        <f t="shared" si="373"/>
        <v/>
      </c>
      <c r="S589" s="110" t="str">
        <f t="shared" si="373"/>
        <v/>
      </c>
      <c r="T589" s="110" t="str">
        <f t="shared" si="373"/>
        <v/>
      </c>
      <c r="U589" s="110" t="str">
        <f t="shared" si="373"/>
        <v/>
      </c>
      <c r="V589" s="110" t="str">
        <f t="shared" ref="V589:W589" si="374">V588&amp;"     "</f>
        <v>Nuevo     </v>
      </c>
      <c r="W589" s="112" t="str">
        <f t="shared" si="374"/>
        <v>Activa     </v>
      </c>
    </row>
    <row r="590" ht="49.5" customHeight="1">
      <c r="A590" s="110" t="s">
        <v>63</v>
      </c>
      <c r="B590" s="110" t="s">
        <v>2434</v>
      </c>
      <c r="C590" s="110" t="s">
        <v>2439</v>
      </c>
      <c r="D590" s="110" t="s">
        <v>2439</v>
      </c>
      <c r="E590" s="111" t="s">
        <v>2440</v>
      </c>
      <c r="F590" s="114" t="str">
        <f>"     "&amp;F588</f>
        <v>     Tripack Media Adulto Drb 2.20.20 - Sin Pie</v>
      </c>
      <c r="G590" s="110" t="s">
        <v>2441</v>
      </c>
      <c r="H590" s="113">
        <v>10.0</v>
      </c>
      <c r="I590" s="110" t="s">
        <v>70</v>
      </c>
      <c r="J590" s="112">
        <f>J588</f>
        <v>9490</v>
      </c>
      <c r="K590" s="110" t="str">
        <f>K588&amp;"     "</f>
        <v>$     </v>
      </c>
      <c r="L590" s="110" t="str">
        <f t="shared" ref="L590:U590" si="375">L588</f>
        <v/>
      </c>
      <c r="M590" s="110" t="str">
        <f t="shared" si="375"/>
        <v/>
      </c>
      <c r="N590" s="110" t="str">
        <f t="shared" si="375"/>
        <v/>
      </c>
      <c r="O590" s="110" t="str">
        <f t="shared" si="375"/>
        <v/>
      </c>
      <c r="P590" s="110" t="str">
        <f t="shared" si="375"/>
        <v/>
      </c>
      <c r="Q590" s="110" t="str">
        <f t="shared" si="375"/>
        <v/>
      </c>
      <c r="R590" s="110" t="str">
        <f t="shared" si="375"/>
        <v/>
      </c>
      <c r="S590" s="110" t="str">
        <f t="shared" si="375"/>
        <v/>
      </c>
      <c r="T590" s="110" t="str">
        <f t="shared" si="375"/>
        <v/>
      </c>
      <c r="U590" s="110" t="str">
        <f t="shared" si="375"/>
        <v/>
      </c>
      <c r="V590" s="110" t="str">
        <f t="shared" ref="V590:W590" si="376">V588&amp;"     "</f>
        <v>Nuevo     </v>
      </c>
      <c r="W590" s="112" t="str">
        <f t="shared" si="376"/>
        <v>Activa     </v>
      </c>
    </row>
    <row r="591" ht="49.5" customHeight="1">
      <c r="A591" s="110" t="s">
        <v>63</v>
      </c>
      <c r="B591" s="110" t="s">
        <v>2434</v>
      </c>
      <c r="C591" s="110" t="s">
        <v>2442</v>
      </c>
      <c r="D591" s="110" t="s">
        <v>2442</v>
      </c>
      <c r="E591" s="111" t="s">
        <v>2443</v>
      </c>
      <c r="F591" s="114" t="str">
        <f>"     "&amp;F588</f>
        <v>     Tripack Media Adulto Drb 2.20.20 - Sin Pie</v>
      </c>
      <c r="G591" s="110" t="s">
        <v>2444</v>
      </c>
      <c r="H591" s="113">
        <v>10.0</v>
      </c>
      <c r="I591" s="110" t="s">
        <v>70</v>
      </c>
      <c r="J591" s="112">
        <f>J588</f>
        <v>9490</v>
      </c>
      <c r="K591" s="110" t="str">
        <f>K588&amp;"     "</f>
        <v>$     </v>
      </c>
      <c r="L591" s="110" t="str">
        <f t="shared" ref="L591:U591" si="377">L588</f>
        <v/>
      </c>
      <c r="M591" s="110" t="str">
        <f t="shared" si="377"/>
        <v/>
      </c>
      <c r="N591" s="110" t="str">
        <f t="shared" si="377"/>
        <v/>
      </c>
      <c r="O591" s="110" t="str">
        <f t="shared" si="377"/>
        <v/>
      </c>
      <c r="P591" s="110" t="str">
        <f t="shared" si="377"/>
        <v/>
      </c>
      <c r="Q591" s="110" t="str">
        <f t="shared" si="377"/>
        <v/>
      </c>
      <c r="R591" s="110" t="str">
        <f t="shared" si="377"/>
        <v/>
      </c>
      <c r="S591" s="110" t="str">
        <f t="shared" si="377"/>
        <v/>
      </c>
      <c r="T591" s="110" t="str">
        <f t="shared" si="377"/>
        <v/>
      </c>
      <c r="U591" s="110" t="str">
        <f t="shared" si="377"/>
        <v/>
      </c>
      <c r="V591" s="110" t="str">
        <f t="shared" ref="V591:W591" si="378">V588&amp;"     "</f>
        <v>Nuevo     </v>
      </c>
      <c r="W591" s="112" t="str">
        <f t="shared" si="378"/>
        <v>Activa     </v>
      </c>
    </row>
    <row r="592" ht="49.5" customHeight="1">
      <c r="A592" s="110" t="s">
        <v>63</v>
      </c>
      <c r="B592" s="110" t="s">
        <v>2434</v>
      </c>
      <c r="C592" s="110" t="s">
        <v>2445</v>
      </c>
      <c r="D592" s="110" t="s">
        <v>2445</v>
      </c>
      <c r="E592" s="111" t="s">
        <v>2446</v>
      </c>
      <c r="F592" s="114" t="str">
        <f>"     "&amp;F588</f>
        <v>     Tripack Media Adulto Drb 2.20.20 - Sin Pie</v>
      </c>
      <c r="G592" s="110" t="s">
        <v>2447</v>
      </c>
      <c r="H592" s="113">
        <v>10.0</v>
      </c>
      <c r="I592" s="110" t="s">
        <v>70</v>
      </c>
      <c r="J592" s="112">
        <f>J588</f>
        <v>9490</v>
      </c>
      <c r="K592" s="110" t="str">
        <f>K588&amp;"     "</f>
        <v>$     </v>
      </c>
      <c r="L592" s="110" t="str">
        <f t="shared" ref="L592:U592" si="379">L588</f>
        <v/>
      </c>
      <c r="M592" s="110" t="str">
        <f t="shared" si="379"/>
        <v/>
      </c>
      <c r="N592" s="110" t="str">
        <f t="shared" si="379"/>
        <v/>
      </c>
      <c r="O592" s="110" t="str">
        <f t="shared" si="379"/>
        <v/>
      </c>
      <c r="P592" s="110" t="str">
        <f t="shared" si="379"/>
        <v/>
      </c>
      <c r="Q592" s="110" t="str">
        <f t="shared" si="379"/>
        <v/>
      </c>
      <c r="R592" s="110" t="str">
        <f t="shared" si="379"/>
        <v/>
      </c>
      <c r="S592" s="110" t="str">
        <f t="shared" si="379"/>
        <v/>
      </c>
      <c r="T592" s="110" t="str">
        <f t="shared" si="379"/>
        <v/>
      </c>
      <c r="U592" s="110" t="str">
        <f t="shared" si="379"/>
        <v/>
      </c>
      <c r="V592" s="110" t="str">
        <f t="shared" ref="V592:W592" si="380">V588&amp;"     "</f>
        <v>Nuevo     </v>
      </c>
      <c r="W592" s="112" t="str">
        <f t="shared" si="380"/>
        <v>Activa     </v>
      </c>
    </row>
    <row r="593" ht="49.5" customHeight="1">
      <c r="A593" s="110" t="s">
        <v>63</v>
      </c>
      <c r="B593" s="110" t="s">
        <v>2448</v>
      </c>
      <c r="C593" s="110"/>
      <c r="D593" s="110"/>
      <c r="E593" s="112" t="s">
        <v>63</v>
      </c>
      <c r="F593" s="111" t="s">
        <v>2449</v>
      </c>
      <c r="G593" s="110" t="s">
        <v>70</v>
      </c>
      <c r="H593" s="110" t="s">
        <v>854</v>
      </c>
      <c r="I593" s="110" t="s">
        <v>70</v>
      </c>
      <c r="J593" s="112">
        <v>11690.0</v>
      </c>
      <c r="K593" s="113" t="s">
        <v>71</v>
      </c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 t="s">
        <v>72</v>
      </c>
      <c r="W593" s="112" t="s">
        <v>73</v>
      </c>
    </row>
    <row r="594" ht="49.5" customHeight="1">
      <c r="A594" s="110" t="s">
        <v>63</v>
      </c>
      <c r="B594" s="110" t="s">
        <v>2448</v>
      </c>
      <c r="C594" s="110" t="s">
        <v>2450</v>
      </c>
      <c r="D594" s="110" t="s">
        <v>2450</v>
      </c>
      <c r="E594" s="111" t="s">
        <v>2451</v>
      </c>
      <c r="F594" s="114" t="str">
        <f>"     "&amp;F593</f>
        <v>     Tripack Media Adulto Drb 2.20.01 Comb</v>
      </c>
      <c r="G594" s="110" t="s">
        <v>2452</v>
      </c>
      <c r="H594" s="113">
        <v>10.0</v>
      </c>
      <c r="I594" s="110" t="s">
        <v>70</v>
      </c>
      <c r="J594" s="112">
        <f>J593</f>
        <v>11690</v>
      </c>
      <c r="K594" s="110" t="str">
        <f>K593&amp;"     "</f>
        <v>$     </v>
      </c>
      <c r="L594" s="110" t="str">
        <f t="shared" ref="L594:U594" si="381">L593</f>
        <v/>
      </c>
      <c r="M594" s="110" t="str">
        <f t="shared" si="381"/>
        <v/>
      </c>
      <c r="N594" s="110" t="str">
        <f t="shared" si="381"/>
        <v/>
      </c>
      <c r="O594" s="110" t="str">
        <f t="shared" si="381"/>
        <v/>
      </c>
      <c r="P594" s="110" t="str">
        <f t="shared" si="381"/>
        <v/>
      </c>
      <c r="Q594" s="110" t="str">
        <f t="shared" si="381"/>
        <v/>
      </c>
      <c r="R594" s="110" t="str">
        <f t="shared" si="381"/>
        <v/>
      </c>
      <c r="S594" s="110" t="str">
        <f t="shared" si="381"/>
        <v/>
      </c>
      <c r="T594" s="110" t="str">
        <f t="shared" si="381"/>
        <v/>
      </c>
      <c r="U594" s="110" t="str">
        <f t="shared" si="381"/>
        <v/>
      </c>
      <c r="V594" s="110" t="str">
        <f t="shared" ref="V594:W594" si="382">V593&amp;"     "</f>
        <v>Nuevo     </v>
      </c>
      <c r="W594" s="112" t="str">
        <f t="shared" si="382"/>
        <v>Activa     </v>
      </c>
    </row>
    <row r="595" ht="49.5" customHeight="1">
      <c r="A595" s="110" t="s">
        <v>63</v>
      </c>
      <c r="B595" s="110" t="s">
        <v>2448</v>
      </c>
      <c r="C595" s="110" t="s">
        <v>2453</v>
      </c>
      <c r="D595" s="110" t="s">
        <v>2453</v>
      </c>
      <c r="E595" s="111" t="s">
        <v>2454</v>
      </c>
      <c r="F595" s="114" t="str">
        <f>"     "&amp;F593</f>
        <v>     Tripack Media Adulto Drb 2.20.01 Comb</v>
      </c>
      <c r="G595" s="110" t="s">
        <v>2455</v>
      </c>
      <c r="H595" s="113">
        <v>10.0</v>
      </c>
      <c r="I595" s="110" t="s">
        <v>70</v>
      </c>
      <c r="J595" s="112">
        <f>J593</f>
        <v>11690</v>
      </c>
      <c r="K595" s="110" t="str">
        <f>K593&amp;"     "</f>
        <v>$     </v>
      </c>
      <c r="L595" s="110" t="str">
        <f t="shared" ref="L595:U595" si="383">L593</f>
        <v/>
      </c>
      <c r="M595" s="110" t="str">
        <f t="shared" si="383"/>
        <v/>
      </c>
      <c r="N595" s="110" t="str">
        <f t="shared" si="383"/>
        <v/>
      </c>
      <c r="O595" s="110" t="str">
        <f t="shared" si="383"/>
        <v/>
      </c>
      <c r="P595" s="110" t="str">
        <f t="shared" si="383"/>
        <v/>
      </c>
      <c r="Q595" s="110" t="str">
        <f t="shared" si="383"/>
        <v/>
      </c>
      <c r="R595" s="110" t="str">
        <f t="shared" si="383"/>
        <v/>
      </c>
      <c r="S595" s="110" t="str">
        <f t="shared" si="383"/>
        <v/>
      </c>
      <c r="T595" s="110" t="str">
        <f t="shared" si="383"/>
        <v/>
      </c>
      <c r="U595" s="110" t="str">
        <f t="shared" si="383"/>
        <v/>
      </c>
      <c r="V595" s="110" t="str">
        <f t="shared" ref="V595:W595" si="384">V593&amp;"     "</f>
        <v>Nuevo     </v>
      </c>
      <c r="W595" s="112" t="str">
        <f t="shared" si="384"/>
        <v>Activa     </v>
      </c>
    </row>
    <row r="596" ht="49.5" customHeight="1">
      <c r="A596" s="110" t="s">
        <v>63</v>
      </c>
      <c r="B596" s="110" t="s">
        <v>2448</v>
      </c>
      <c r="C596" s="110" t="s">
        <v>2456</v>
      </c>
      <c r="D596" s="110" t="s">
        <v>2456</v>
      </c>
      <c r="E596" s="111" t="s">
        <v>2457</v>
      </c>
      <c r="F596" s="114" t="str">
        <f>"     "&amp;F593</f>
        <v>     Tripack Media Adulto Drb 2.20.01 Comb</v>
      </c>
      <c r="G596" s="110" t="s">
        <v>2458</v>
      </c>
      <c r="H596" s="113">
        <v>10.0</v>
      </c>
      <c r="I596" s="110" t="s">
        <v>70</v>
      </c>
      <c r="J596" s="112">
        <f>J593</f>
        <v>11690</v>
      </c>
      <c r="K596" s="110" t="str">
        <f>K593&amp;"     "</f>
        <v>$     </v>
      </c>
      <c r="L596" s="110" t="str">
        <f t="shared" ref="L596:U596" si="385">L593</f>
        <v/>
      </c>
      <c r="M596" s="110" t="str">
        <f t="shared" si="385"/>
        <v/>
      </c>
      <c r="N596" s="110" t="str">
        <f t="shared" si="385"/>
        <v/>
      </c>
      <c r="O596" s="110" t="str">
        <f t="shared" si="385"/>
        <v/>
      </c>
      <c r="P596" s="110" t="str">
        <f t="shared" si="385"/>
        <v/>
      </c>
      <c r="Q596" s="110" t="str">
        <f t="shared" si="385"/>
        <v/>
      </c>
      <c r="R596" s="110" t="str">
        <f t="shared" si="385"/>
        <v/>
      </c>
      <c r="S596" s="110" t="str">
        <f t="shared" si="385"/>
        <v/>
      </c>
      <c r="T596" s="110" t="str">
        <f t="shared" si="385"/>
        <v/>
      </c>
      <c r="U596" s="110" t="str">
        <f t="shared" si="385"/>
        <v/>
      </c>
      <c r="V596" s="110" t="str">
        <f t="shared" ref="V596:W596" si="386">V593&amp;"     "</f>
        <v>Nuevo     </v>
      </c>
      <c r="W596" s="112" t="str">
        <f t="shared" si="386"/>
        <v>Activa     </v>
      </c>
    </row>
    <row r="597" ht="49.5" customHeight="1">
      <c r="A597" s="110" t="s">
        <v>63</v>
      </c>
      <c r="B597" s="110" t="s">
        <v>2448</v>
      </c>
      <c r="C597" s="110" t="s">
        <v>2459</v>
      </c>
      <c r="D597" s="110" t="s">
        <v>2459</v>
      </c>
      <c r="E597" s="111" t="s">
        <v>2460</v>
      </c>
      <c r="F597" s="114" t="str">
        <f>"     "&amp;F593</f>
        <v>     Tripack Media Adulto Drb 2.20.01 Comb</v>
      </c>
      <c r="G597" s="110" t="s">
        <v>2461</v>
      </c>
      <c r="H597" s="113">
        <v>10.0</v>
      </c>
      <c r="I597" s="110" t="s">
        <v>70</v>
      </c>
      <c r="J597" s="112">
        <f>J593</f>
        <v>11690</v>
      </c>
      <c r="K597" s="110" t="str">
        <f>K593&amp;"     "</f>
        <v>$     </v>
      </c>
      <c r="L597" s="110" t="str">
        <f t="shared" ref="L597:U597" si="387">L593</f>
        <v/>
      </c>
      <c r="M597" s="110" t="str">
        <f t="shared" si="387"/>
        <v/>
      </c>
      <c r="N597" s="110" t="str">
        <f t="shared" si="387"/>
        <v/>
      </c>
      <c r="O597" s="110" t="str">
        <f t="shared" si="387"/>
        <v/>
      </c>
      <c r="P597" s="110" t="str">
        <f t="shared" si="387"/>
        <v/>
      </c>
      <c r="Q597" s="110" t="str">
        <f t="shared" si="387"/>
        <v/>
      </c>
      <c r="R597" s="110" t="str">
        <f t="shared" si="387"/>
        <v/>
      </c>
      <c r="S597" s="110" t="str">
        <f t="shared" si="387"/>
        <v/>
      </c>
      <c r="T597" s="110" t="str">
        <f t="shared" si="387"/>
        <v/>
      </c>
      <c r="U597" s="110" t="str">
        <f t="shared" si="387"/>
        <v/>
      </c>
      <c r="V597" s="110" t="str">
        <f t="shared" ref="V597:W597" si="388">V593&amp;"     "</f>
        <v>Nuevo     </v>
      </c>
      <c r="W597" s="112" t="str">
        <f t="shared" si="388"/>
        <v>Activa     </v>
      </c>
    </row>
    <row r="598" ht="49.5" customHeight="1">
      <c r="A598" s="110" t="s">
        <v>63</v>
      </c>
      <c r="B598" s="110" t="s">
        <v>2448</v>
      </c>
      <c r="C598" s="110" t="s">
        <v>2462</v>
      </c>
      <c r="D598" s="110" t="s">
        <v>2462</v>
      </c>
      <c r="E598" s="111" t="s">
        <v>2463</v>
      </c>
      <c r="F598" s="114" t="str">
        <f>"     "&amp;F593</f>
        <v>     Tripack Media Adulto Drb 2.20.01 Comb</v>
      </c>
      <c r="G598" s="110" t="s">
        <v>2464</v>
      </c>
      <c r="H598" s="113">
        <v>10.0</v>
      </c>
      <c r="I598" s="110" t="s">
        <v>70</v>
      </c>
      <c r="J598" s="112">
        <f>J593</f>
        <v>11690</v>
      </c>
      <c r="K598" s="110" t="str">
        <f>K593&amp;"     "</f>
        <v>$     </v>
      </c>
      <c r="L598" s="110" t="str">
        <f t="shared" ref="L598:U598" si="389">L593</f>
        <v/>
      </c>
      <c r="M598" s="110" t="str">
        <f t="shared" si="389"/>
        <v/>
      </c>
      <c r="N598" s="110" t="str">
        <f t="shared" si="389"/>
        <v/>
      </c>
      <c r="O598" s="110" t="str">
        <f t="shared" si="389"/>
        <v/>
      </c>
      <c r="P598" s="110" t="str">
        <f t="shared" si="389"/>
        <v/>
      </c>
      <c r="Q598" s="110" t="str">
        <f t="shared" si="389"/>
        <v/>
      </c>
      <c r="R598" s="110" t="str">
        <f t="shared" si="389"/>
        <v/>
      </c>
      <c r="S598" s="110" t="str">
        <f t="shared" si="389"/>
        <v/>
      </c>
      <c r="T598" s="110" t="str">
        <f t="shared" si="389"/>
        <v/>
      </c>
      <c r="U598" s="110" t="str">
        <f t="shared" si="389"/>
        <v/>
      </c>
      <c r="V598" s="110" t="str">
        <f t="shared" ref="V598:W598" si="390">V593&amp;"     "</f>
        <v>Nuevo     </v>
      </c>
      <c r="W598" s="112" t="str">
        <f t="shared" si="390"/>
        <v>Activa     </v>
      </c>
    </row>
    <row r="599" ht="49.5" customHeight="1">
      <c r="A599" s="110" t="s">
        <v>63</v>
      </c>
      <c r="B599" s="110" t="s">
        <v>2448</v>
      </c>
      <c r="C599" s="110" t="s">
        <v>2465</v>
      </c>
      <c r="D599" s="110" t="s">
        <v>2465</v>
      </c>
      <c r="E599" s="111" t="s">
        <v>2466</v>
      </c>
      <c r="F599" s="114" t="str">
        <f>"     "&amp;F593</f>
        <v>     Tripack Media Adulto Drb 2.20.01 Comb</v>
      </c>
      <c r="G599" s="110" t="s">
        <v>2467</v>
      </c>
      <c r="H599" s="113">
        <v>10.0</v>
      </c>
      <c r="I599" s="110" t="s">
        <v>70</v>
      </c>
      <c r="J599" s="112">
        <f>J593</f>
        <v>11690</v>
      </c>
      <c r="K599" s="110" t="str">
        <f>K593&amp;"     "</f>
        <v>$     </v>
      </c>
      <c r="L599" s="110" t="str">
        <f t="shared" ref="L599:U599" si="391">L593</f>
        <v/>
      </c>
      <c r="M599" s="110" t="str">
        <f t="shared" si="391"/>
        <v/>
      </c>
      <c r="N599" s="110" t="str">
        <f t="shared" si="391"/>
        <v/>
      </c>
      <c r="O599" s="110" t="str">
        <f t="shared" si="391"/>
        <v/>
      </c>
      <c r="P599" s="110" t="str">
        <f t="shared" si="391"/>
        <v/>
      </c>
      <c r="Q599" s="110" t="str">
        <f t="shared" si="391"/>
        <v/>
      </c>
      <c r="R599" s="110" t="str">
        <f t="shared" si="391"/>
        <v/>
      </c>
      <c r="S599" s="110" t="str">
        <f t="shared" si="391"/>
        <v/>
      </c>
      <c r="T599" s="110" t="str">
        <f t="shared" si="391"/>
        <v/>
      </c>
      <c r="U599" s="110" t="str">
        <f t="shared" si="391"/>
        <v/>
      </c>
      <c r="V599" s="110" t="str">
        <f t="shared" ref="V599:W599" si="392">V593&amp;"     "</f>
        <v>Nuevo     </v>
      </c>
      <c r="W599" s="112" t="str">
        <f t="shared" si="392"/>
        <v>Activa     </v>
      </c>
    </row>
    <row r="600" ht="49.5" customHeight="1">
      <c r="A600" s="110" t="s">
        <v>63</v>
      </c>
      <c r="B600" s="110" t="s">
        <v>2448</v>
      </c>
      <c r="C600" s="110" t="s">
        <v>2468</v>
      </c>
      <c r="D600" s="110" t="s">
        <v>2468</v>
      </c>
      <c r="E600" s="111" t="s">
        <v>2469</v>
      </c>
      <c r="F600" s="114" t="str">
        <f>"     "&amp;F593</f>
        <v>     Tripack Media Adulto Drb 2.20.01 Comb</v>
      </c>
      <c r="G600" s="110" t="s">
        <v>2470</v>
      </c>
      <c r="H600" s="113">
        <v>10.0</v>
      </c>
      <c r="I600" s="110" t="s">
        <v>70</v>
      </c>
      <c r="J600" s="112">
        <f>J593</f>
        <v>11690</v>
      </c>
      <c r="K600" s="110" t="str">
        <f>K593&amp;"     "</f>
        <v>$     </v>
      </c>
      <c r="L600" s="110" t="str">
        <f t="shared" ref="L600:U600" si="393">L593</f>
        <v/>
      </c>
      <c r="M600" s="110" t="str">
        <f t="shared" si="393"/>
        <v/>
      </c>
      <c r="N600" s="110" t="str">
        <f t="shared" si="393"/>
        <v/>
      </c>
      <c r="O600" s="110" t="str">
        <f t="shared" si="393"/>
        <v/>
      </c>
      <c r="P600" s="110" t="str">
        <f t="shared" si="393"/>
        <v/>
      </c>
      <c r="Q600" s="110" t="str">
        <f t="shared" si="393"/>
        <v/>
      </c>
      <c r="R600" s="110" t="str">
        <f t="shared" si="393"/>
        <v/>
      </c>
      <c r="S600" s="110" t="str">
        <f t="shared" si="393"/>
        <v/>
      </c>
      <c r="T600" s="110" t="str">
        <f t="shared" si="393"/>
        <v/>
      </c>
      <c r="U600" s="110" t="str">
        <f t="shared" si="393"/>
        <v/>
      </c>
      <c r="V600" s="110" t="str">
        <f t="shared" ref="V600:W600" si="394">V593&amp;"     "</f>
        <v>Nuevo     </v>
      </c>
      <c r="W600" s="112" t="str">
        <f t="shared" si="394"/>
        <v>Activa     </v>
      </c>
    </row>
    <row r="601" ht="49.5" customHeight="1">
      <c r="A601" s="110" t="s">
        <v>63</v>
      </c>
      <c r="B601" s="110" t="s">
        <v>2471</v>
      </c>
      <c r="C601" s="110"/>
      <c r="D601" s="110"/>
      <c r="E601" s="112" t="s">
        <v>63</v>
      </c>
      <c r="F601" s="111" t="s">
        <v>2472</v>
      </c>
      <c r="G601" s="110" t="s">
        <v>70</v>
      </c>
      <c r="H601" s="110" t="s">
        <v>1554</v>
      </c>
      <c r="I601" s="110" t="s">
        <v>70</v>
      </c>
      <c r="J601" s="112">
        <v>13490.0</v>
      </c>
      <c r="K601" s="113" t="s">
        <v>71</v>
      </c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 t="s">
        <v>72</v>
      </c>
      <c r="W601" s="112" t="s">
        <v>73</v>
      </c>
    </row>
    <row r="602" ht="49.5" customHeight="1">
      <c r="A602" s="110" t="s">
        <v>63</v>
      </c>
      <c r="B602" s="110" t="s">
        <v>2471</v>
      </c>
      <c r="C602" s="110" t="s">
        <v>2473</v>
      </c>
      <c r="D602" s="110" t="s">
        <v>2473</v>
      </c>
      <c r="E602" s="111" t="s">
        <v>2474</v>
      </c>
      <c r="F602" s="114" t="str">
        <f>"     "&amp;F601</f>
        <v>     Tripack Short Futbol Drb 2.40.32 Liso</v>
      </c>
      <c r="G602" s="110" t="s">
        <v>2475</v>
      </c>
      <c r="H602" s="113">
        <v>10.0</v>
      </c>
      <c r="I602" s="110" t="s">
        <v>70</v>
      </c>
      <c r="J602" s="112">
        <f>J601</f>
        <v>13490</v>
      </c>
      <c r="K602" s="110" t="str">
        <f>K601&amp;"     "</f>
        <v>$     </v>
      </c>
      <c r="L602" s="110" t="str">
        <f t="shared" ref="L602:U602" si="395">L601</f>
        <v/>
      </c>
      <c r="M602" s="110" t="str">
        <f t="shared" si="395"/>
        <v/>
      </c>
      <c r="N602" s="110" t="str">
        <f t="shared" si="395"/>
        <v/>
      </c>
      <c r="O602" s="110" t="str">
        <f t="shared" si="395"/>
        <v/>
      </c>
      <c r="P602" s="110" t="str">
        <f t="shared" si="395"/>
        <v/>
      </c>
      <c r="Q602" s="110" t="str">
        <f t="shared" si="395"/>
        <v/>
      </c>
      <c r="R602" s="110" t="str">
        <f t="shared" si="395"/>
        <v/>
      </c>
      <c r="S602" s="110" t="str">
        <f t="shared" si="395"/>
        <v/>
      </c>
      <c r="T602" s="110" t="str">
        <f t="shared" si="395"/>
        <v/>
      </c>
      <c r="U602" s="110" t="str">
        <f t="shared" si="395"/>
        <v/>
      </c>
      <c r="V602" s="110" t="str">
        <f t="shared" ref="V602:W602" si="396">V601&amp;"     "</f>
        <v>Nuevo     </v>
      </c>
      <c r="W602" s="112" t="str">
        <f t="shared" si="396"/>
        <v>Activa     </v>
      </c>
    </row>
    <row r="603" ht="49.5" customHeight="1">
      <c r="A603" s="110" t="s">
        <v>63</v>
      </c>
      <c r="B603" s="110" t="s">
        <v>2471</v>
      </c>
      <c r="C603" s="110" t="s">
        <v>2476</v>
      </c>
      <c r="D603" s="110" t="s">
        <v>2476</v>
      </c>
      <c r="E603" s="111" t="s">
        <v>2477</v>
      </c>
      <c r="F603" s="114" t="str">
        <f>"     "&amp;F601</f>
        <v>     Tripack Short Futbol Drb 2.40.32 Liso</v>
      </c>
      <c r="G603" s="110" t="s">
        <v>2478</v>
      </c>
      <c r="H603" s="113">
        <v>10.0</v>
      </c>
      <c r="I603" s="110" t="s">
        <v>70</v>
      </c>
      <c r="J603" s="112">
        <f>J601</f>
        <v>13490</v>
      </c>
      <c r="K603" s="110" t="str">
        <f>K601&amp;"     "</f>
        <v>$     </v>
      </c>
      <c r="L603" s="110" t="str">
        <f t="shared" ref="L603:U603" si="397">L601</f>
        <v/>
      </c>
      <c r="M603" s="110" t="str">
        <f t="shared" si="397"/>
        <v/>
      </c>
      <c r="N603" s="110" t="str">
        <f t="shared" si="397"/>
        <v/>
      </c>
      <c r="O603" s="110" t="str">
        <f t="shared" si="397"/>
        <v/>
      </c>
      <c r="P603" s="110" t="str">
        <f t="shared" si="397"/>
        <v/>
      </c>
      <c r="Q603" s="110" t="str">
        <f t="shared" si="397"/>
        <v/>
      </c>
      <c r="R603" s="110" t="str">
        <f t="shared" si="397"/>
        <v/>
      </c>
      <c r="S603" s="110" t="str">
        <f t="shared" si="397"/>
        <v/>
      </c>
      <c r="T603" s="110" t="str">
        <f t="shared" si="397"/>
        <v/>
      </c>
      <c r="U603" s="110" t="str">
        <f t="shared" si="397"/>
        <v/>
      </c>
      <c r="V603" s="110" t="str">
        <f t="shared" ref="V603:W603" si="398">V601&amp;"     "</f>
        <v>Nuevo     </v>
      </c>
      <c r="W603" s="112" t="str">
        <f t="shared" si="398"/>
        <v>Activa     </v>
      </c>
    </row>
    <row r="604" ht="49.5" customHeight="1">
      <c r="A604" s="110" t="s">
        <v>63</v>
      </c>
      <c r="B604" s="110" t="s">
        <v>2471</v>
      </c>
      <c r="C604" s="110" t="s">
        <v>2479</v>
      </c>
      <c r="D604" s="110" t="s">
        <v>2479</v>
      </c>
      <c r="E604" s="111" t="s">
        <v>2480</v>
      </c>
      <c r="F604" s="114" t="str">
        <f>"     "&amp;F601</f>
        <v>     Tripack Short Futbol Drb 2.40.32 Liso</v>
      </c>
      <c r="G604" s="110" t="s">
        <v>2481</v>
      </c>
      <c r="H604" s="113">
        <v>10.0</v>
      </c>
      <c r="I604" s="110" t="s">
        <v>70</v>
      </c>
      <c r="J604" s="112">
        <f>J601</f>
        <v>13490</v>
      </c>
      <c r="K604" s="110" t="str">
        <f>K601&amp;"     "</f>
        <v>$     </v>
      </c>
      <c r="L604" s="110" t="str">
        <f t="shared" ref="L604:U604" si="399">L601</f>
        <v/>
      </c>
      <c r="M604" s="110" t="str">
        <f t="shared" si="399"/>
        <v/>
      </c>
      <c r="N604" s="110" t="str">
        <f t="shared" si="399"/>
        <v/>
      </c>
      <c r="O604" s="110" t="str">
        <f t="shared" si="399"/>
        <v/>
      </c>
      <c r="P604" s="110" t="str">
        <f t="shared" si="399"/>
        <v/>
      </c>
      <c r="Q604" s="110" t="str">
        <f t="shared" si="399"/>
        <v/>
      </c>
      <c r="R604" s="110" t="str">
        <f t="shared" si="399"/>
        <v/>
      </c>
      <c r="S604" s="110" t="str">
        <f t="shared" si="399"/>
        <v/>
      </c>
      <c r="T604" s="110" t="str">
        <f t="shared" si="399"/>
        <v/>
      </c>
      <c r="U604" s="110" t="str">
        <f t="shared" si="399"/>
        <v/>
      </c>
      <c r="V604" s="110" t="str">
        <f t="shared" ref="V604:W604" si="400">V601&amp;"     "</f>
        <v>Nuevo     </v>
      </c>
      <c r="W604" s="112" t="str">
        <f t="shared" si="400"/>
        <v>Activa     </v>
      </c>
    </row>
    <row r="605" ht="49.5" customHeight="1">
      <c r="A605" s="110" t="s">
        <v>63</v>
      </c>
      <c r="B605" s="110" t="s">
        <v>2471</v>
      </c>
      <c r="C605" s="110" t="s">
        <v>2482</v>
      </c>
      <c r="D605" s="110" t="s">
        <v>2482</v>
      </c>
      <c r="E605" s="111" t="s">
        <v>2483</v>
      </c>
      <c r="F605" s="114" t="str">
        <f>"     "&amp;F601</f>
        <v>     Tripack Short Futbol Drb 2.40.32 Liso</v>
      </c>
      <c r="G605" s="110" t="s">
        <v>2484</v>
      </c>
      <c r="H605" s="113">
        <v>0.0</v>
      </c>
      <c r="I605" s="110" t="s">
        <v>70</v>
      </c>
      <c r="J605" s="112">
        <f>J601</f>
        <v>13490</v>
      </c>
      <c r="K605" s="110" t="str">
        <f>K601&amp;"     "</f>
        <v>$     </v>
      </c>
      <c r="L605" s="110" t="str">
        <f t="shared" ref="L605:U605" si="401">L601</f>
        <v/>
      </c>
      <c r="M605" s="110" t="str">
        <f t="shared" si="401"/>
        <v/>
      </c>
      <c r="N605" s="110" t="str">
        <f t="shared" si="401"/>
        <v/>
      </c>
      <c r="O605" s="110" t="str">
        <f t="shared" si="401"/>
        <v/>
      </c>
      <c r="P605" s="110" t="str">
        <f t="shared" si="401"/>
        <v/>
      </c>
      <c r="Q605" s="110" t="str">
        <f t="shared" si="401"/>
        <v/>
      </c>
      <c r="R605" s="110" t="str">
        <f t="shared" si="401"/>
        <v/>
      </c>
      <c r="S605" s="110" t="str">
        <f t="shared" si="401"/>
        <v/>
      </c>
      <c r="T605" s="110" t="str">
        <f t="shared" si="401"/>
        <v/>
      </c>
      <c r="U605" s="110" t="str">
        <f t="shared" si="401"/>
        <v/>
      </c>
      <c r="V605" s="110" t="str">
        <f t="shared" ref="V605:W605" si="402">V601&amp;"     "</f>
        <v>Nuevo     </v>
      </c>
      <c r="W605" s="112" t="str">
        <f t="shared" si="402"/>
        <v>Activa     </v>
      </c>
    </row>
    <row r="606" ht="49.5" customHeight="1">
      <c r="A606" s="110" t="s">
        <v>63</v>
      </c>
      <c r="B606" s="110" t="s">
        <v>2471</v>
      </c>
      <c r="C606" s="110" t="s">
        <v>2485</v>
      </c>
      <c r="D606" s="110" t="s">
        <v>2485</v>
      </c>
      <c r="E606" s="111" t="s">
        <v>2486</v>
      </c>
      <c r="F606" s="114" t="str">
        <f>"     "&amp;F601</f>
        <v>     Tripack Short Futbol Drb 2.40.32 Liso</v>
      </c>
      <c r="G606" s="110" t="s">
        <v>2487</v>
      </c>
      <c r="H606" s="113">
        <v>0.0</v>
      </c>
      <c r="I606" s="110" t="s">
        <v>70</v>
      </c>
      <c r="J606" s="112">
        <f>J601</f>
        <v>13490</v>
      </c>
      <c r="K606" s="110" t="str">
        <f>K601&amp;"     "</f>
        <v>$     </v>
      </c>
      <c r="L606" s="110" t="str">
        <f t="shared" ref="L606:U606" si="403">L601</f>
        <v/>
      </c>
      <c r="M606" s="110" t="str">
        <f t="shared" si="403"/>
        <v/>
      </c>
      <c r="N606" s="110" t="str">
        <f t="shared" si="403"/>
        <v/>
      </c>
      <c r="O606" s="110" t="str">
        <f t="shared" si="403"/>
        <v/>
      </c>
      <c r="P606" s="110" t="str">
        <f t="shared" si="403"/>
        <v/>
      </c>
      <c r="Q606" s="110" t="str">
        <f t="shared" si="403"/>
        <v/>
      </c>
      <c r="R606" s="110" t="str">
        <f t="shared" si="403"/>
        <v/>
      </c>
      <c r="S606" s="110" t="str">
        <f t="shared" si="403"/>
        <v/>
      </c>
      <c r="T606" s="110" t="str">
        <f t="shared" si="403"/>
        <v/>
      </c>
      <c r="U606" s="110" t="str">
        <f t="shared" si="403"/>
        <v/>
      </c>
      <c r="V606" s="110" t="str">
        <f t="shared" ref="V606:W606" si="404">V601&amp;"     "</f>
        <v>Nuevo     </v>
      </c>
      <c r="W606" s="112" t="str">
        <f t="shared" si="404"/>
        <v>Activa     </v>
      </c>
    </row>
    <row r="607" ht="49.5" customHeight="1">
      <c r="A607" s="110" t="s">
        <v>63</v>
      </c>
      <c r="B607" s="110" t="s">
        <v>2471</v>
      </c>
      <c r="C607" s="110" t="s">
        <v>2488</v>
      </c>
      <c r="D607" s="110" t="s">
        <v>2488</v>
      </c>
      <c r="E607" s="111" t="s">
        <v>2489</v>
      </c>
      <c r="F607" s="114" t="str">
        <f>"     "&amp;F601</f>
        <v>     Tripack Short Futbol Drb 2.40.32 Liso</v>
      </c>
      <c r="G607" s="110" t="s">
        <v>2490</v>
      </c>
      <c r="H607" s="113">
        <v>10.0</v>
      </c>
      <c r="I607" s="110" t="s">
        <v>70</v>
      </c>
      <c r="J607" s="112">
        <f>J601</f>
        <v>13490</v>
      </c>
      <c r="K607" s="110" t="str">
        <f>K601&amp;"     "</f>
        <v>$     </v>
      </c>
      <c r="L607" s="110" t="str">
        <f t="shared" ref="L607:U607" si="405">L601</f>
        <v/>
      </c>
      <c r="M607" s="110" t="str">
        <f t="shared" si="405"/>
        <v/>
      </c>
      <c r="N607" s="110" t="str">
        <f t="shared" si="405"/>
        <v/>
      </c>
      <c r="O607" s="110" t="str">
        <f t="shared" si="405"/>
        <v/>
      </c>
      <c r="P607" s="110" t="str">
        <f t="shared" si="405"/>
        <v/>
      </c>
      <c r="Q607" s="110" t="str">
        <f t="shared" si="405"/>
        <v/>
      </c>
      <c r="R607" s="110" t="str">
        <f t="shared" si="405"/>
        <v/>
      </c>
      <c r="S607" s="110" t="str">
        <f t="shared" si="405"/>
        <v/>
      </c>
      <c r="T607" s="110" t="str">
        <f t="shared" si="405"/>
        <v/>
      </c>
      <c r="U607" s="110" t="str">
        <f t="shared" si="405"/>
        <v/>
      </c>
      <c r="V607" s="110" t="str">
        <f t="shared" ref="V607:W607" si="406">V601&amp;"     "</f>
        <v>Nuevo     </v>
      </c>
      <c r="W607" s="112" t="str">
        <f t="shared" si="406"/>
        <v>Activa     </v>
      </c>
    </row>
    <row r="608" ht="49.5" customHeight="1">
      <c r="A608" s="110" t="s">
        <v>63</v>
      </c>
      <c r="B608" s="110" t="s">
        <v>2471</v>
      </c>
      <c r="C608" s="110" t="s">
        <v>2491</v>
      </c>
      <c r="D608" s="110" t="s">
        <v>2491</v>
      </c>
      <c r="E608" s="111" t="s">
        <v>2492</v>
      </c>
      <c r="F608" s="114" t="str">
        <f>"     "&amp;F601</f>
        <v>     Tripack Short Futbol Drb 2.40.32 Liso</v>
      </c>
      <c r="G608" s="110" t="s">
        <v>2493</v>
      </c>
      <c r="H608" s="113">
        <v>0.0</v>
      </c>
      <c r="I608" s="110" t="s">
        <v>70</v>
      </c>
      <c r="J608" s="112">
        <f>J601</f>
        <v>13490</v>
      </c>
      <c r="K608" s="110" t="str">
        <f>K601&amp;"     "</f>
        <v>$     </v>
      </c>
      <c r="L608" s="110" t="str">
        <f t="shared" ref="L608:U608" si="407">L601</f>
        <v/>
      </c>
      <c r="M608" s="110" t="str">
        <f t="shared" si="407"/>
        <v/>
      </c>
      <c r="N608" s="110" t="str">
        <f t="shared" si="407"/>
        <v/>
      </c>
      <c r="O608" s="110" t="str">
        <f t="shared" si="407"/>
        <v/>
      </c>
      <c r="P608" s="110" t="str">
        <f t="shared" si="407"/>
        <v/>
      </c>
      <c r="Q608" s="110" t="str">
        <f t="shared" si="407"/>
        <v/>
      </c>
      <c r="R608" s="110" t="str">
        <f t="shared" si="407"/>
        <v/>
      </c>
      <c r="S608" s="110" t="str">
        <f t="shared" si="407"/>
        <v/>
      </c>
      <c r="T608" s="110" t="str">
        <f t="shared" si="407"/>
        <v/>
      </c>
      <c r="U608" s="110" t="str">
        <f t="shared" si="407"/>
        <v/>
      </c>
      <c r="V608" s="110" t="str">
        <f t="shared" ref="V608:W608" si="408">V601&amp;"     "</f>
        <v>Nuevo     </v>
      </c>
      <c r="W608" s="112" t="str">
        <f t="shared" si="408"/>
        <v>Activa     </v>
      </c>
    </row>
    <row r="609" ht="49.5" customHeight="1">
      <c r="A609" s="110" t="s">
        <v>63</v>
      </c>
      <c r="B609" s="110" t="s">
        <v>2471</v>
      </c>
      <c r="C609" s="110" t="s">
        <v>2494</v>
      </c>
      <c r="D609" s="110" t="s">
        <v>2494</v>
      </c>
      <c r="E609" s="111" t="s">
        <v>2495</v>
      </c>
      <c r="F609" s="114" t="str">
        <f>"     "&amp;F601</f>
        <v>     Tripack Short Futbol Drb 2.40.32 Liso</v>
      </c>
      <c r="G609" s="110" t="s">
        <v>2496</v>
      </c>
      <c r="H609" s="113">
        <v>10.0</v>
      </c>
      <c r="I609" s="110" t="s">
        <v>70</v>
      </c>
      <c r="J609" s="112">
        <f>J601</f>
        <v>13490</v>
      </c>
      <c r="K609" s="110" t="str">
        <f>K601&amp;"     "</f>
        <v>$     </v>
      </c>
      <c r="L609" s="110" t="str">
        <f t="shared" ref="L609:U609" si="409">L601</f>
        <v/>
      </c>
      <c r="M609" s="110" t="str">
        <f t="shared" si="409"/>
        <v/>
      </c>
      <c r="N609" s="110" t="str">
        <f t="shared" si="409"/>
        <v/>
      </c>
      <c r="O609" s="110" t="str">
        <f t="shared" si="409"/>
        <v/>
      </c>
      <c r="P609" s="110" t="str">
        <f t="shared" si="409"/>
        <v/>
      </c>
      <c r="Q609" s="110" t="str">
        <f t="shared" si="409"/>
        <v/>
      </c>
      <c r="R609" s="110" t="str">
        <f t="shared" si="409"/>
        <v/>
      </c>
      <c r="S609" s="110" t="str">
        <f t="shared" si="409"/>
        <v/>
      </c>
      <c r="T609" s="110" t="str">
        <f t="shared" si="409"/>
        <v/>
      </c>
      <c r="U609" s="110" t="str">
        <f t="shared" si="409"/>
        <v/>
      </c>
      <c r="V609" s="110" t="str">
        <f t="shared" ref="V609:W609" si="410">V601&amp;"     "</f>
        <v>Nuevo     </v>
      </c>
      <c r="W609" s="112" t="str">
        <f t="shared" si="410"/>
        <v>Activa     </v>
      </c>
    </row>
    <row r="610" ht="49.5" customHeight="1">
      <c r="A610" s="110" t="s">
        <v>63</v>
      </c>
      <c r="B610" s="110" t="s">
        <v>2497</v>
      </c>
      <c r="C610" s="110"/>
      <c r="D610" s="110"/>
      <c r="E610" s="112" t="s">
        <v>63</v>
      </c>
      <c r="F610" s="111" t="s">
        <v>2498</v>
      </c>
      <c r="G610" s="110" t="s">
        <v>70</v>
      </c>
      <c r="H610" s="110" t="s">
        <v>321</v>
      </c>
      <c r="I610" s="110" t="s">
        <v>70</v>
      </c>
      <c r="J610" s="112">
        <v>23390.0</v>
      </c>
      <c r="K610" s="113" t="s">
        <v>71</v>
      </c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 t="s">
        <v>72</v>
      </c>
      <c r="W610" s="112" t="s">
        <v>73</v>
      </c>
    </row>
    <row r="611" ht="49.5" customHeight="1">
      <c r="A611" s="110" t="s">
        <v>63</v>
      </c>
      <c r="B611" s="110" t="s">
        <v>2497</v>
      </c>
      <c r="C611" s="110" t="s">
        <v>2499</v>
      </c>
      <c r="D611" s="110" t="s">
        <v>2499</v>
      </c>
      <c r="E611" s="111" t="s">
        <v>2500</v>
      </c>
      <c r="F611" s="114" t="str">
        <f>"     "&amp;F610</f>
        <v>     Tripack Short Dama Drb 2.40.38 C/lycra</v>
      </c>
      <c r="G611" s="110" t="s">
        <v>2501</v>
      </c>
      <c r="H611" s="113">
        <v>10.0</v>
      </c>
      <c r="I611" s="110" t="s">
        <v>70</v>
      </c>
      <c r="J611" s="112">
        <f>J610</f>
        <v>23390</v>
      </c>
      <c r="K611" s="110" t="str">
        <f>K610&amp;"     "</f>
        <v>$     </v>
      </c>
      <c r="L611" s="110" t="str">
        <f t="shared" ref="L611:U611" si="411">L610</f>
        <v/>
      </c>
      <c r="M611" s="110" t="str">
        <f t="shared" si="411"/>
        <v/>
      </c>
      <c r="N611" s="110" t="str">
        <f t="shared" si="411"/>
        <v/>
      </c>
      <c r="O611" s="110" t="str">
        <f t="shared" si="411"/>
        <v/>
      </c>
      <c r="P611" s="110" t="str">
        <f t="shared" si="411"/>
        <v/>
      </c>
      <c r="Q611" s="110" t="str">
        <f t="shared" si="411"/>
        <v/>
      </c>
      <c r="R611" s="110" t="str">
        <f t="shared" si="411"/>
        <v/>
      </c>
      <c r="S611" s="110" t="str">
        <f t="shared" si="411"/>
        <v/>
      </c>
      <c r="T611" s="110" t="str">
        <f t="shared" si="411"/>
        <v/>
      </c>
      <c r="U611" s="110" t="str">
        <f t="shared" si="411"/>
        <v/>
      </c>
      <c r="V611" s="110" t="str">
        <f t="shared" ref="V611:W611" si="412">V610&amp;"     "</f>
        <v>Nuevo     </v>
      </c>
      <c r="W611" s="112" t="str">
        <f t="shared" si="412"/>
        <v>Activa     </v>
      </c>
    </row>
    <row r="612" ht="49.5" customHeight="1">
      <c r="A612" s="110" t="s">
        <v>63</v>
      </c>
      <c r="B612" s="110" t="s">
        <v>2497</v>
      </c>
      <c r="C612" s="110" t="s">
        <v>2502</v>
      </c>
      <c r="D612" s="110" t="s">
        <v>2502</v>
      </c>
      <c r="E612" s="111" t="s">
        <v>2503</v>
      </c>
      <c r="F612" s="114" t="str">
        <f>"     "&amp;F610</f>
        <v>     Tripack Short Dama Drb 2.40.38 C/lycra</v>
      </c>
      <c r="G612" s="110" t="s">
        <v>2504</v>
      </c>
      <c r="H612" s="113">
        <v>10.0</v>
      </c>
      <c r="I612" s="110" t="s">
        <v>70</v>
      </c>
      <c r="J612" s="112">
        <f>J610</f>
        <v>23390</v>
      </c>
      <c r="K612" s="110" t="str">
        <f>K610&amp;"     "</f>
        <v>$     </v>
      </c>
      <c r="L612" s="110" t="str">
        <f t="shared" ref="L612:U612" si="413">L610</f>
        <v/>
      </c>
      <c r="M612" s="110" t="str">
        <f t="shared" si="413"/>
        <v/>
      </c>
      <c r="N612" s="110" t="str">
        <f t="shared" si="413"/>
        <v/>
      </c>
      <c r="O612" s="110" t="str">
        <f t="shared" si="413"/>
        <v/>
      </c>
      <c r="P612" s="110" t="str">
        <f t="shared" si="413"/>
        <v/>
      </c>
      <c r="Q612" s="110" t="str">
        <f t="shared" si="413"/>
        <v/>
      </c>
      <c r="R612" s="110" t="str">
        <f t="shared" si="413"/>
        <v/>
      </c>
      <c r="S612" s="110" t="str">
        <f t="shared" si="413"/>
        <v/>
      </c>
      <c r="T612" s="110" t="str">
        <f t="shared" si="413"/>
        <v/>
      </c>
      <c r="U612" s="110" t="str">
        <f t="shared" si="413"/>
        <v/>
      </c>
      <c r="V612" s="110" t="str">
        <f t="shared" ref="V612:W612" si="414">V610&amp;"     "</f>
        <v>Nuevo     </v>
      </c>
      <c r="W612" s="112" t="str">
        <f t="shared" si="414"/>
        <v>Activa     </v>
      </c>
    </row>
    <row r="613" ht="49.5" customHeight="1">
      <c r="A613" s="110" t="s">
        <v>63</v>
      </c>
      <c r="B613" s="110" t="s">
        <v>2497</v>
      </c>
      <c r="C613" s="110" t="s">
        <v>2505</v>
      </c>
      <c r="D613" s="110" t="s">
        <v>2505</v>
      </c>
      <c r="E613" s="111" t="s">
        <v>2506</v>
      </c>
      <c r="F613" s="114" t="str">
        <f>"     "&amp;F610</f>
        <v>     Tripack Short Dama Drb 2.40.38 C/lycra</v>
      </c>
      <c r="G613" s="110" t="s">
        <v>2507</v>
      </c>
      <c r="H613" s="113">
        <v>10.0</v>
      </c>
      <c r="I613" s="110" t="s">
        <v>70</v>
      </c>
      <c r="J613" s="112">
        <f>J610</f>
        <v>23390</v>
      </c>
      <c r="K613" s="110" t="str">
        <f>K610&amp;"     "</f>
        <v>$     </v>
      </c>
      <c r="L613" s="110" t="str">
        <f t="shared" ref="L613:U613" si="415">L610</f>
        <v/>
      </c>
      <c r="M613" s="110" t="str">
        <f t="shared" si="415"/>
        <v/>
      </c>
      <c r="N613" s="110" t="str">
        <f t="shared" si="415"/>
        <v/>
      </c>
      <c r="O613" s="110" t="str">
        <f t="shared" si="415"/>
        <v/>
      </c>
      <c r="P613" s="110" t="str">
        <f t="shared" si="415"/>
        <v/>
      </c>
      <c r="Q613" s="110" t="str">
        <f t="shared" si="415"/>
        <v/>
      </c>
      <c r="R613" s="110" t="str">
        <f t="shared" si="415"/>
        <v/>
      </c>
      <c r="S613" s="110" t="str">
        <f t="shared" si="415"/>
        <v/>
      </c>
      <c r="T613" s="110" t="str">
        <f t="shared" si="415"/>
        <v/>
      </c>
      <c r="U613" s="110" t="str">
        <f t="shared" si="415"/>
        <v/>
      </c>
      <c r="V613" s="110" t="str">
        <f t="shared" ref="V613:W613" si="416">V610&amp;"     "</f>
        <v>Nuevo     </v>
      </c>
      <c r="W613" s="112" t="str">
        <f t="shared" si="416"/>
        <v>Activa     </v>
      </c>
    </row>
    <row r="614" ht="49.5" customHeight="1">
      <c r="A614" s="110" t="s">
        <v>63</v>
      </c>
      <c r="B614" s="110" t="s">
        <v>2508</v>
      </c>
      <c r="C614" s="110"/>
      <c r="D614" s="110"/>
      <c r="E614" s="112" t="s">
        <v>63</v>
      </c>
      <c r="F614" s="111" t="s">
        <v>2509</v>
      </c>
      <c r="G614" s="110" t="s">
        <v>70</v>
      </c>
      <c r="H614" s="110" t="s">
        <v>854</v>
      </c>
      <c r="I614" s="110" t="s">
        <v>70</v>
      </c>
      <c r="J614" s="112">
        <v>12290.0</v>
      </c>
      <c r="K614" s="113" t="s">
        <v>71</v>
      </c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 t="s">
        <v>72</v>
      </c>
      <c r="W614" s="112" t="s">
        <v>73</v>
      </c>
    </row>
    <row r="615" ht="49.5" customHeight="1">
      <c r="A615" s="110" t="s">
        <v>63</v>
      </c>
      <c r="B615" s="110" t="s">
        <v>2508</v>
      </c>
      <c r="C615" s="110" t="s">
        <v>2510</v>
      </c>
      <c r="D615" s="110" t="s">
        <v>2510</v>
      </c>
      <c r="E615" s="111" t="s">
        <v>2511</v>
      </c>
      <c r="F615" s="114" t="str">
        <f>"     "&amp;F614</f>
        <v>     Tripack Short Dama Drb 2.40.39 Liso</v>
      </c>
      <c r="G615" s="110" t="s">
        <v>2512</v>
      </c>
      <c r="H615" s="113">
        <v>10.0</v>
      </c>
      <c r="I615" s="110" t="s">
        <v>70</v>
      </c>
      <c r="J615" s="112">
        <f>J614</f>
        <v>12290</v>
      </c>
      <c r="K615" s="110" t="str">
        <f>K614&amp;"     "</f>
        <v>$     </v>
      </c>
      <c r="L615" s="110" t="str">
        <f t="shared" ref="L615:U615" si="417">L614</f>
        <v/>
      </c>
      <c r="M615" s="110" t="str">
        <f t="shared" si="417"/>
        <v/>
      </c>
      <c r="N615" s="110" t="str">
        <f t="shared" si="417"/>
        <v/>
      </c>
      <c r="O615" s="110" t="str">
        <f t="shared" si="417"/>
        <v/>
      </c>
      <c r="P615" s="110" t="str">
        <f t="shared" si="417"/>
        <v/>
      </c>
      <c r="Q615" s="110" t="str">
        <f t="shared" si="417"/>
        <v/>
      </c>
      <c r="R615" s="110" t="str">
        <f t="shared" si="417"/>
        <v/>
      </c>
      <c r="S615" s="110" t="str">
        <f t="shared" si="417"/>
        <v/>
      </c>
      <c r="T615" s="110" t="str">
        <f t="shared" si="417"/>
        <v/>
      </c>
      <c r="U615" s="110" t="str">
        <f t="shared" si="417"/>
        <v/>
      </c>
      <c r="V615" s="110" t="str">
        <f t="shared" ref="V615:W615" si="418">V614&amp;"     "</f>
        <v>Nuevo     </v>
      </c>
      <c r="W615" s="112" t="str">
        <f t="shared" si="418"/>
        <v>Activa     </v>
      </c>
    </row>
    <row r="616" ht="49.5" customHeight="1">
      <c r="A616" s="110" t="s">
        <v>63</v>
      </c>
      <c r="B616" s="110" t="s">
        <v>2508</v>
      </c>
      <c r="C616" s="110" t="s">
        <v>2513</v>
      </c>
      <c r="D616" s="110" t="s">
        <v>2513</v>
      </c>
      <c r="E616" s="111" t="s">
        <v>2514</v>
      </c>
      <c r="F616" s="114" t="str">
        <f>"     "&amp;F614</f>
        <v>     Tripack Short Dama Drb 2.40.39 Liso</v>
      </c>
      <c r="G616" s="110" t="s">
        <v>2504</v>
      </c>
      <c r="H616" s="113">
        <v>10.0</v>
      </c>
      <c r="I616" s="110" t="s">
        <v>70</v>
      </c>
      <c r="J616" s="112">
        <f>J614</f>
        <v>12290</v>
      </c>
      <c r="K616" s="110" t="str">
        <f>K614&amp;"     "</f>
        <v>$     </v>
      </c>
      <c r="L616" s="110" t="str">
        <f t="shared" ref="L616:U616" si="419">L614</f>
        <v/>
      </c>
      <c r="M616" s="110" t="str">
        <f t="shared" si="419"/>
        <v/>
      </c>
      <c r="N616" s="110" t="str">
        <f t="shared" si="419"/>
        <v/>
      </c>
      <c r="O616" s="110" t="str">
        <f t="shared" si="419"/>
        <v/>
      </c>
      <c r="P616" s="110" t="str">
        <f t="shared" si="419"/>
        <v/>
      </c>
      <c r="Q616" s="110" t="str">
        <f t="shared" si="419"/>
        <v/>
      </c>
      <c r="R616" s="110" t="str">
        <f t="shared" si="419"/>
        <v/>
      </c>
      <c r="S616" s="110" t="str">
        <f t="shared" si="419"/>
        <v/>
      </c>
      <c r="T616" s="110" t="str">
        <f t="shared" si="419"/>
        <v/>
      </c>
      <c r="U616" s="110" t="str">
        <f t="shared" si="419"/>
        <v/>
      </c>
      <c r="V616" s="110" t="str">
        <f t="shared" ref="V616:W616" si="420">V614&amp;"     "</f>
        <v>Nuevo     </v>
      </c>
      <c r="W616" s="112" t="str">
        <f t="shared" si="420"/>
        <v>Activa     </v>
      </c>
    </row>
    <row r="617" ht="49.5" customHeight="1">
      <c r="A617" s="110" t="s">
        <v>63</v>
      </c>
      <c r="B617" s="110" t="s">
        <v>2508</v>
      </c>
      <c r="C617" s="110" t="s">
        <v>2515</v>
      </c>
      <c r="D617" s="110" t="s">
        <v>2515</v>
      </c>
      <c r="E617" s="111" t="s">
        <v>2516</v>
      </c>
      <c r="F617" s="114" t="str">
        <f>"     "&amp;F614</f>
        <v>     Tripack Short Dama Drb 2.40.39 Liso</v>
      </c>
      <c r="G617" s="110" t="s">
        <v>2517</v>
      </c>
      <c r="H617" s="113">
        <v>10.0</v>
      </c>
      <c r="I617" s="110" t="s">
        <v>70</v>
      </c>
      <c r="J617" s="112">
        <f>J614</f>
        <v>12290</v>
      </c>
      <c r="K617" s="110" t="str">
        <f>K614&amp;"     "</f>
        <v>$     </v>
      </c>
      <c r="L617" s="110" t="str">
        <f t="shared" ref="L617:U617" si="421">L614</f>
        <v/>
      </c>
      <c r="M617" s="110" t="str">
        <f t="shared" si="421"/>
        <v/>
      </c>
      <c r="N617" s="110" t="str">
        <f t="shared" si="421"/>
        <v/>
      </c>
      <c r="O617" s="110" t="str">
        <f t="shared" si="421"/>
        <v/>
      </c>
      <c r="P617" s="110" t="str">
        <f t="shared" si="421"/>
        <v/>
      </c>
      <c r="Q617" s="110" t="str">
        <f t="shared" si="421"/>
        <v/>
      </c>
      <c r="R617" s="110" t="str">
        <f t="shared" si="421"/>
        <v/>
      </c>
      <c r="S617" s="110" t="str">
        <f t="shared" si="421"/>
        <v/>
      </c>
      <c r="T617" s="110" t="str">
        <f t="shared" si="421"/>
        <v/>
      </c>
      <c r="U617" s="110" t="str">
        <f t="shared" si="421"/>
        <v/>
      </c>
      <c r="V617" s="110" t="str">
        <f t="shared" ref="V617:W617" si="422">V614&amp;"     "</f>
        <v>Nuevo     </v>
      </c>
      <c r="W617" s="112" t="str">
        <f t="shared" si="422"/>
        <v>Activa     </v>
      </c>
    </row>
    <row r="618" ht="49.5" customHeight="1">
      <c r="A618" s="110" t="s">
        <v>63</v>
      </c>
      <c r="B618" s="110" t="s">
        <v>2508</v>
      </c>
      <c r="C618" s="110" t="s">
        <v>2518</v>
      </c>
      <c r="D618" s="110" t="s">
        <v>2518</v>
      </c>
      <c r="E618" s="111" t="s">
        <v>2519</v>
      </c>
      <c r="F618" s="114" t="str">
        <f>"     "&amp;F614</f>
        <v>     Tripack Short Dama Drb 2.40.39 Liso</v>
      </c>
      <c r="G618" s="110" t="s">
        <v>2520</v>
      </c>
      <c r="H618" s="113">
        <v>10.0</v>
      </c>
      <c r="I618" s="110" t="s">
        <v>70</v>
      </c>
      <c r="J618" s="112">
        <f>J614</f>
        <v>12290</v>
      </c>
      <c r="K618" s="110" t="str">
        <f>K614&amp;"     "</f>
        <v>$     </v>
      </c>
      <c r="L618" s="110" t="str">
        <f t="shared" ref="L618:U618" si="423">L614</f>
        <v/>
      </c>
      <c r="M618" s="110" t="str">
        <f t="shared" si="423"/>
        <v/>
      </c>
      <c r="N618" s="110" t="str">
        <f t="shared" si="423"/>
        <v/>
      </c>
      <c r="O618" s="110" t="str">
        <f t="shared" si="423"/>
        <v/>
      </c>
      <c r="P618" s="110" t="str">
        <f t="shared" si="423"/>
        <v/>
      </c>
      <c r="Q618" s="110" t="str">
        <f t="shared" si="423"/>
        <v/>
      </c>
      <c r="R618" s="110" t="str">
        <f t="shared" si="423"/>
        <v/>
      </c>
      <c r="S618" s="110" t="str">
        <f t="shared" si="423"/>
        <v/>
      </c>
      <c r="T618" s="110" t="str">
        <f t="shared" si="423"/>
        <v/>
      </c>
      <c r="U618" s="110" t="str">
        <f t="shared" si="423"/>
        <v/>
      </c>
      <c r="V618" s="110" t="str">
        <f t="shared" ref="V618:W618" si="424">V614&amp;"     "</f>
        <v>Nuevo     </v>
      </c>
      <c r="W618" s="112" t="str">
        <f t="shared" si="424"/>
        <v>Activa     </v>
      </c>
    </row>
    <row r="619" ht="49.5" customHeight="1">
      <c r="A619" s="110" t="s">
        <v>63</v>
      </c>
      <c r="B619" s="110" t="s">
        <v>2508</v>
      </c>
      <c r="C619" s="110" t="s">
        <v>2521</v>
      </c>
      <c r="D619" s="110" t="s">
        <v>2521</v>
      </c>
      <c r="E619" s="111" t="s">
        <v>2522</v>
      </c>
      <c r="F619" s="114" t="str">
        <f>"     "&amp;F614</f>
        <v>     Tripack Short Dama Drb 2.40.39 Liso</v>
      </c>
      <c r="G619" s="110" t="s">
        <v>2523</v>
      </c>
      <c r="H619" s="113">
        <v>10.0</v>
      </c>
      <c r="I619" s="110" t="s">
        <v>70</v>
      </c>
      <c r="J619" s="112">
        <f>J614</f>
        <v>12290</v>
      </c>
      <c r="K619" s="110" t="str">
        <f>K614&amp;"     "</f>
        <v>$     </v>
      </c>
      <c r="L619" s="110" t="str">
        <f t="shared" ref="L619:U619" si="425">L614</f>
        <v/>
      </c>
      <c r="M619" s="110" t="str">
        <f t="shared" si="425"/>
        <v/>
      </c>
      <c r="N619" s="110" t="str">
        <f t="shared" si="425"/>
        <v/>
      </c>
      <c r="O619" s="110" t="str">
        <f t="shared" si="425"/>
        <v/>
      </c>
      <c r="P619" s="110" t="str">
        <f t="shared" si="425"/>
        <v/>
      </c>
      <c r="Q619" s="110" t="str">
        <f t="shared" si="425"/>
        <v/>
      </c>
      <c r="R619" s="110" t="str">
        <f t="shared" si="425"/>
        <v/>
      </c>
      <c r="S619" s="110" t="str">
        <f t="shared" si="425"/>
        <v/>
      </c>
      <c r="T619" s="110" t="str">
        <f t="shared" si="425"/>
        <v/>
      </c>
      <c r="U619" s="110" t="str">
        <f t="shared" si="425"/>
        <v/>
      </c>
      <c r="V619" s="110" t="str">
        <f t="shared" ref="V619:W619" si="426">V614&amp;"     "</f>
        <v>Nuevo     </v>
      </c>
      <c r="W619" s="112" t="str">
        <f t="shared" si="426"/>
        <v>Activa     </v>
      </c>
    </row>
    <row r="620" ht="49.5" customHeight="1">
      <c r="A620" s="110" t="s">
        <v>63</v>
      </c>
      <c r="B620" s="110" t="s">
        <v>2508</v>
      </c>
      <c r="C620" s="110" t="s">
        <v>2524</v>
      </c>
      <c r="D620" s="110" t="s">
        <v>2524</v>
      </c>
      <c r="E620" s="111" t="s">
        <v>2525</v>
      </c>
      <c r="F620" s="114" t="str">
        <f>"     "&amp;F614</f>
        <v>     Tripack Short Dama Drb 2.40.39 Liso</v>
      </c>
      <c r="G620" s="110" t="s">
        <v>2526</v>
      </c>
      <c r="H620" s="113">
        <v>0.0</v>
      </c>
      <c r="I620" s="110" t="s">
        <v>70</v>
      </c>
      <c r="J620" s="112">
        <f>J614</f>
        <v>12290</v>
      </c>
      <c r="K620" s="110" t="str">
        <f>K614&amp;"     "</f>
        <v>$     </v>
      </c>
      <c r="L620" s="110" t="str">
        <f t="shared" ref="L620:U620" si="427">L614</f>
        <v/>
      </c>
      <c r="M620" s="110" t="str">
        <f t="shared" si="427"/>
        <v/>
      </c>
      <c r="N620" s="110" t="str">
        <f t="shared" si="427"/>
        <v/>
      </c>
      <c r="O620" s="110" t="str">
        <f t="shared" si="427"/>
        <v/>
      </c>
      <c r="P620" s="110" t="str">
        <f t="shared" si="427"/>
        <v/>
      </c>
      <c r="Q620" s="110" t="str">
        <f t="shared" si="427"/>
        <v/>
      </c>
      <c r="R620" s="110" t="str">
        <f t="shared" si="427"/>
        <v/>
      </c>
      <c r="S620" s="110" t="str">
        <f t="shared" si="427"/>
        <v/>
      </c>
      <c r="T620" s="110" t="str">
        <f t="shared" si="427"/>
        <v/>
      </c>
      <c r="U620" s="110" t="str">
        <f t="shared" si="427"/>
        <v/>
      </c>
      <c r="V620" s="110" t="str">
        <f t="shared" ref="V620:W620" si="428">V614&amp;"     "</f>
        <v>Nuevo     </v>
      </c>
      <c r="W620" s="112" t="str">
        <f t="shared" si="428"/>
        <v>Activa     </v>
      </c>
    </row>
    <row r="621" ht="49.5" customHeight="1">
      <c r="A621" s="110" t="s">
        <v>63</v>
      </c>
      <c r="B621" s="110" t="s">
        <v>2508</v>
      </c>
      <c r="C621" s="110" t="s">
        <v>2527</v>
      </c>
      <c r="D621" s="110" t="s">
        <v>2527</v>
      </c>
      <c r="E621" s="111" t="s">
        <v>2528</v>
      </c>
      <c r="F621" s="114" t="str">
        <f>"     "&amp;F614</f>
        <v>     Tripack Short Dama Drb 2.40.39 Liso</v>
      </c>
      <c r="G621" s="110" t="s">
        <v>2529</v>
      </c>
      <c r="H621" s="113">
        <v>10.0</v>
      </c>
      <c r="I621" s="110" t="s">
        <v>70</v>
      </c>
      <c r="J621" s="112">
        <f>J614</f>
        <v>12290</v>
      </c>
      <c r="K621" s="110" t="str">
        <f>K614&amp;"     "</f>
        <v>$     </v>
      </c>
      <c r="L621" s="110" t="str">
        <f t="shared" ref="L621:U621" si="429">L614</f>
        <v/>
      </c>
      <c r="M621" s="110" t="str">
        <f t="shared" si="429"/>
        <v/>
      </c>
      <c r="N621" s="110" t="str">
        <f t="shared" si="429"/>
        <v/>
      </c>
      <c r="O621" s="110" t="str">
        <f t="shared" si="429"/>
        <v/>
      </c>
      <c r="P621" s="110" t="str">
        <f t="shared" si="429"/>
        <v/>
      </c>
      <c r="Q621" s="110" t="str">
        <f t="shared" si="429"/>
        <v/>
      </c>
      <c r="R621" s="110" t="str">
        <f t="shared" si="429"/>
        <v/>
      </c>
      <c r="S621" s="110" t="str">
        <f t="shared" si="429"/>
        <v/>
      </c>
      <c r="T621" s="110" t="str">
        <f t="shared" si="429"/>
        <v/>
      </c>
      <c r="U621" s="110" t="str">
        <f t="shared" si="429"/>
        <v/>
      </c>
      <c r="V621" s="110" t="str">
        <f t="shared" ref="V621:W621" si="430">V614&amp;"     "</f>
        <v>Nuevo     </v>
      </c>
      <c r="W621" s="112" t="str">
        <f t="shared" si="430"/>
        <v>Activa     </v>
      </c>
    </row>
    <row r="622" ht="49.5" customHeight="1">
      <c r="A622" s="110" t="s">
        <v>63</v>
      </c>
      <c r="B622" s="110" t="s">
        <v>2508</v>
      </c>
      <c r="C622" s="110" t="s">
        <v>2530</v>
      </c>
      <c r="D622" s="110" t="s">
        <v>2530</v>
      </c>
      <c r="E622" s="111" t="s">
        <v>2531</v>
      </c>
      <c r="F622" s="114" t="str">
        <f>"     "&amp;F614</f>
        <v>     Tripack Short Dama Drb 2.40.39 Liso</v>
      </c>
      <c r="G622" s="110" t="s">
        <v>2532</v>
      </c>
      <c r="H622" s="113">
        <v>10.0</v>
      </c>
      <c r="I622" s="110" t="s">
        <v>70</v>
      </c>
      <c r="J622" s="112">
        <f>J614</f>
        <v>12290</v>
      </c>
      <c r="K622" s="110" t="str">
        <f>K614&amp;"     "</f>
        <v>$     </v>
      </c>
      <c r="L622" s="110" t="str">
        <f t="shared" ref="L622:U622" si="431">L614</f>
        <v/>
      </c>
      <c r="M622" s="110" t="str">
        <f t="shared" si="431"/>
        <v/>
      </c>
      <c r="N622" s="110" t="str">
        <f t="shared" si="431"/>
        <v/>
      </c>
      <c r="O622" s="110" t="str">
        <f t="shared" si="431"/>
        <v/>
      </c>
      <c r="P622" s="110" t="str">
        <f t="shared" si="431"/>
        <v/>
      </c>
      <c r="Q622" s="110" t="str">
        <f t="shared" si="431"/>
        <v/>
      </c>
      <c r="R622" s="110" t="str">
        <f t="shared" si="431"/>
        <v/>
      </c>
      <c r="S622" s="110" t="str">
        <f t="shared" si="431"/>
        <v/>
      </c>
      <c r="T622" s="110" t="str">
        <f t="shared" si="431"/>
        <v/>
      </c>
      <c r="U622" s="110" t="str">
        <f t="shared" si="431"/>
        <v/>
      </c>
      <c r="V622" s="110" t="str">
        <f t="shared" ref="V622:W622" si="432">V614&amp;"     "</f>
        <v>Nuevo     </v>
      </c>
      <c r="W622" s="112" t="str">
        <f t="shared" si="432"/>
        <v>Activa     </v>
      </c>
    </row>
    <row r="623" ht="49.5" customHeight="1">
      <c r="A623" s="110" t="s">
        <v>2533</v>
      </c>
      <c r="B623" s="110" t="s">
        <v>2534</v>
      </c>
      <c r="C623" s="110" t="s">
        <v>2535</v>
      </c>
      <c r="D623" s="110"/>
      <c r="E623" s="111" t="s">
        <v>2536</v>
      </c>
      <c r="F623" s="111" t="s">
        <v>2537</v>
      </c>
      <c r="G623" s="110" t="s">
        <v>2538</v>
      </c>
      <c r="H623" s="113">
        <v>10.0</v>
      </c>
      <c r="I623" s="110" t="s">
        <v>70</v>
      </c>
      <c r="J623" s="112">
        <v>14390.0</v>
      </c>
      <c r="K623" s="113" t="s">
        <v>71</v>
      </c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 t="s">
        <v>72</v>
      </c>
      <c r="W623" s="112" t="s">
        <v>73</v>
      </c>
    </row>
    <row r="624" ht="49.5" customHeight="1">
      <c r="A624" s="110" t="s">
        <v>2539</v>
      </c>
      <c r="B624" s="110" t="s">
        <v>2540</v>
      </c>
      <c r="C624" s="110" t="s">
        <v>2541</v>
      </c>
      <c r="D624" s="110"/>
      <c r="E624" s="111" t="s">
        <v>2542</v>
      </c>
      <c r="F624" s="112" t="s">
        <v>2543</v>
      </c>
      <c r="G624" s="110" t="s">
        <v>70</v>
      </c>
      <c r="H624" s="113">
        <v>10.0</v>
      </c>
      <c r="I624" s="110" t="s">
        <v>70</v>
      </c>
      <c r="J624" s="112">
        <v>25890.0</v>
      </c>
      <c r="K624" s="113" t="s">
        <v>71</v>
      </c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0" t="s">
        <v>72</v>
      </c>
      <c r="W624" s="112" t="s">
        <v>73</v>
      </c>
    </row>
    <row r="625" ht="49.5" customHeight="1">
      <c r="A625" s="110" t="s">
        <v>2544</v>
      </c>
      <c r="B625" s="110" t="s">
        <v>2545</v>
      </c>
      <c r="C625" s="110" t="s">
        <v>2546</v>
      </c>
      <c r="D625" s="110"/>
      <c r="E625" s="111" t="s">
        <v>2547</v>
      </c>
      <c r="F625" s="111" t="s">
        <v>2548</v>
      </c>
      <c r="G625" s="110" t="s">
        <v>165</v>
      </c>
      <c r="H625" s="113">
        <v>1.0</v>
      </c>
      <c r="I625" s="110" t="s">
        <v>70</v>
      </c>
      <c r="J625" s="112">
        <v>23290.0</v>
      </c>
      <c r="K625" s="113" t="s">
        <v>71</v>
      </c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 t="s">
        <v>72</v>
      </c>
      <c r="W625" s="112" t="s">
        <v>73</v>
      </c>
    </row>
    <row r="626" ht="49.5" customHeight="1">
      <c r="A626" s="110" t="s">
        <v>2549</v>
      </c>
      <c r="B626" s="110" t="s">
        <v>2550</v>
      </c>
      <c r="C626" s="110" t="s">
        <v>2551</v>
      </c>
      <c r="D626" s="110"/>
      <c r="E626" s="111" t="s">
        <v>2552</v>
      </c>
      <c r="F626" s="111" t="s">
        <v>2553</v>
      </c>
      <c r="G626" s="110" t="s">
        <v>90</v>
      </c>
      <c r="H626" s="113">
        <v>1.0</v>
      </c>
      <c r="I626" s="110" t="s">
        <v>70</v>
      </c>
      <c r="J626" s="112">
        <v>13790.0</v>
      </c>
      <c r="K626" s="113" t="s">
        <v>71</v>
      </c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 t="s">
        <v>72</v>
      </c>
      <c r="W626" s="112" t="s">
        <v>73</v>
      </c>
    </row>
    <row r="627" ht="49.5" customHeight="1">
      <c r="A627" s="110" t="s">
        <v>2533</v>
      </c>
      <c r="B627" s="110" t="s">
        <v>2554</v>
      </c>
      <c r="C627" s="110" t="s">
        <v>2535</v>
      </c>
      <c r="D627" s="110"/>
      <c r="E627" s="111" t="s">
        <v>2536</v>
      </c>
      <c r="F627" s="112" t="s">
        <v>2555</v>
      </c>
      <c r="G627" s="110" t="s">
        <v>70</v>
      </c>
      <c r="H627" s="113">
        <v>10.0</v>
      </c>
      <c r="I627" s="110" t="s">
        <v>70</v>
      </c>
      <c r="J627" s="112">
        <v>14390.0</v>
      </c>
      <c r="K627" s="113" t="s">
        <v>71</v>
      </c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0" t="s">
        <v>72</v>
      </c>
      <c r="W627" s="112" t="s">
        <v>73</v>
      </c>
    </row>
    <row r="628" ht="49.5" customHeight="1">
      <c r="A628" s="110" t="s">
        <v>2556</v>
      </c>
      <c r="B628" s="110" t="s">
        <v>2557</v>
      </c>
      <c r="C628" s="110" t="s">
        <v>2558</v>
      </c>
      <c r="D628" s="110"/>
      <c r="E628" s="111" t="s">
        <v>2559</v>
      </c>
      <c r="F628" s="111" t="s">
        <v>212</v>
      </c>
      <c r="G628" s="110" t="s">
        <v>752</v>
      </c>
      <c r="H628" s="113">
        <v>30.0</v>
      </c>
      <c r="I628" s="110" t="s">
        <v>70</v>
      </c>
      <c r="J628" s="112">
        <v>8790.0</v>
      </c>
      <c r="K628" s="113" t="s">
        <v>71</v>
      </c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 t="s">
        <v>72</v>
      </c>
      <c r="W628" s="112" t="s">
        <v>73</v>
      </c>
    </row>
    <row r="629" ht="49.5" customHeight="1">
      <c r="A629" s="110" t="s">
        <v>2560</v>
      </c>
      <c r="B629" s="110" t="s">
        <v>2561</v>
      </c>
      <c r="C629" s="110" t="s">
        <v>2562</v>
      </c>
      <c r="D629" s="110"/>
      <c r="E629" s="111" t="s">
        <v>2563</v>
      </c>
      <c r="F629" s="111" t="s">
        <v>212</v>
      </c>
      <c r="G629" s="110" t="s">
        <v>2564</v>
      </c>
      <c r="H629" s="113">
        <v>30.0</v>
      </c>
      <c r="I629" s="110" t="s">
        <v>70</v>
      </c>
      <c r="J629" s="112">
        <v>8190.0</v>
      </c>
      <c r="K629" s="113" t="s">
        <v>71</v>
      </c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 t="s">
        <v>72</v>
      </c>
      <c r="W629" s="112" t="s">
        <v>73</v>
      </c>
    </row>
    <row r="630" ht="49.5" customHeight="1">
      <c r="A630" s="110" t="s">
        <v>2565</v>
      </c>
      <c r="B630" s="110" t="s">
        <v>2566</v>
      </c>
      <c r="C630" s="110" t="s">
        <v>2567</v>
      </c>
      <c r="D630" s="110"/>
      <c r="E630" s="111" t="s">
        <v>751</v>
      </c>
      <c r="F630" s="111" t="s">
        <v>2568</v>
      </c>
      <c r="G630" s="110" t="s">
        <v>752</v>
      </c>
      <c r="H630" s="113">
        <v>30.0</v>
      </c>
      <c r="I630" s="110" t="s">
        <v>70</v>
      </c>
      <c r="J630" s="112">
        <v>8090.0</v>
      </c>
      <c r="K630" s="113" t="s">
        <v>71</v>
      </c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 t="s">
        <v>72</v>
      </c>
      <c r="W630" s="112" t="s">
        <v>73</v>
      </c>
    </row>
    <row r="631" ht="49.5" customHeight="1">
      <c r="A631" s="110" t="s">
        <v>2569</v>
      </c>
      <c r="B631" s="110" t="s">
        <v>2570</v>
      </c>
      <c r="C631" s="110" t="s">
        <v>2571</v>
      </c>
      <c r="D631" s="110"/>
      <c r="E631" s="111" t="s">
        <v>2572</v>
      </c>
      <c r="F631" s="111" t="s">
        <v>2573</v>
      </c>
      <c r="G631" s="110" t="s">
        <v>213</v>
      </c>
      <c r="H631" s="113">
        <v>30.0</v>
      </c>
      <c r="I631" s="110" t="s">
        <v>70</v>
      </c>
      <c r="J631" s="112">
        <v>8190.0</v>
      </c>
      <c r="K631" s="113" t="s">
        <v>71</v>
      </c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 t="s">
        <v>72</v>
      </c>
      <c r="W631" s="112" t="s">
        <v>73</v>
      </c>
    </row>
    <row r="632" ht="49.5" customHeight="1">
      <c r="A632" s="110" t="s">
        <v>2574</v>
      </c>
      <c r="B632" s="110" t="s">
        <v>2575</v>
      </c>
      <c r="C632" s="110" t="s">
        <v>2576</v>
      </c>
      <c r="D632" s="110"/>
      <c r="E632" s="111" t="s">
        <v>2577</v>
      </c>
      <c r="F632" s="111" t="s">
        <v>2578</v>
      </c>
      <c r="G632" s="110" t="s">
        <v>213</v>
      </c>
      <c r="H632" s="113">
        <v>30.0</v>
      </c>
      <c r="I632" s="110" t="s">
        <v>70</v>
      </c>
      <c r="J632" s="112">
        <v>10390.0</v>
      </c>
      <c r="K632" s="113" t="s">
        <v>71</v>
      </c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 t="s">
        <v>72</v>
      </c>
      <c r="W632" s="112" t="s">
        <v>73</v>
      </c>
    </row>
    <row r="633" ht="49.5" customHeight="1">
      <c r="A633" s="110" t="s">
        <v>2579</v>
      </c>
      <c r="B633" s="110" t="s">
        <v>2580</v>
      </c>
      <c r="C633" s="110" t="s">
        <v>2581</v>
      </c>
      <c r="D633" s="110"/>
      <c r="E633" s="111" t="s">
        <v>2582</v>
      </c>
      <c r="F633" s="111" t="s">
        <v>2583</v>
      </c>
      <c r="G633" s="110" t="s">
        <v>2564</v>
      </c>
      <c r="H633" s="113">
        <v>30.0</v>
      </c>
      <c r="I633" s="110" t="s">
        <v>70</v>
      </c>
      <c r="J633" s="112">
        <v>10390.0</v>
      </c>
      <c r="K633" s="113" t="s">
        <v>71</v>
      </c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 t="s">
        <v>72</v>
      </c>
      <c r="W633" s="112" t="s">
        <v>73</v>
      </c>
    </row>
    <row r="634" ht="49.5" customHeight="1">
      <c r="A634" s="110" t="s">
        <v>2584</v>
      </c>
      <c r="B634" s="110" t="s">
        <v>2585</v>
      </c>
      <c r="C634" s="110" t="s">
        <v>2586</v>
      </c>
      <c r="D634" s="110"/>
      <c r="E634" s="111" t="s">
        <v>2587</v>
      </c>
      <c r="F634" s="111" t="s">
        <v>2588</v>
      </c>
      <c r="G634" s="110" t="s">
        <v>752</v>
      </c>
      <c r="H634" s="113">
        <v>30.0</v>
      </c>
      <c r="I634" s="110" t="s">
        <v>70</v>
      </c>
      <c r="J634" s="112">
        <v>10390.0</v>
      </c>
      <c r="K634" s="113" t="s">
        <v>71</v>
      </c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 t="s">
        <v>72</v>
      </c>
      <c r="W634" s="112" t="s">
        <v>73</v>
      </c>
    </row>
    <row r="635" ht="49.5" customHeight="1">
      <c r="A635" s="110" t="s">
        <v>2589</v>
      </c>
      <c r="B635" s="110" t="s">
        <v>2590</v>
      </c>
      <c r="C635" s="110" t="s">
        <v>2591</v>
      </c>
      <c r="D635" s="110"/>
      <c r="E635" s="111" t="s">
        <v>2592</v>
      </c>
      <c r="F635" s="111" t="s">
        <v>2593</v>
      </c>
      <c r="G635" s="110" t="s">
        <v>2594</v>
      </c>
      <c r="H635" s="113">
        <v>30.0</v>
      </c>
      <c r="I635" s="110" t="s">
        <v>70</v>
      </c>
      <c r="J635" s="112">
        <v>7690.0</v>
      </c>
      <c r="K635" s="113" t="s">
        <v>71</v>
      </c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 t="s">
        <v>72</v>
      </c>
      <c r="W635" s="112" t="s">
        <v>73</v>
      </c>
    </row>
    <row r="636" ht="49.5" customHeight="1">
      <c r="A636" s="110" t="s">
        <v>2595</v>
      </c>
      <c r="B636" s="110" t="s">
        <v>2596</v>
      </c>
      <c r="C636" s="110" t="s">
        <v>2597</v>
      </c>
      <c r="D636" s="110"/>
      <c r="E636" s="111" t="s">
        <v>754</v>
      </c>
      <c r="F636" s="111" t="s">
        <v>2598</v>
      </c>
      <c r="G636" s="110" t="s">
        <v>2564</v>
      </c>
      <c r="H636" s="113">
        <v>30.0</v>
      </c>
      <c r="I636" s="110" t="s">
        <v>70</v>
      </c>
      <c r="J636" s="112">
        <v>8090.0</v>
      </c>
      <c r="K636" s="113" t="s">
        <v>71</v>
      </c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 t="s">
        <v>72</v>
      </c>
      <c r="W636" s="112" t="s">
        <v>73</v>
      </c>
    </row>
    <row r="637" ht="49.5" customHeight="1">
      <c r="A637" s="110" t="s">
        <v>2599</v>
      </c>
      <c r="B637" s="110" t="s">
        <v>2600</v>
      </c>
      <c r="C637" s="110" t="s">
        <v>2601</v>
      </c>
      <c r="D637" s="110"/>
      <c r="E637" s="111" t="s">
        <v>2602</v>
      </c>
      <c r="F637" s="111" t="s">
        <v>2603</v>
      </c>
      <c r="G637" s="110" t="s">
        <v>752</v>
      </c>
      <c r="H637" s="113">
        <v>30.0</v>
      </c>
      <c r="I637" s="110" t="s">
        <v>70</v>
      </c>
      <c r="J637" s="112">
        <v>8190.0</v>
      </c>
      <c r="K637" s="113" t="s">
        <v>71</v>
      </c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 t="s">
        <v>72</v>
      </c>
      <c r="W637" s="112" t="s">
        <v>73</v>
      </c>
    </row>
    <row r="638" ht="49.5" customHeight="1">
      <c r="A638" s="110" t="s">
        <v>2604</v>
      </c>
      <c r="B638" s="110" t="s">
        <v>2605</v>
      </c>
      <c r="C638" s="110" t="s">
        <v>2606</v>
      </c>
      <c r="D638" s="110"/>
      <c r="E638" s="111" t="s">
        <v>2607</v>
      </c>
      <c r="F638" s="111" t="s">
        <v>2608</v>
      </c>
      <c r="G638" s="110" t="s">
        <v>213</v>
      </c>
      <c r="H638" s="113">
        <v>30.0</v>
      </c>
      <c r="I638" s="110" t="s">
        <v>70</v>
      </c>
      <c r="J638" s="112">
        <v>7190.0</v>
      </c>
      <c r="K638" s="113" t="s">
        <v>71</v>
      </c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 t="s">
        <v>72</v>
      </c>
      <c r="W638" s="112" t="s">
        <v>73</v>
      </c>
    </row>
    <row r="639" ht="49.5" customHeight="1">
      <c r="A639" s="110" t="s">
        <v>63</v>
      </c>
      <c r="B639" s="110" t="s">
        <v>2609</v>
      </c>
      <c r="C639" s="110"/>
      <c r="D639" s="110"/>
      <c r="E639" s="112" t="s">
        <v>63</v>
      </c>
      <c r="F639" s="111" t="s">
        <v>2610</v>
      </c>
      <c r="G639" s="110" t="s">
        <v>70</v>
      </c>
      <c r="H639" s="110" t="s">
        <v>1299</v>
      </c>
      <c r="I639" s="110" t="s">
        <v>70</v>
      </c>
      <c r="J639" s="112">
        <v>19790.0</v>
      </c>
      <c r="K639" s="113" t="s">
        <v>71</v>
      </c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 t="s">
        <v>72</v>
      </c>
      <c r="W639" s="112" t="s">
        <v>73</v>
      </c>
    </row>
    <row r="640" ht="49.5" customHeight="1">
      <c r="A640" s="110" t="s">
        <v>63</v>
      </c>
      <c r="B640" s="110" t="s">
        <v>2609</v>
      </c>
      <c r="C640" s="110" t="s">
        <v>2611</v>
      </c>
      <c r="D640" s="110" t="s">
        <v>2611</v>
      </c>
      <c r="E640" s="111" t="s">
        <v>2612</v>
      </c>
      <c r="F640" s="114" t="str">
        <f>"     "&amp;F639</f>
        <v>     Pack Sosten Jockey Sport S-249 Deportivo Cotton Spandex</v>
      </c>
      <c r="G640" s="110" t="s">
        <v>2613</v>
      </c>
      <c r="H640" s="113">
        <v>10.0</v>
      </c>
      <c r="I640" s="110" t="s">
        <v>70</v>
      </c>
      <c r="J640" s="112">
        <f>J639</f>
        <v>19790</v>
      </c>
      <c r="K640" s="110" t="str">
        <f>K639&amp;"     "</f>
        <v>$     </v>
      </c>
      <c r="L640" s="110" t="str">
        <f t="shared" ref="L640:U640" si="433">L639</f>
        <v/>
      </c>
      <c r="M640" s="110" t="str">
        <f t="shared" si="433"/>
        <v/>
      </c>
      <c r="N640" s="110" t="str">
        <f t="shared" si="433"/>
        <v/>
      </c>
      <c r="O640" s="110" t="str">
        <f t="shared" si="433"/>
        <v/>
      </c>
      <c r="P640" s="110" t="str">
        <f t="shared" si="433"/>
        <v/>
      </c>
      <c r="Q640" s="110" t="str">
        <f t="shared" si="433"/>
        <v/>
      </c>
      <c r="R640" s="110" t="str">
        <f t="shared" si="433"/>
        <v/>
      </c>
      <c r="S640" s="110" t="str">
        <f t="shared" si="433"/>
        <v/>
      </c>
      <c r="T640" s="110" t="str">
        <f t="shared" si="433"/>
        <v/>
      </c>
      <c r="U640" s="110" t="str">
        <f t="shared" si="433"/>
        <v/>
      </c>
      <c r="V640" s="110" t="str">
        <f t="shared" ref="V640:W640" si="434">V639&amp;"     "</f>
        <v>Nuevo     </v>
      </c>
      <c r="W640" s="112" t="str">
        <f t="shared" si="434"/>
        <v>Activa     </v>
      </c>
    </row>
    <row r="641" ht="49.5" customHeight="1">
      <c r="A641" s="110" t="s">
        <v>63</v>
      </c>
      <c r="B641" s="110" t="s">
        <v>2609</v>
      </c>
      <c r="C641" s="110" t="s">
        <v>2614</v>
      </c>
      <c r="D641" s="110" t="s">
        <v>2614</v>
      </c>
      <c r="E641" s="111" t="s">
        <v>2615</v>
      </c>
      <c r="F641" s="114" t="str">
        <f>"     "&amp;F639</f>
        <v>     Pack Sosten Jockey Sport S-249 Deportivo Cotton Spandex</v>
      </c>
      <c r="G641" s="110" t="s">
        <v>2616</v>
      </c>
      <c r="H641" s="113">
        <v>10.0</v>
      </c>
      <c r="I641" s="110" t="s">
        <v>70</v>
      </c>
      <c r="J641" s="112">
        <f>J639</f>
        <v>19790</v>
      </c>
      <c r="K641" s="110" t="str">
        <f>K639&amp;"     "</f>
        <v>$     </v>
      </c>
      <c r="L641" s="110" t="str">
        <f t="shared" ref="L641:U641" si="435">L639</f>
        <v/>
      </c>
      <c r="M641" s="110" t="str">
        <f t="shared" si="435"/>
        <v/>
      </c>
      <c r="N641" s="110" t="str">
        <f t="shared" si="435"/>
        <v/>
      </c>
      <c r="O641" s="110" t="str">
        <f t="shared" si="435"/>
        <v/>
      </c>
      <c r="P641" s="110" t="str">
        <f t="shared" si="435"/>
        <v/>
      </c>
      <c r="Q641" s="110" t="str">
        <f t="shared" si="435"/>
        <v/>
      </c>
      <c r="R641" s="110" t="str">
        <f t="shared" si="435"/>
        <v/>
      </c>
      <c r="S641" s="110" t="str">
        <f t="shared" si="435"/>
        <v/>
      </c>
      <c r="T641" s="110" t="str">
        <f t="shared" si="435"/>
        <v/>
      </c>
      <c r="U641" s="110" t="str">
        <f t="shared" si="435"/>
        <v/>
      </c>
      <c r="V641" s="110" t="str">
        <f t="shared" ref="V641:W641" si="436">V639&amp;"     "</f>
        <v>Nuevo     </v>
      </c>
      <c r="W641" s="112" t="str">
        <f t="shared" si="436"/>
        <v>Activa     </v>
      </c>
    </row>
    <row r="642" ht="49.5" customHeight="1">
      <c r="A642" s="110" t="s">
        <v>63</v>
      </c>
      <c r="B642" s="110" t="s">
        <v>2609</v>
      </c>
      <c r="C642" s="110" t="s">
        <v>2617</v>
      </c>
      <c r="D642" s="110" t="s">
        <v>2617</v>
      </c>
      <c r="E642" s="111" t="s">
        <v>2618</v>
      </c>
      <c r="F642" s="114" t="str">
        <f>"     "&amp;F639</f>
        <v>     Pack Sosten Jockey Sport S-249 Deportivo Cotton Spandex</v>
      </c>
      <c r="G642" s="110" t="s">
        <v>2619</v>
      </c>
      <c r="H642" s="113">
        <v>10.0</v>
      </c>
      <c r="I642" s="110" t="s">
        <v>70</v>
      </c>
      <c r="J642" s="112">
        <f>J639</f>
        <v>19790</v>
      </c>
      <c r="K642" s="110" t="str">
        <f>K639&amp;"     "</f>
        <v>$     </v>
      </c>
      <c r="L642" s="110" t="str">
        <f t="shared" ref="L642:U642" si="437">L639</f>
        <v/>
      </c>
      <c r="M642" s="110" t="str">
        <f t="shared" si="437"/>
        <v/>
      </c>
      <c r="N642" s="110" t="str">
        <f t="shared" si="437"/>
        <v/>
      </c>
      <c r="O642" s="110" t="str">
        <f t="shared" si="437"/>
        <v/>
      </c>
      <c r="P642" s="110" t="str">
        <f t="shared" si="437"/>
        <v/>
      </c>
      <c r="Q642" s="110" t="str">
        <f t="shared" si="437"/>
        <v/>
      </c>
      <c r="R642" s="110" t="str">
        <f t="shared" si="437"/>
        <v/>
      </c>
      <c r="S642" s="110" t="str">
        <f t="shared" si="437"/>
        <v/>
      </c>
      <c r="T642" s="110" t="str">
        <f t="shared" si="437"/>
        <v/>
      </c>
      <c r="U642" s="110" t="str">
        <f t="shared" si="437"/>
        <v/>
      </c>
      <c r="V642" s="110" t="str">
        <f t="shared" ref="V642:W642" si="438">V639&amp;"     "</f>
        <v>Nuevo     </v>
      </c>
      <c r="W642" s="112" t="str">
        <f t="shared" si="438"/>
        <v>Activa     </v>
      </c>
    </row>
    <row r="643" ht="49.5" customHeight="1">
      <c r="A643" s="110" t="s">
        <v>63</v>
      </c>
      <c r="B643" s="110" t="s">
        <v>2609</v>
      </c>
      <c r="C643" s="110" t="s">
        <v>2620</v>
      </c>
      <c r="D643" s="110" t="s">
        <v>2620</v>
      </c>
      <c r="E643" s="111" t="s">
        <v>2621</v>
      </c>
      <c r="F643" s="114" t="str">
        <f>"     "&amp;F639</f>
        <v>     Pack Sosten Jockey Sport S-249 Deportivo Cotton Spandex</v>
      </c>
      <c r="G643" s="110" t="s">
        <v>2622</v>
      </c>
      <c r="H643" s="113">
        <v>10.0</v>
      </c>
      <c r="I643" s="110" t="s">
        <v>70</v>
      </c>
      <c r="J643" s="112">
        <f>J639</f>
        <v>19790</v>
      </c>
      <c r="K643" s="110" t="str">
        <f>K639&amp;"     "</f>
        <v>$     </v>
      </c>
      <c r="L643" s="110" t="str">
        <f t="shared" ref="L643:U643" si="439">L639</f>
        <v/>
      </c>
      <c r="M643" s="110" t="str">
        <f t="shared" si="439"/>
        <v/>
      </c>
      <c r="N643" s="110" t="str">
        <f t="shared" si="439"/>
        <v/>
      </c>
      <c r="O643" s="110" t="str">
        <f t="shared" si="439"/>
        <v/>
      </c>
      <c r="P643" s="110" t="str">
        <f t="shared" si="439"/>
        <v/>
      </c>
      <c r="Q643" s="110" t="str">
        <f t="shared" si="439"/>
        <v/>
      </c>
      <c r="R643" s="110" t="str">
        <f t="shared" si="439"/>
        <v/>
      </c>
      <c r="S643" s="110" t="str">
        <f t="shared" si="439"/>
        <v/>
      </c>
      <c r="T643" s="110" t="str">
        <f t="shared" si="439"/>
        <v/>
      </c>
      <c r="U643" s="110" t="str">
        <f t="shared" si="439"/>
        <v/>
      </c>
      <c r="V643" s="110" t="str">
        <f t="shared" ref="V643:W643" si="440">V639&amp;"     "</f>
        <v>Nuevo     </v>
      </c>
      <c r="W643" s="112" t="str">
        <f t="shared" si="440"/>
        <v>Activa     </v>
      </c>
    </row>
    <row r="644" ht="49.5" customHeight="1">
      <c r="A644" s="110" t="s">
        <v>63</v>
      </c>
      <c r="B644" s="110" t="s">
        <v>2609</v>
      </c>
      <c r="C644" s="110" t="s">
        <v>2623</v>
      </c>
      <c r="D644" s="110" t="s">
        <v>2623</v>
      </c>
      <c r="E644" s="111" t="s">
        <v>2624</v>
      </c>
      <c r="F644" s="114" t="str">
        <f>"     "&amp;F639</f>
        <v>     Pack Sosten Jockey Sport S-249 Deportivo Cotton Spandex</v>
      </c>
      <c r="G644" s="110" t="s">
        <v>2625</v>
      </c>
      <c r="H644" s="113">
        <v>10.0</v>
      </c>
      <c r="I644" s="110" t="s">
        <v>70</v>
      </c>
      <c r="J644" s="112">
        <f>J639</f>
        <v>19790</v>
      </c>
      <c r="K644" s="110" t="str">
        <f>K639&amp;"     "</f>
        <v>$     </v>
      </c>
      <c r="L644" s="110" t="str">
        <f t="shared" ref="L644:U644" si="441">L639</f>
        <v/>
      </c>
      <c r="M644" s="110" t="str">
        <f t="shared" si="441"/>
        <v/>
      </c>
      <c r="N644" s="110" t="str">
        <f t="shared" si="441"/>
        <v/>
      </c>
      <c r="O644" s="110" t="str">
        <f t="shared" si="441"/>
        <v/>
      </c>
      <c r="P644" s="110" t="str">
        <f t="shared" si="441"/>
        <v/>
      </c>
      <c r="Q644" s="110" t="str">
        <f t="shared" si="441"/>
        <v/>
      </c>
      <c r="R644" s="110" t="str">
        <f t="shared" si="441"/>
        <v/>
      </c>
      <c r="S644" s="110" t="str">
        <f t="shared" si="441"/>
        <v/>
      </c>
      <c r="T644" s="110" t="str">
        <f t="shared" si="441"/>
        <v/>
      </c>
      <c r="U644" s="110" t="str">
        <f t="shared" si="441"/>
        <v/>
      </c>
      <c r="V644" s="110" t="str">
        <f t="shared" ref="V644:W644" si="442">V639&amp;"     "</f>
        <v>Nuevo     </v>
      </c>
      <c r="W644" s="112" t="str">
        <f t="shared" si="442"/>
        <v>Activa     </v>
      </c>
    </row>
    <row r="645" ht="49.5" customHeight="1">
      <c r="A645" s="110" t="s">
        <v>63</v>
      </c>
      <c r="B645" s="110" t="s">
        <v>2609</v>
      </c>
      <c r="C645" s="110" t="s">
        <v>2626</v>
      </c>
      <c r="D645" s="110" t="s">
        <v>2626</v>
      </c>
      <c r="E645" s="111" t="s">
        <v>2627</v>
      </c>
      <c r="F645" s="114" t="str">
        <f>"     "&amp;F639</f>
        <v>     Pack Sosten Jockey Sport S-249 Deportivo Cotton Spandex</v>
      </c>
      <c r="G645" s="110" t="s">
        <v>2628</v>
      </c>
      <c r="H645" s="113">
        <v>10.0</v>
      </c>
      <c r="I645" s="110" t="s">
        <v>70</v>
      </c>
      <c r="J645" s="112">
        <f>J639</f>
        <v>19790</v>
      </c>
      <c r="K645" s="110" t="str">
        <f>K639&amp;"     "</f>
        <v>$     </v>
      </c>
      <c r="L645" s="110" t="str">
        <f t="shared" ref="L645:U645" si="443">L639</f>
        <v/>
      </c>
      <c r="M645" s="110" t="str">
        <f t="shared" si="443"/>
        <v/>
      </c>
      <c r="N645" s="110" t="str">
        <f t="shared" si="443"/>
        <v/>
      </c>
      <c r="O645" s="110" t="str">
        <f t="shared" si="443"/>
        <v/>
      </c>
      <c r="P645" s="110" t="str">
        <f t="shared" si="443"/>
        <v/>
      </c>
      <c r="Q645" s="110" t="str">
        <f t="shared" si="443"/>
        <v/>
      </c>
      <c r="R645" s="110" t="str">
        <f t="shared" si="443"/>
        <v/>
      </c>
      <c r="S645" s="110" t="str">
        <f t="shared" si="443"/>
        <v/>
      </c>
      <c r="T645" s="110" t="str">
        <f t="shared" si="443"/>
        <v/>
      </c>
      <c r="U645" s="110" t="str">
        <f t="shared" si="443"/>
        <v/>
      </c>
      <c r="V645" s="110" t="str">
        <f t="shared" ref="V645:W645" si="444">V639&amp;"     "</f>
        <v>Nuevo     </v>
      </c>
      <c r="W645" s="112" t="str">
        <f t="shared" si="444"/>
        <v>Activa     </v>
      </c>
    </row>
    <row r="646" ht="49.5" customHeight="1">
      <c r="A646" s="110" t="s">
        <v>63</v>
      </c>
      <c r="B646" s="110" t="s">
        <v>2609</v>
      </c>
      <c r="C646" s="110" t="s">
        <v>2629</v>
      </c>
      <c r="D646" s="110" t="s">
        <v>2629</v>
      </c>
      <c r="E646" s="111" t="s">
        <v>2630</v>
      </c>
      <c r="F646" s="114" t="str">
        <f>"     "&amp;F639</f>
        <v>     Pack Sosten Jockey Sport S-249 Deportivo Cotton Spandex</v>
      </c>
      <c r="G646" s="110" t="s">
        <v>2631</v>
      </c>
      <c r="H646" s="113">
        <v>10.0</v>
      </c>
      <c r="I646" s="110" t="s">
        <v>70</v>
      </c>
      <c r="J646" s="112">
        <f>J639</f>
        <v>19790</v>
      </c>
      <c r="K646" s="110" t="str">
        <f>K639&amp;"     "</f>
        <v>$     </v>
      </c>
      <c r="L646" s="110" t="str">
        <f t="shared" ref="L646:U646" si="445">L639</f>
        <v/>
      </c>
      <c r="M646" s="110" t="str">
        <f t="shared" si="445"/>
        <v/>
      </c>
      <c r="N646" s="110" t="str">
        <f t="shared" si="445"/>
        <v/>
      </c>
      <c r="O646" s="110" t="str">
        <f t="shared" si="445"/>
        <v/>
      </c>
      <c r="P646" s="110" t="str">
        <f t="shared" si="445"/>
        <v/>
      </c>
      <c r="Q646" s="110" t="str">
        <f t="shared" si="445"/>
        <v/>
      </c>
      <c r="R646" s="110" t="str">
        <f t="shared" si="445"/>
        <v/>
      </c>
      <c r="S646" s="110" t="str">
        <f t="shared" si="445"/>
        <v/>
      </c>
      <c r="T646" s="110" t="str">
        <f t="shared" si="445"/>
        <v/>
      </c>
      <c r="U646" s="110" t="str">
        <f t="shared" si="445"/>
        <v/>
      </c>
      <c r="V646" s="110" t="str">
        <f t="shared" ref="V646:W646" si="446">V639&amp;"     "</f>
        <v>Nuevo     </v>
      </c>
      <c r="W646" s="112" t="str">
        <f t="shared" si="446"/>
        <v>Activa     </v>
      </c>
    </row>
    <row r="647" ht="49.5" customHeight="1">
      <c r="A647" s="110" t="s">
        <v>63</v>
      </c>
      <c r="B647" s="110" t="s">
        <v>2609</v>
      </c>
      <c r="C647" s="110" t="s">
        <v>2632</v>
      </c>
      <c r="D647" s="110" t="s">
        <v>2632</v>
      </c>
      <c r="E647" s="111" t="s">
        <v>2633</v>
      </c>
      <c r="F647" s="114" t="str">
        <f>"     "&amp;F639</f>
        <v>     Pack Sosten Jockey Sport S-249 Deportivo Cotton Spandex</v>
      </c>
      <c r="G647" s="110" t="s">
        <v>2634</v>
      </c>
      <c r="H647" s="113">
        <v>10.0</v>
      </c>
      <c r="I647" s="110" t="s">
        <v>70</v>
      </c>
      <c r="J647" s="112">
        <f>J639</f>
        <v>19790</v>
      </c>
      <c r="K647" s="110" t="str">
        <f>K639&amp;"     "</f>
        <v>$     </v>
      </c>
      <c r="L647" s="110" t="str">
        <f t="shared" ref="L647:U647" si="447">L639</f>
        <v/>
      </c>
      <c r="M647" s="110" t="str">
        <f t="shared" si="447"/>
        <v/>
      </c>
      <c r="N647" s="110" t="str">
        <f t="shared" si="447"/>
        <v/>
      </c>
      <c r="O647" s="110" t="str">
        <f t="shared" si="447"/>
        <v/>
      </c>
      <c r="P647" s="110" t="str">
        <f t="shared" si="447"/>
        <v/>
      </c>
      <c r="Q647" s="110" t="str">
        <f t="shared" si="447"/>
        <v/>
      </c>
      <c r="R647" s="110" t="str">
        <f t="shared" si="447"/>
        <v/>
      </c>
      <c r="S647" s="110" t="str">
        <f t="shared" si="447"/>
        <v/>
      </c>
      <c r="T647" s="110" t="str">
        <f t="shared" si="447"/>
        <v/>
      </c>
      <c r="U647" s="110" t="str">
        <f t="shared" si="447"/>
        <v/>
      </c>
      <c r="V647" s="110" t="str">
        <f t="shared" ref="V647:W647" si="448">V639&amp;"     "</f>
        <v>Nuevo     </v>
      </c>
      <c r="W647" s="112" t="str">
        <f t="shared" si="448"/>
        <v>Activa     </v>
      </c>
    </row>
    <row r="648" ht="49.5" customHeight="1">
      <c r="A648" s="110" t="s">
        <v>63</v>
      </c>
      <c r="B648" s="110" t="s">
        <v>2609</v>
      </c>
      <c r="C648" s="110" t="s">
        <v>2635</v>
      </c>
      <c r="D648" s="110" t="s">
        <v>2635</v>
      </c>
      <c r="E648" s="111" t="s">
        <v>2636</v>
      </c>
      <c r="F648" s="114" t="str">
        <f>"     "&amp;F639</f>
        <v>     Pack Sosten Jockey Sport S-249 Deportivo Cotton Spandex</v>
      </c>
      <c r="G648" s="110" t="s">
        <v>2637</v>
      </c>
      <c r="H648" s="113">
        <v>10.0</v>
      </c>
      <c r="I648" s="110" t="s">
        <v>70</v>
      </c>
      <c r="J648" s="112">
        <f>J639</f>
        <v>19790</v>
      </c>
      <c r="K648" s="110" t="str">
        <f>K639&amp;"     "</f>
        <v>$     </v>
      </c>
      <c r="L648" s="110" t="str">
        <f t="shared" ref="L648:U648" si="449">L639</f>
        <v/>
      </c>
      <c r="M648" s="110" t="str">
        <f t="shared" si="449"/>
        <v/>
      </c>
      <c r="N648" s="110" t="str">
        <f t="shared" si="449"/>
        <v/>
      </c>
      <c r="O648" s="110" t="str">
        <f t="shared" si="449"/>
        <v/>
      </c>
      <c r="P648" s="110" t="str">
        <f t="shared" si="449"/>
        <v/>
      </c>
      <c r="Q648" s="110" t="str">
        <f t="shared" si="449"/>
        <v/>
      </c>
      <c r="R648" s="110" t="str">
        <f t="shared" si="449"/>
        <v/>
      </c>
      <c r="S648" s="110" t="str">
        <f t="shared" si="449"/>
        <v/>
      </c>
      <c r="T648" s="110" t="str">
        <f t="shared" si="449"/>
        <v/>
      </c>
      <c r="U648" s="110" t="str">
        <f t="shared" si="449"/>
        <v/>
      </c>
      <c r="V648" s="110" t="str">
        <f t="shared" ref="V648:W648" si="450">V639&amp;"     "</f>
        <v>Nuevo     </v>
      </c>
      <c r="W648" s="112" t="str">
        <f t="shared" si="450"/>
        <v>Activa     </v>
      </c>
    </row>
    <row r="649" ht="49.5" customHeight="1">
      <c r="A649" s="110" t="s">
        <v>63</v>
      </c>
      <c r="B649" s="110" t="s">
        <v>2609</v>
      </c>
      <c r="C649" s="110" t="s">
        <v>2638</v>
      </c>
      <c r="D649" s="110" t="s">
        <v>2638</v>
      </c>
      <c r="E649" s="111" t="s">
        <v>2639</v>
      </c>
      <c r="F649" s="114" t="str">
        <f>"     "&amp;F639</f>
        <v>     Pack Sosten Jockey Sport S-249 Deportivo Cotton Spandex</v>
      </c>
      <c r="G649" s="110" t="s">
        <v>2640</v>
      </c>
      <c r="H649" s="113">
        <v>10.0</v>
      </c>
      <c r="I649" s="110" t="s">
        <v>70</v>
      </c>
      <c r="J649" s="112">
        <f>J639</f>
        <v>19790</v>
      </c>
      <c r="K649" s="110" t="str">
        <f>K639&amp;"     "</f>
        <v>$     </v>
      </c>
      <c r="L649" s="110" t="str">
        <f t="shared" ref="L649:U649" si="451">L639</f>
        <v/>
      </c>
      <c r="M649" s="110" t="str">
        <f t="shared" si="451"/>
        <v/>
      </c>
      <c r="N649" s="110" t="str">
        <f t="shared" si="451"/>
        <v/>
      </c>
      <c r="O649" s="110" t="str">
        <f t="shared" si="451"/>
        <v/>
      </c>
      <c r="P649" s="110" t="str">
        <f t="shared" si="451"/>
        <v/>
      </c>
      <c r="Q649" s="110" t="str">
        <f t="shared" si="451"/>
        <v/>
      </c>
      <c r="R649" s="110" t="str">
        <f t="shared" si="451"/>
        <v/>
      </c>
      <c r="S649" s="110" t="str">
        <f t="shared" si="451"/>
        <v/>
      </c>
      <c r="T649" s="110" t="str">
        <f t="shared" si="451"/>
        <v/>
      </c>
      <c r="U649" s="110" t="str">
        <f t="shared" si="451"/>
        <v/>
      </c>
      <c r="V649" s="110" t="str">
        <f t="shared" ref="V649:W649" si="452">V639&amp;"     "</f>
        <v>Nuevo     </v>
      </c>
      <c r="W649" s="112" t="str">
        <f t="shared" si="452"/>
        <v>Activa     </v>
      </c>
    </row>
    <row r="650" ht="49.5" customHeight="1">
      <c r="A650" s="110" t="s">
        <v>63</v>
      </c>
      <c r="B650" s="110" t="s">
        <v>2609</v>
      </c>
      <c r="C650" s="110" t="s">
        <v>2641</v>
      </c>
      <c r="D650" s="110" t="s">
        <v>2641</v>
      </c>
      <c r="E650" s="111" t="s">
        <v>2642</v>
      </c>
      <c r="F650" s="114" t="str">
        <f>"     "&amp;F639</f>
        <v>     Pack Sosten Jockey Sport S-249 Deportivo Cotton Spandex</v>
      </c>
      <c r="G650" s="110" t="s">
        <v>2643</v>
      </c>
      <c r="H650" s="113">
        <v>10.0</v>
      </c>
      <c r="I650" s="110" t="s">
        <v>70</v>
      </c>
      <c r="J650" s="112">
        <f>J639</f>
        <v>19790</v>
      </c>
      <c r="K650" s="110" t="str">
        <f>K639&amp;"     "</f>
        <v>$     </v>
      </c>
      <c r="L650" s="110" t="str">
        <f t="shared" ref="L650:U650" si="453">L639</f>
        <v/>
      </c>
      <c r="M650" s="110" t="str">
        <f t="shared" si="453"/>
        <v/>
      </c>
      <c r="N650" s="110" t="str">
        <f t="shared" si="453"/>
        <v/>
      </c>
      <c r="O650" s="110" t="str">
        <f t="shared" si="453"/>
        <v/>
      </c>
      <c r="P650" s="110" t="str">
        <f t="shared" si="453"/>
        <v/>
      </c>
      <c r="Q650" s="110" t="str">
        <f t="shared" si="453"/>
        <v/>
      </c>
      <c r="R650" s="110" t="str">
        <f t="shared" si="453"/>
        <v/>
      </c>
      <c r="S650" s="110" t="str">
        <f t="shared" si="453"/>
        <v/>
      </c>
      <c r="T650" s="110" t="str">
        <f t="shared" si="453"/>
        <v/>
      </c>
      <c r="U650" s="110" t="str">
        <f t="shared" si="453"/>
        <v/>
      </c>
      <c r="V650" s="110" t="str">
        <f t="shared" ref="V650:W650" si="454">V639&amp;"     "</f>
        <v>Nuevo     </v>
      </c>
      <c r="W650" s="112" t="str">
        <f t="shared" si="454"/>
        <v>Activa     </v>
      </c>
    </row>
    <row r="651" ht="49.5" customHeight="1">
      <c r="A651" s="110" t="s">
        <v>63</v>
      </c>
      <c r="B651" s="110" t="s">
        <v>2609</v>
      </c>
      <c r="C651" s="110" t="s">
        <v>2644</v>
      </c>
      <c r="D651" s="110" t="s">
        <v>2644</v>
      </c>
      <c r="E651" s="111" t="s">
        <v>2645</v>
      </c>
      <c r="F651" s="114" t="str">
        <f>"     "&amp;F639</f>
        <v>     Pack Sosten Jockey Sport S-249 Deportivo Cotton Spandex</v>
      </c>
      <c r="G651" s="110" t="s">
        <v>2646</v>
      </c>
      <c r="H651" s="113">
        <v>10.0</v>
      </c>
      <c r="I651" s="110" t="s">
        <v>70</v>
      </c>
      <c r="J651" s="112">
        <f>J639</f>
        <v>19790</v>
      </c>
      <c r="K651" s="110" t="str">
        <f>K639&amp;"     "</f>
        <v>$     </v>
      </c>
      <c r="L651" s="110" t="str">
        <f t="shared" ref="L651:U651" si="455">L639</f>
        <v/>
      </c>
      <c r="M651" s="110" t="str">
        <f t="shared" si="455"/>
        <v/>
      </c>
      <c r="N651" s="110" t="str">
        <f t="shared" si="455"/>
        <v/>
      </c>
      <c r="O651" s="110" t="str">
        <f t="shared" si="455"/>
        <v/>
      </c>
      <c r="P651" s="110" t="str">
        <f t="shared" si="455"/>
        <v/>
      </c>
      <c r="Q651" s="110" t="str">
        <f t="shared" si="455"/>
        <v/>
      </c>
      <c r="R651" s="110" t="str">
        <f t="shared" si="455"/>
        <v/>
      </c>
      <c r="S651" s="110" t="str">
        <f t="shared" si="455"/>
        <v/>
      </c>
      <c r="T651" s="110" t="str">
        <f t="shared" si="455"/>
        <v/>
      </c>
      <c r="U651" s="110" t="str">
        <f t="shared" si="455"/>
        <v/>
      </c>
      <c r="V651" s="110" t="str">
        <f t="shared" ref="V651:W651" si="456">V639&amp;"     "</f>
        <v>Nuevo     </v>
      </c>
      <c r="W651" s="112" t="str">
        <f t="shared" si="456"/>
        <v>Activa     </v>
      </c>
    </row>
    <row r="652" ht="49.5" customHeight="1">
      <c r="A652" s="110" t="s">
        <v>63</v>
      </c>
      <c r="B652" s="110" t="s">
        <v>2647</v>
      </c>
      <c r="C652" s="110"/>
      <c r="D652" s="110"/>
      <c r="E652" s="112" t="s">
        <v>63</v>
      </c>
      <c r="F652" s="111" t="s">
        <v>2648</v>
      </c>
      <c r="G652" s="110" t="s">
        <v>70</v>
      </c>
      <c r="H652" s="110" t="s">
        <v>460</v>
      </c>
      <c r="I652" s="110" t="s">
        <v>70</v>
      </c>
      <c r="J652" s="112">
        <v>13290.0</v>
      </c>
      <c r="K652" s="113" t="s">
        <v>71</v>
      </c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 t="s">
        <v>72</v>
      </c>
      <c r="W652" s="112" t="s">
        <v>73</v>
      </c>
    </row>
    <row r="653" ht="49.5" customHeight="1">
      <c r="A653" s="110" t="s">
        <v>63</v>
      </c>
      <c r="B653" s="110" t="s">
        <v>2647</v>
      </c>
      <c r="C653" s="110" t="s">
        <v>2649</v>
      </c>
      <c r="D653" s="110" t="s">
        <v>2649</v>
      </c>
      <c r="E653" s="111" t="s">
        <v>2650</v>
      </c>
      <c r="F653" s="114" t="str">
        <f>"     "&amp;F652</f>
        <v>     Pack Top Mujer Jockey Sport S-321 Deportivo Seamless</v>
      </c>
      <c r="G653" s="110" t="s">
        <v>2651</v>
      </c>
      <c r="H653" s="113">
        <v>10.0</v>
      </c>
      <c r="I653" s="110" t="s">
        <v>70</v>
      </c>
      <c r="J653" s="112">
        <f>J652</f>
        <v>13290</v>
      </c>
      <c r="K653" s="110" t="str">
        <f>K652&amp;"     "</f>
        <v>$     </v>
      </c>
      <c r="L653" s="110" t="str">
        <f t="shared" ref="L653:U653" si="457">L652</f>
        <v/>
      </c>
      <c r="M653" s="110" t="str">
        <f t="shared" si="457"/>
        <v/>
      </c>
      <c r="N653" s="110" t="str">
        <f t="shared" si="457"/>
        <v/>
      </c>
      <c r="O653" s="110" t="str">
        <f t="shared" si="457"/>
        <v/>
      </c>
      <c r="P653" s="110" t="str">
        <f t="shared" si="457"/>
        <v/>
      </c>
      <c r="Q653" s="110" t="str">
        <f t="shared" si="457"/>
        <v/>
      </c>
      <c r="R653" s="110" t="str">
        <f t="shared" si="457"/>
        <v/>
      </c>
      <c r="S653" s="110" t="str">
        <f t="shared" si="457"/>
        <v/>
      </c>
      <c r="T653" s="110" t="str">
        <f t="shared" si="457"/>
        <v/>
      </c>
      <c r="U653" s="110" t="str">
        <f t="shared" si="457"/>
        <v/>
      </c>
      <c r="V653" s="110" t="str">
        <f t="shared" ref="V653:W653" si="458">V652&amp;"     "</f>
        <v>Nuevo     </v>
      </c>
      <c r="W653" s="112" t="str">
        <f t="shared" si="458"/>
        <v>Activa     </v>
      </c>
    </row>
    <row r="654" ht="49.5" customHeight="1">
      <c r="A654" s="110" t="s">
        <v>63</v>
      </c>
      <c r="B654" s="110" t="s">
        <v>2647</v>
      </c>
      <c r="C654" s="110" t="s">
        <v>2652</v>
      </c>
      <c r="D654" s="110" t="s">
        <v>2652</v>
      </c>
      <c r="E654" s="111" t="s">
        <v>2653</v>
      </c>
      <c r="F654" s="114" t="str">
        <f>"     "&amp;F652</f>
        <v>     Pack Top Mujer Jockey Sport S-321 Deportivo Seamless</v>
      </c>
      <c r="G654" s="110" t="s">
        <v>2654</v>
      </c>
      <c r="H654" s="113">
        <v>10.0</v>
      </c>
      <c r="I654" s="110" t="s">
        <v>70</v>
      </c>
      <c r="J654" s="112">
        <f>J652</f>
        <v>13290</v>
      </c>
      <c r="K654" s="110" t="str">
        <f>K652&amp;"     "</f>
        <v>$     </v>
      </c>
      <c r="L654" s="110" t="str">
        <f t="shared" ref="L654:U654" si="459">L652</f>
        <v/>
      </c>
      <c r="M654" s="110" t="str">
        <f t="shared" si="459"/>
        <v/>
      </c>
      <c r="N654" s="110" t="str">
        <f t="shared" si="459"/>
        <v/>
      </c>
      <c r="O654" s="110" t="str">
        <f t="shared" si="459"/>
        <v/>
      </c>
      <c r="P654" s="110" t="str">
        <f t="shared" si="459"/>
        <v/>
      </c>
      <c r="Q654" s="110" t="str">
        <f t="shared" si="459"/>
        <v/>
      </c>
      <c r="R654" s="110" t="str">
        <f t="shared" si="459"/>
        <v/>
      </c>
      <c r="S654" s="110" t="str">
        <f t="shared" si="459"/>
        <v/>
      </c>
      <c r="T654" s="110" t="str">
        <f t="shared" si="459"/>
        <v/>
      </c>
      <c r="U654" s="110" t="str">
        <f t="shared" si="459"/>
        <v/>
      </c>
      <c r="V654" s="110" t="str">
        <f t="shared" ref="V654:W654" si="460">V652&amp;"     "</f>
        <v>Nuevo     </v>
      </c>
      <c r="W654" s="112" t="str">
        <f t="shared" si="460"/>
        <v>Activa     </v>
      </c>
    </row>
    <row r="655" ht="49.5" customHeight="1">
      <c r="A655" s="110" t="s">
        <v>63</v>
      </c>
      <c r="B655" s="110" t="s">
        <v>2647</v>
      </c>
      <c r="C655" s="110" t="s">
        <v>2655</v>
      </c>
      <c r="D655" s="110" t="s">
        <v>2655</v>
      </c>
      <c r="E655" s="111" t="s">
        <v>2656</v>
      </c>
      <c r="F655" s="114" t="str">
        <f>"     "&amp;F652</f>
        <v>     Pack Top Mujer Jockey Sport S-321 Deportivo Seamless</v>
      </c>
      <c r="G655" s="110" t="s">
        <v>2657</v>
      </c>
      <c r="H655" s="113">
        <v>10.0</v>
      </c>
      <c r="I655" s="110" t="s">
        <v>70</v>
      </c>
      <c r="J655" s="112">
        <f>J652</f>
        <v>13290</v>
      </c>
      <c r="K655" s="110" t="str">
        <f>K652&amp;"     "</f>
        <v>$     </v>
      </c>
      <c r="L655" s="110" t="str">
        <f t="shared" ref="L655:U655" si="461">L652</f>
        <v/>
      </c>
      <c r="M655" s="110" t="str">
        <f t="shared" si="461"/>
        <v/>
      </c>
      <c r="N655" s="110" t="str">
        <f t="shared" si="461"/>
        <v/>
      </c>
      <c r="O655" s="110" t="str">
        <f t="shared" si="461"/>
        <v/>
      </c>
      <c r="P655" s="110" t="str">
        <f t="shared" si="461"/>
        <v/>
      </c>
      <c r="Q655" s="110" t="str">
        <f t="shared" si="461"/>
        <v/>
      </c>
      <c r="R655" s="110" t="str">
        <f t="shared" si="461"/>
        <v/>
      </c>
      <c r="S655" s="110" t="str">
        <f t="shared" si="461"/>
        <v/>
      </c>
      <c r="T655" s="110" t="str">
        <f t="shared" si="461"/>
        <v/>
      </c>
      <c r="U655" s="110" t="str">
        <f t="shared" si="461"/>
        <v/>
      </c>
      <c r="V655" s="110" t="str">
        <f t="shared" ref="V655:W655" si="462">V652&amp;"     "</f>
        <v>Nuevo     </v>
      </c>
      <c r="W655" s="112" t="str">
        <f t="shared" si="462"/>
        <v>Activa     </v>
      </c>
    </row>
    <row r="656" ht="49.5" customHeight="1">
      <c r="A656" s="110" t="s">
        <v>63</v>
      </c>
      <c r="B656" s="110" t="s">
        <v>2647</v>
      </c>
      <c r="C656" s="110" t="s">
        <v>2658</v>
      </c>
      <c r="D656" s="110" t="s">
        <v>2658</v>
      </c>
      <c r="E656" s="111" t="s">
        <v>2659</v>
      </c>
      <c r="F656" s="114" t="str">
        <f>"     "&amp;F652</f>
        <v>     Pack Top Mujer Jockey Sport S-321 Deportivo Seamless</v>
      </c>
      <c r="G656" s="110" t="s">
        <v>2660</v>
      </c>
      <c r="H656" s="113">
        <v>10.0</v>
      </c>
      <c r="I656" s="110" t="s">
        <v>70</v>
      </c>
      <c r="J656" s="112">
        <f>J652</f>
        <v>13290</v>
      </c>
      <c r="K656" s="110" t="str">
        <f>K652&amp;"     "</f>
        <v>$     </v>
      </c>
      <c r="L656" s="110" t="str">
        <f t="shared" ref="L656:U656" si="463">L652</f>
        <v/>
      </c>
      <c r="M656" s="110" t="str">
        <f t="shared" si="463"/>
        <v/>
      </c>
      <c r="N656" s="110" t="str">
        <f t="shared" si="463"/>
        <v/>
      </c>
      <c r="O656" s="110" t="str">
        <f t="shared" si="463"/>
        <v/>
      </c>
      <c r="P656" s="110" t="str">
        <f t="shared" si="463"/>
        <v/>
      </c>
      <c r="Q656" s="110" t="str">
        <f t="shared" si="463"/>
        <v/>
      </c>
      <c r="R656" s="110" t="str">
        <f t="shared" si="463"/>
        <v/>
      </c>
      <c r="S656" s="110" t="str">
        <f t="shared" si="463"/>
        <v/>
      </c>
      <c r="T656" s="110" t="str">
        <f t="shared" si="463"/>
        <v/>
      </c>
      <c r="U656" s="110" t="str">
        <f t="shared" si="463"/>
        <v/>
      </c>
      <c r="V656" s="110" t="str">
        <f t="shared" ref="V656:W656" si="464">V652&amp;"     "</f>
        <v>Nuevo     </v>
      </c>
      <c r="W656" s="112" t="str">
        <f t="shared" si="464"/>
        <v>Activa     </v>
      </c>
    </row>
    <row r="657" ht="49.5" customHeight="1">
      <c r="A657" s="110" t="s">
        <v>63</v>
      </c>
      <c r="B657" s="110" t="s">
        <v>2647</v>
      </c>
      <c r="C657" s="110" t="s">
        <v>2661</v>
      </c>
      <c r="D657" s="110" t="s">
        <v>2661</v>
      </c>
      <c r="E657" s="111" t="s">
        <v>2662</v>
      </c>
      <c r="F657" s="114" t="str">
        <f>"     "&amp;F652</f>
        <v>     Pack Top Mujer Jockey Sport S-321 Deportivo Seamless</v>
      </c>
      <c r="G657" s="110" t="s">
        <v>2663</v>
      </c>
      <c r="H657" s="113">
        <v>10.0</v>
      </c>
      <c r="I657" s="110" t="s">
        <v>70</v>
      </c>
      <c r="J657" s="112">
        <f>J652</f>
        <v>13290</v>
      </c>
      <c r="K657" s="110" t="str">
        <f>K652&amp;"     "</f>
        <v>$     </v>
      </c>
      <c r="L657" s="110" t="str">
        <f t="shared" ref="L657:U657" si="465">L652</f>
        <v/>
      </c>
      <c r="M657" s="110" t="str">
        <f t="shared" si="465"/>
        <v/>
      </c>
      <c r="N657" s="110" t="str">
        <f t="shared" si="465"/>
        <v/>
      </c>
      <c r="O657" s="110" t="str">
        <f t="shared" si="465"/>
        <v/>
      </c>
      <c r="P657" s="110" t="str">
        <f t="shared" si="465"/>
        <v/>
      </c>
      <c r="Q657" s="110" t="str">
        <f t="shared" si="465"/>
        <v/>
      </c>
      <c r="R657" s="110" t="str">
        <f t="shared" si="465"/>
        <v/>
      </c>
      <c r="S657" s="110" t="str">
        <f t="shared" si="465"/>
        <v/>
      </c>
      <c r="T657" s="110" t="str">
        <f t="shared" si="465"/>
        <v/>
      </c>
      <c r="U657" s="110" t="str">
        <f t="shared" si="465"/>
        <v/>
      </c>
      <c r="V657" s="110" t="str">
        <f t="shared" ref="V657:W657" si="466">V652&amp;"     "</f>
        <v>Nuevo     </v>
      </c>
      <c r="W657" s="112" t="str">
        <f t="shared" si="466"/>
        <v>Activa     </v>
      </c>
    </row>
    <row r="658" ht="49.5" customHeight="1">
      <c r="A658" s="110" t="s">
        <v>63</v>
      </c>
      <c r="B658" s="110" t="s">
        <v>2647</v>
      </c>
      <c r="C658" s="110" t="s">
        <v>2664</v>
      </c>
      <c r="D658" s="110" t="s">
        <v>2664</v>
      </c>
      <c r="E658" s="111" t="s">
        <v>2665</v>
      </c>
      <c r="F658" s="114" t="str">
        <f>"     "&amp;F652</f>
        <v>     Pack Top Mujer Jockey Sport S-321 Deportivo Seamless</v>
      </c>
      <c r="G658" s="110" t="s">
        <v>2666</v>
      </c>
      <c r="H658" s="113">
        <v>10.0</v>
      </c>
      <c r="I658" s="110" t="s">
        <v>70</v>
      </c>
      <c r="J658" s="112">
        <f>J652</f>
        <v>13290</v>
      </c>
      <c r="K658" s="110" t="str">
        <f>K652&amp;"     "</f>
        <v>$     </v>
      </c>
      <c r="L658" s="110" t="str">
        <f t="shared" ref="L658:U658" si="467">L652</f>
        <v/>
      </c>
      <c r="M658" s="110" t="str">
        <f t="shared" si="467"/>
        <v/>
      </c>
      <c r="N658" s="110" t="str">
        <f t="shared" si="467"/>
        <v/>
      </c>
      <c r="O658" s="110" t="str">
        <f t="shared" si="467"/>
        <v/>
      </c>
      <c r="P658" s="110" t="str">
        <f t="shared" si="467"/>
        <v/>
      </c>
      <c r="Q658" s="110" t="str">
        <f t="shared" si="467"/>
        <v/>
      </c>
      <c r="R658" s="110" t="str">
        <f t="shared" si="467"/>
        <v/>
      </c>
      <c r="S658" s="110" t="str">
        <f t="shared" si="467"/>
        <v/>
      </c>
      <c r="T658" s="110" t="str">
        <f t="shared" si="467"/>
        <v/>
      </c>
      <c r="U658" s="110" t="str">
        <f t="shared" si="467"/>
        <v/>
      </c>
      <c r="V658" s="110" t="str">
        <f t="shared" ref="V658:W658" si="468">V652&amp;"     "</f>
        <v>Nuevo     </v>
      </c>
      <c r="W658" s="112" t="str">
        <f t="shared" si="468"/>
        <v>Activa     </v>
      </c>
    </row>
    <row r="659" ht="49.5" customHeight="1">
      <c r="A659" s="110" t="s">
        <v>63</v>
      </c>
      <c r="B659" s="110" t="s">
        <v>2667</v>
      </c>
      <c r="C659" s="110"/>
      <c r="D659" s="110"/>
      <c r="E659" s="112" t="s">
        <v>63</v>
      </c>
      <c r="F659" s="111" t="s">
        <v>2668</v>
      </c>
      <c r="G659" s="110" t="s">
        <v>70</v>
      </c>
      <c r="H659" s="110" t="s">
        <v>1934</v>
      </c>
      <c r="I659" s="110" t="s">
        <v>70</v>
      </c>
      <c r="J659" s="112">
        <v>24290.0</v>
      </c>
      <c r="K659" s="113" t="s">
        <v>71</v>
      </c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 t="s">
        <v>72</v>
      </c>
      <c r="W659" s="112" t="s">
        <v>73</v>
      </c>
    </row>
    <row r="660" ht="49.5" customHeight="1">
      <c r="A660" s="110" t="s">
        <v>63</v>
      </c>
      <c r="B660" s="110" t="s">
        <v>2667</v>
      </c>
      <c r="C660" s="110" t="s">
        <v>2669</v>
      </c>
      <c r="D660" s="110" t="s">
        <v>2669</v>
      </c>
      <c r="E660" s="111" t="s">
        <v>2670</v>
      </c>
      <c r="F660" s="114" t="str">
        <f>"     "&amp;F659</f>
        <v>     Pack Sosten Mujer Lady Genny S-691 Deportivo</v>
      </c>
      <c r="G660" s="110" t="s">
        <v>2671</v>
      </c>
      <c r="H660" s="113">
        <v>10.0</v>
      </c>
      <c r="I660" s="110" t="s">
        <v>70</v>
      </c>
      <c r="J660" s="112">
        <f>J659</f>
        <v>24290</v>
      </c>
      <c r="K660" s="110" t="str">
        <f>K659&amp;"     "</f>
        <v>$     </v>
      </c>
      <c r="L660" s="110" t="str">
        <f t="shared" ref="L660:U660" si="469">L659</f>
        <v/>
      </c>
      <c r="M660" s="110" t="str">
        <f t="shared" si="469"/>
        <v/>
      </c>
      <c r="N660" s="110" t="str">
        <f t="shared" si="469"/>
        <v/>
      </c>
      <c r="O660" s="110" t="str">
        <f t="shared" si="469"/>
        <v/>
      </c>
      <c r="P660" s="110" t="str">
        <f t="shared" si="469"/>
        <v/>
      </c>
      <c r="Q660" s="110" t="str">
        <f t="shared" si="469"/>
        <v/>
      </c>
      <c r="R660" s="110" t="str">
        <f t="shared" si="469"/>
        <v/>
      </c>
      <c r="S660" s="110" t="str">
        <f t="shared" si="469"/>
        <v/>
      </c>
      <c r="T660" s="110" t="str">
        <f t="shared" si="469"/>
        <v/>
      </c>
      <c r="U660" s="110" t="str">
        <f t="shared" si="469"/>
        <v/>
      </c>
      <c r="V660" s="110" t="str">
        <f t="shared" ref="V660:W660" si="470">V659&amp;"     "</f>
        <v>Nuevo     </v>
      </c>
      <c r="W660" s="112" t="str">
        <f t="shared" si="470"/>
        <v>Activa     </v>
      </c>
    </row>
    <row r="661" ht="49.5" customHeight="1">
      <c r="A661" s="110" t="s">
        <v>63</v>
      </c>
      <c r="B661" s="110" t="s">
        <v>2667</v>
      </c>
      <c r="C661" s="110" t="s">
        <v>2672</v>
      </c>
      <c r="D661" s="110" t="s">
        <v>2672</v>
      </c>
      <c r="E661" s="111" t="s">
        <v>2673</v>
      </c>
      <c r="F661" s="114" t="str">
        <f>"     "&amp;F659</f>
        <v>     Pack Sosten Mujer Lady Genny S-691 Deportivo</v>
      </c>
      <c r="G661" s="110" t="s">
        <v>2674</v>
      </c>
      <c r="H661" s="113">
        <v>0.0</v>
      </c>
      <c r="I661" s="110" t="s">
        <v>70</v>
      </c>
      <c r="J661" s="112">
        <f>J659</f>
        <v>24290</v>
      </c>
      <c r="K661" s="110" t="str">
        <f>K659&amp;"     "</f>
        <v>$     </v>
      </c>
      <c r="L661" s="110" t="str">
        <f t="shared" ref="L661:U661" si="471">L659</f>
        <v/>
      </c>
      <c r="M661" s="110" t="str">
        <f t="shared" si="471"/>
        <v/>
      </c>
      <c r="N661" s="110" t="str">
        <f t="shared" si="471"/>
        <v/>
      </c>
      <c r="O661" s="110" t="str">
        <f t="shared" si="471"/>
        <v/>
      </c>
      <c r="P661" s="110" t="str">
        <f t="shared" si="471"/>
        <v/>
      </c>
      <c r="Q661" s="110" t="str">
        <f t="shared" si="471"/>
        <v/>
      </c>
      <c r="R661" s="110" t="str">
        <f t="shared" si="471"/>
        <v/>
      </c>
      <c r="S661" s="110" t="str">
        <f t="shared" si="471"/>
        <v/>
      </c>
      <c r="T661" s="110" t="str">
        <f t="shared" si="471"/>
        <v/>
      </c>
      <c r="U661" s="110" t="str">
        <f t="shared" si="471"/>
        <v/>
      </c>
      <c r="V661" s="110" t="str">
        <f t="shared" ref="V661:W661" si="472">V659&amp;"     "</f>
        <v>Nuevo     </v>
      </c>
      <c r="W661" s="112" t="str">
        <f t="shared" si="472"/>
        <v>Activa     </v>
      </c>
    </row>
    <row r="662" ht="49.5" customHeight="1">
      <c r="A662" s="110" t="s">
        <v>63</v>
      </c>
      <c r="B662" s="110" t="s">
        <v>2667</v>
      </c>
      <c r="C662" s="110" t="s">
        <v>2675</v>
      </c>
      <c r="D662" s="110" t="s">
        <v>2675</v>
      </c>
      <c r="E662" s="111" t="s">
        <v>2676</v>
      </c>
      <c r="F662" s="114" t="str">
        <f>"     "&amp;F659</f>
        <v>     Pack Sosten Mujer Lady Genny S-691 Deportivo</v>
      </c>
      <c r="G662" s="110" t="s">
        <v>2677</v>
      </c>
      <c r="H662" s="113">
        <v>10.0</v>
      </c>
      <c r="I662" s="110" t="s">
        <v>70</v>
      </c>
      <c r="J662" s="112">
        <f>J659</f>
        <v>24290</v>
      </c>
      <c r="K662" s="110" t="str">
        <f>K659&amp;"     "</f>
        <v>$     </v>
      </c>
      <c r="L662" s="110" t="str">
        <f t="shared" ref="L662:U662" si="473">L659</f>
        <v/>
      </c>
      <c r="M662" s="110" t="str">
        <f t="shared" si="473"/>
        <v/>
      </c>
      <c r="N662" s="110" t="str">
        <f t="shared" si="473"/>
        <v/>
      </c>
      <c r="O662" s="110" t="str">
        <f t="shared" si="473"/>
        <v/>
      </c>
      <c r="P662" s="110" t="str">
        <f t="shared" si="473"/>
        <v/>
      </c>
      <c r="Q662" s="110" t="str">
        <f t="shared" si="473"/>
        <v/>
      </c>
      <c r="R662" s="110" t="str">
        <f t="shared" si="473"/>
        <v/>
      </c>
      <c r="S662" s="110" t="str">
        <f t="shared" si="473"/>
        <v/>
      </c>
      <c r="T662" s="110" t="str">
        <f t="shared" si="473"/>
        <v/>
      </c>
      <c r="U662" s="110" t="str">
        <f t="shared" si="473"/>
        <v/>
      </c>
      <c r="V662" s="110" t="str">
        <f t="shared" ref="V662:W662" si="474">V659&amp;"     "</f>
        <v>Nuevo     </v>
      </c>
      <c r="W662" s="112" t="str">
        <f t="shared" si="474"/>
        <v>Activa     </v>
      </c>
    </row>
    <row r="663" ht="49.5" customHeight="1">
      <c r="A663" s="110" t="s">
        <v>63</v>
      </c>
      <c r="B663" s="110" t="s">
        <v>2667</v>
      </c>
      <c r="C663" s="110" t="s">
        <v>2678</v>
      </c>
      <c r="D663" s="110" t="s">
        <v>2678</v>
      </c>
      <c r="E663" s="111" t="s">
        <v>2679</v>
      </c>
      <c r="F663" s="114" t="str">
        <f>"     "&amp;F659</f>
        <v>     Pack Sosten Mujer Lady Genny S-691 Deportivo</v>
      </c>
      <c r="G663" s="110" t="s">
        <v>2680</v>
      </c>
      <c r="H663" s="113">
        <v>10.0</v>
      </c>
      <c r="I663" s="110" t="s">
        <v>70</v>
      </c>
      <c r="J663" s="112">
        <f>J659</f>
        <v>24290</v>
      </c>
      <c r="K663" s="110" t="str">
        <f>K659&amp;"     "</f>
        <v>$     </v>
      </c>
      <c r="L663" s="110" t="str">
        <f t="shared" ref="L663:U663" si="475">L659</f>
        <v/>
      </c>
      <c r="M663" s="110" t="str">
        <f t="shared" si="475"/>
        <v/>
      </c>
      <c r="N663" s="110" t="str">
        <f t="shared" si="475"/>
        <v/>
      </c>
      <c r="O663" s="110" t="str">
        <f t="shared" si="475"/>
        <v/>
      </c>
      <c r="P663" s="110" t="str">
        <f t="shared" si="475"/>
        <v/>
      </c>
      <c r="Q663" s="110" t="str">
        <f t="shared" si="475"/>
        <v/>
      </c>
      <c r="R663" s="110" t="str">
        <f t="shared" si="475"/>
        <v/>
      </c>
      <c r="S663" s="110" t="str">
        <f t="shared" si="475"/>
        <v/>
      </c>
      <c r="T663" s="110" t="str">
        <f t="shared" si="475"/>
        <v/>
      </c>
      <c r="U663" s="110" t="str">
        <f t="shared" si="475"/>
        <v/>
      </c>
      <c r="V663" s="110" t="str">
        <f t="shared" ref="V663:W663" si="476">V659&amp;"     "</f>
        <v>Nuevo     </v>
      </c>
      <c r="W663" s="112" t="str">
        <f t="shared" si="476"/>
        <v>Activa     </v>
      </c>
    </row>
    <row r="664" ht="49.5" customHeight="1">
      <c r="A664" s="110" t="s">
        <v>63</v>
      </c>
      <c r="B664" s="110" t="s">
        <v>2667</v>
      </c>
      <c r="C664" s="110" t="s">
        <v>2681</v>
      </c>
      <c r="D664" s="110" t="s">
        <v>2681</v>
      </c>
      <c r="E664" s="111" t="s">
        <v>2682</v>
      </c>
      <c r="F664" s="114" t="str">
        <f>"     "&amp;F659</f>
        <v>     Pack Sosten Mujer Lady Genny S-691 Deportivo</v>
      </c>
      <c r="G664" s="110" t="s">
        <v>2683</v>
      </c>
      <c r="H664" s="113">
        <v>0.0</v>
      </c>
      <c r="I664" s="110" t="s">
        <v>70</v>
      </c>
      <c r="J664" s="112">
        <f>J659</f>
        <v>24290</v>
      </c>
      <c r="K664" s="110" t="str">
        <f>K659&amp;"     "</f>
        <v>$     </v>
      </c>
      <c r="L664" s="110" t="str">
        <f t="shared" ref="L664:U664" si="477">L659</f>
        <v/>
      </c>
      <c r="M664" s="110" t="str">
        <f t="shared" si="477"/>
        <v/>
      </c>
      <c r="N664" s="110" t="str">
        <f t="shared" si="477"/>
        <v/>
      </c>
      <c r="O664" s="110" t="str">
        <f t="shared" si="477"/>
        <v/>
      </c>
      <c r="P664" s="110" t="str">
        <f t="shared" si="477"/>
        <v/>
      </c>
      <c r="Q664" s="110" t="str">
        <f t="shared" si="477"/>
        <v/>
      </c>
      <c r="R664" s="110" t="str">
        <f t="shared" si="477"/>
        <v/>
      </c>
      <c r="S664" s="110" t="str">
        <f t="shared" si="477"/>
        <v/>
      </c>
      <c r="T664" s="110" t="str">
        <f t="shared" si="477"/>
        <v/>
      </c>
      <c r="U664" s="110" t="str">
        <f t="shared" si="477"/>
        <v/>
      </c>
      <c r="V664" s="110" t="str">
        <f t="shared" ref="V664:W664" si="478">V659&amp;"     "</f>
        <v>Nuevo     </v>
      </c>
      <c r="W664" s="112" t="str">
        <f t="shared" si="478"/>
        <v>Activa     </v>
      </c>
    </row>
    <row r="665" ht="49.5" customHeight="1">
      <c r="A665" s="110" t="s">
        <v>63</v>
      </c>
      <c r="B665" s="110" t="s">
        <v>2667</v>
      </c>
      <c r="C665" s="110" t="s">
        <v>2684</v>
      </c>
      <c r="D665" s="110" t="s">
        <v>2684</v>
      </c>
      <c r="E665" s="111" t="s">
        <v>2685</v>
      </c>
      <c r="F665" s="114" t="str">
        <f>"     "&amp;F659</f>
        <v>     Pack Sosten Mujer Lady Genny S-691 Deportivo</v>
      </c>
      <c r="G665" s="110" t="s">
        <v>2686</v>
      </c>
      <c r="H665" s="113">
        <v>10.0</v>
      </c>
      <c r="I665" s="110" t="s">
        <v>70</v>
      </c>
      <c r="J665" s="112">
        <f>J659</f>
        <v>24290</v>
      </c>
      <c r="K665" s="110" t="str">
        <f>K659&amp;"     "</f>
        <v>$     </v>
      </c>
      <c r="L665" s="110" t="str">
        <f t="shared" ref="L665:U665" si="479">L659</f>
        <v/>
      </c>
      <c r="M665" s="110" t="str">
        <f t="shared" si="479"/>
        <v/>
      </c>
      <c r="N665" s="110" t="str">
        <f t="shared" si="479"/>
        <v/>
      </c>
      <c r="O665" s="110" t="str">
        <f t="shared" si="479"/>
        <v/>
      </c>
      <c r="P665" s="110" t="str">
        <f t="shared" si="479"/>
        <v/>
      </c>
      <c r="Q665" s="110" t="str">
        <f t="shared" si="479"/>
        <v/>
      </c>
      <c r="R665" s="110" t="str">
        <f t="shared" si="479"/>
        <v/>
      </c>
      <c r="S665" s="110" t="str">
        <f t="shared" si="479"/>
        <v/>
      </c>
      <c r="T665" s="110" t="str">
        <f t="shared" si="479"/>
        <v/>
      </c>
      <c r="U665" s="110" t="str">
        <f t="shared" si="479"/>
        <v/>
      </c>
      <c r="V665" s="110" t="str">
        <f t="shared" ref="V665:W665" si="480">V659&amp;"     "</f>
        <v>Nuevo     </v>
      </c>
      <c r="W665" s="112" t="str">
        <f t="shared" si="480"/>
        <v>Activa     </v>
      </c>
    </row>
    <row r="666" ht="49.5" customHeight="1">
      <c r="A666" s="110" t="s">
        <v>63</v>
      </c>
      <c r="B666" s="110" t="s">
        <v>2667</v>
      </c>
      <c r="C666" s="110" t="s">
        <v>2687</v>
      </c>
      <c r="D666" s="110" t="s">
        <v>2687</v>
      </c>
      <c r="E666" s="111" t="s">
        <v>2688</v>
      </c>
      <c r="F666" s="114" t="str">
        <f>"     "&amp;F659</f>
        <v>     Pack Sosten Mujer Lady Genny S-691 Deportivo</v>
      </c>
      <c r="G666" s="110" t="s">
        <v>2689</v>
      </c>
      <c r="H666" s="113">
        <v>10.0</v>
      </c>
      <c r="I666" s="110" t="s">
        <v>70</v>
      </c>
      <c r="J666" s="112">
        <f>J659</f>
        <v>24290</v>
      </c>
      <c r="K666" s="110" t="str">
        <f>K659&amp;"     "</f>
        <v>$     </v>
      </c>
      <c r="L666" s="110" t="str">
        <f t="shared" ref="L666:U666" si="481">L659</f>
        <v/>
      </c>
      <c r="M666" s="110" t="str">
        <f t="shared" si="481"/>
        <v/>
      </c>
      <c r="N666" s="110" t="str">
        <f t="shared" si="481"/>
        <v/>
      </c>
      <c r="O666" s="110" t="str">
        <f t="shared" si="481"/>
        <v/>
      </c>
      <c r="P666" s="110" t="str">
        <f t="shared" si="481"/>
        <v/>
      </c>
      <c r="Q666" s="110" t="str">
        <f t="shared" si="481"/>
        <v/>
      </c>
      <c r="R666" s="110" t="str">
        <f t="shared" si="481"/>
        <v/>
      </c>
      <c r="S666" s="110" t="str">
        <f t="shared" si="481"/>
        <v/>
      </c>
      <c r="T666" s="110" t="str">
        <f t="shared" si="481"/>
        <v/>
      </c>
      <c r="U666" s="110" t="str">
        <f t="shared" si="481"/>
        <v/>
      </c>
      <c r="V666" s="110" t="str">
        <f t="shared" ref="V666:W666" si="482">V659&amp;"     "</f>
        <v>Nuevo     </v>
      </c>
      <c r="W666" s="112" t="str">
        <f t="shared" si="482"/>
        <v>Activa     </v>
      </c>
    </row>
    <row r="667" ht="49.5" customHeight="1">
      <c r="A667" s="110" t="s">
        <v>63</v>
      </c>
      <c r="B667" s="110" t="s">
        <v>2667</v>
      </c>
      <c r="C667" s="110" t="s">
        <v>2690</v>
      </c>
      <c r="D667" s="110" t="s">
        <v>2690</v>
      </c>
      <c r="E667" s="111" t="s">
        <v>2691</v>
      </c>
      <c r="F667" s="114" t="str">
        <f>"     "&amp;F659</f>
        <v>     Pack Sosten Mujer Lady Genny S-691 Deportivo</v>
      </c>
      <c r="G667" s="110" t="s">
        <v>2692</v>
      </c>
      <c r="H667" s="113">
        <v>10.0</v>
      </c>
      <c r="I667" s="110" t="s">
        <v>70</v>
      </c>
      <c r="J667" s="112">
        <f>J659</f>
        <v>24290</v>
      </c>
      <c r="K667" s="110" t="str">
        <f>K659&amp;"     "</f>
        <v>$     </v>
      </c>
      <c r="L667" s="110" t="str">
        <f t="shared" ref="L667:U667" si="483">L659</f>
        <v/>
      </c>
      <c r="M667" s="110" t="str">
        <f t="shared" si="483"/>
        <v/>
      </c>
      <c r="N667" s="110" t="str">
        <f t="shared" si="483"/>
        <v/>
      </c>
      <c r="O667" s="110" t="str">
        <f t="shared" si="483"/>
        <v/>
      </c>
      <c r="P667" s="110" t="str">
        <f t="shared" si="483"/>
        <v/>
      </c>
      <c r="Q667" s="110" t="str">
        <f t="shared" si="483"/>
        <v/>
      </c>
      <c r="R667" s="110" t="str">
        <f t="shared" si="483"/>
        <v/>
      </c>
      <c r="S667" s="110" t="str">
        <f t="shared" si="483"/>
        <v/>
      </c>
      <c r="T667" s="110" t="str">
        <f t="shared" si="483"/>
        <v/>
      </c>
      <c r="U667" s="110" t="str">
        <f t="shared" si="483"/>
        <v/>
      </c>
      <c r="V667" s="110" t="str">
        <f t="shared" ref="V667:W667" si="484">V659&amp;"     "</f>
        <v>Nuevo     </v>
      </c>
      <c r="W667" s="112" t="str">
        <f t="shared" si="484"/>
        <v>Activa     </v>
      </c>
    </row>
    <row r="668" ht="49.5" customHeight="1">
      <c r="A668" s="110" t="s">
        <v>63</v>
      </c>
      <c r="B668" s="110" t="s">
        <v>2667</v>
      </c>
      <c r="C668" s="110" t="s">
        <v>2693</v>
      </c>
      <c r="D668" s="110" t="s">
        <v>2693</v>
      </c>
      <c r="E668" s="111" t="s">
        <v>2694</v>
      </c>
      <c r="F668" s="114" t="str">
        <f>"     "&amp;F659</f>
        <v>     Pack Sosten Mujer Lady Genny S-691 Deportivo</v>
      </c>
      <c r="G668" s="110" t="s">
        <v>2695</v>
      </c>
      <c r="H668" s="113">
        <v>10.0</v>
      </c>
      <c r="I668" s="110" t="s">
        <v>70</v>
      </c>
      <c r="J668" s="112">
        <f>J659</f>
        <v>24290</v>
      </c>
      <c r="K668" s="110" t="str">
        <f>K659&amp;"     "</f>
        <v>$     </v>
      </c>
      <c r="L668" s="110" t="str">
        <f t="shared" ref="L668:U668" si="485">L659</f>
        <v/>
      </c>
      <c r="M668" s="110" t="str">
        <f t="shared" si="485"/>
        <v/>
      </c>
      <c r="N668" s="110" t="str">
        <f t="shared" si="485"/>
        <v/>
      </c>
      <c r="O668" s="110" t="str">
        <f t="shared" si="485"/>
        <v/>
      </c>
      <c r="P668" s="110" t="str">
        <f t="shared" si="485"/>
        <v/>
      </c>
      <c r="Q668" s="110" t="str">
        <f t="shared" si="485"/>
        <v/>
      </c>
      <c r="R668" s="110" t="str">
        <f t="shared" si="485"/>
        <v/>
      </c>
      <c r="S668" s="110" t="str">
        <f t="shared" si="485"/>
        <v/>
      </c>
      <c r="T668" s="110" t="str">
        <f t="shared" si="485"/>
        <v/>
      </c>
      <c r="U668" s="110" t="str">
        <f t="shared" si="485"/>
        <v/>
      </c>
      <c r="V668" s="110" t="str">
        <f t="shared" ref="V668:W668" si="486">V659&amp;"     "</f>
        <v>Nuevo     </v>
      </c>
      <c r="W668" s="112" t="str">
        <f t="shared" si="486"/>
        <v>Activa     </v>
      </c>
    </row>
    <row r="669" ht="49.5" customHeight="1">
      <c r="A669" s="110" t="s">
        <v>63</v>
      </c>
      <c r="B669" s="110" t="s">
        <v>2667</v>
      </c>
      <c r="C669" s="110" t="s">
        <v>2696</v>
      </c>
      <c r="D669" s="110" t="s">
        <v>2696</v>
      </c>
      <c r="E669" s="111" t="s">
        <v>2697</v>
      </c>
      <c r="F669" s="114" t="str">
        <f>"     "&amp;F659</f>
        <v>     Pack Sosten Mujer Lady Genny S-691 Deportivo</v>
      </c>
      <c r="G669" s="110" t="s">
        <v>2698</v>
      </c>
      <c r="H669" s="113">
        <v>10.0</v>
      </c>
      <c r="I669" s="110" t="s">
        <v>70</v>
      </c>
      <c r="J669" s="112">
        <f>J659</f>
        <v>24290</v>
      </c>
      <c r="K669" s="110" t="str">
        <f>K659&amp;"     "</f>
        <v>$     </v>
      </c>
      <c r="L669" s="110" t="str">
        <f t="shared" ref="L669:U669" si="487">L659</f>
        <v/>
      </c>
      <c r="M669" s="110" t="str">
        <f t="shared" si="487"/>
        <v/>
      </c>
      <c r="N669" s="110" t="str">
        <f t="shared" si="487"/>
        <v/>
      </c>
      <c r="O669" s="110" t="str">
        <f t="shared" si="487"/>
        <v/>
      </c>
      <c r="P669" s="110" t="str">
        <f t="shared" si="487"/>
        <v/>
      </c>
      <c r="Q669" s="110" t="str">
        <f t="shared" si="487"/>
        <v/>
      </c>
      <c r="R669" s="110" t="str">
        <f t="shared" si="487"/>
        <v/>
      </c>
      <c r="S669" s="110" t="str">
        <f t="shared" si="487"/>
        <v/>
      </c>
      <c r="T669" s="110" t="str">
        <f t="shared" si="487"/>
        <v/>
      </c>
      <c r="U669" s="110" t="str">
        <f t="shared" si="487"/>
        <v/>
      </c>
      <c r="V669" s="110" t="str">
        <f t="shared" ref="V669:W669" si="488">V659&amp;"     "</f>
        <v>Nuevo     </v>
      </c>
      <c r="W669" s="112" t="str">
        <f t="shared" si="488"/>
        <v>Activa     </v>
      </c>
    </row>
    <row r="670" ht="49.5" customHeight="1">
      <c r="A670" s="110" t="s">
        <v>63</v>
      </c>
      <c r="B670" s="110" t="s">
        <v>2667</v>
      </c>
      <c r="C670" s="110" t="s">
        <v>2699</v>
      </c>
      <c r="D670" s="110" t="s">
        <v>2699</v>
      </c>
      <c r="E670" s="111" t="s">
        <v>2700</v>
      </c>
      <c r="F670" s="114" t="str">
        <f>"     "&amp;F659</f>
        <v>     Pack Sosten Mujer Lady Genny S-691 Deportivo</v>
      </c>
      <c r="G670" s="110" t="s">
        <v>2701</v>
      </c>
      <c r="H670" s="113">
        <v>10.0</v>
      </c>
      <c r="I670" s="110" t="s">
        <v>70</v>
      </c>
      <c r="J670" s="112">
        <f>J659</f>
        <v>24290</v>
      </c>
      <c r="K670" s="110" t="str">
        <f>K659&amp;"     "</f>
        <v>$     </v>
      </c>
      <c r="L670" s="110" t="str">
        <f t="shared" ref="L670:U670" si="489">L659</f>
        <v/>
      </c>
      <c r="M670" s="110" t="str">
        <f t="shared" si="489"/>
        <v/>
      </c>
      <c r="N670" s="110" t="str">
        <f t="shared" si="489"/>
        <v/>
      </c>
      <c r="O670" s="110" t="str">
        <f t="shared" si="489"/>
        <v/>
      </c>
      <c r="P670" s="110" t="str">
        <f t="shared" si="489"/>
        <v/>
      </c>
      <c r="Q670" s="110" t="str">
        <f t="shared" si="489"/>
        <v/>
      </c>
      <c r="R670" s="110" t="str">
        <f t="shared" si="489"/>
        <v/>
      </c>
      <c r="S670" s="110" t="str">
        <f t="shared" si="489"/>
        <v/>
      </c>
      <c r="T670" s="110" t="str">
        <f t="shared" si="489"/>
        <v/>
      </c>
      <c r="U670" s="110" t="str">
        <f t="shared" si="489"/>
        <v/>
      </c>
      <c r="V670" s="110" t="str">
        <f t="shared" ref="V670:W670" si="490">V659&amp;"     "</f>
        <v>Nuevo     </v>
      </c>
      <c r="W670" s="112" t="str">
        <f t="shared" si="490"/>
        <v>Activa     </v>
      </c>
    </row>
    <row r="671" ht="49.5" customHeight="1">
      <c r="A671" s="110" t="s">
        <v>63</v>
      </c>
      <c r="B671" s="110" t="s">
        <v>2667</v>
      </c>
      <c r="C671" s="110" t="s">
        <v>2702</v>
      </c>
      <c r="D671" s="110" t="s">
        <v>2702</v>
      </c>
      <c r="E671" s="111" t="s">
        <v>2703</v>
      </c>
      <c r="F671" s="114" t="str">
        <f>"     "&amp;F659</f>
        <v>     Pack Sosten Mujer Lady Genny S-691 Deportivo</v>
      </c>
      <c r="G671" s="110" t="s">
        <v>2704</v>
      </c>
      <c r="H671" s="113">
        <v>10.0</v>
      </c>
      <c r="I671" s="110" t="s">
        <v>70</v>
      </c>
      <c r="J671" s="112">
        <f>J659</f>
        <v>24290</v>
      </c>
      <c r="K671" s="110" t="str">
        <f>K659&amp;"     "</f>
        <v>$     </v>
      </c>
      <c r="L671" s="110" t="str">
        <f t="shared" ref="L671:U671" si="491">L659</f>
        <v/>
      </c>
      <c r="M671" s="110" t="str">
        <f t="shared" si="491"/>
        <v/>
      </c>
      <c r="N671" s="110" t="str">
        <f t="shared" si="491"/>
        <v/>
      </c>
      <c r="O671" s="110" t="str">
        <f t="shared" si="491"/>
        <v/>
      </c>
      <c r="P671" s="110" t="str">
        <f t="shared" si="491"/>
        <v/>
      </c>
      <c r="Q671" s="110" t="str">
        <f t="shared" si="491"/>
        <v/>
      </c>
      <c r="R671" s="110" t="str">
        <f t="shared" si="491"/>
        <v/>
      </c>
      <c r="S671" s="110" t="str">
        <f t="shared" si="491"/>
        <v/>
      </c>
      <c r="T671" s="110" t="str">
        <f t="shared" si="491"/>
        <v/>
      </c>
      <c r="U671" s="110" t="str">
        <f t="shared" si="491"/>
        <v/>
      </c>
      <c r="V671" s="110" t="str">
        <f t="shared" ref="V671:W671" si="492">V659&amp;"     "</f>
        <v>Nuevo     </v>
      </c>
      <c r="W671" s="112" t="str">
        <f t="shared" si="492"/>
        <v>Activa     </v>
      </c>
    </row>
    <row r="672" ht="49.5" customHeight="1">
      <c r="A672" s="110" t="s">
        <v>711</v>
      </c>
      <c r="B672" s="110" t="s">
        <v>2705</v>
      </c>
      <c r="C672" s="110" t="s">
        <v>713</v>
      </c>
      <c r="D672" s="110"/>
      <c r="E672" s="111" t="s">
        <v>714</v>
      </c>
      <c r="F672" s="112" t="s">
        <v>2706</v>
      </c>
      <c r="G672" s="110" t="s">
        <v>70</v>
      </c>
      <c r="H672" s="113">
        <v>30.0</v>
      </c>
      <c r="I672" s="110" t="s">
        <v>70</v>
      </c>
      <c r="J672" s="112">
        <v>7390.0</v>
      </c>
      <c r="K672" s="113" t="s">
        <v>71</v>
      </c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0" t="s">
        <v>72</v>
      </c>
      <c r="W672" s="112" t="s">
        <v>73</v>
      </c>
    </row>
    <row r="673" ht="49.5" customHeight="1">
      <c r="A673" s="110" t="s">
        <v>2707</v>
      </c>
      <c r="B673" s="110" t="s">
        <v>2708</v>
      </c>
      <c r="C673" s="110" t="s">
        <v>2709</v>
      </c>
      <c r="D673" s="110"/>
      <c r="E673" s="111" t="s">
        <v>2710</v>
      </c>
      <c r="F673" s="111" t="s">
        <v>2711</v>
      </c>
      <c r="G673" s="110" t="s">
        <v>939</v>
      </c>
      <c r="H673" s="113">
        <v>30.0</v>
      </c>
      <c r="I673" s="110" t="s">
        <v>70</v>
      </c>
      <c r="J673" s="112">
        <v>60790.0</v>
      </c>
      <c r="K673" s="113" t="s">
        <v>71</v>
      </c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 t="s">
        <v>72</v>
      </c>
      <c r="W673" s="112" t="s">
        <v>73</v>
      </c>
    </row>
    <row r="674" ht="49.5" customHeight="1">
      <c r="A674" s="110" t="s">
        <v>2712</v>
      </c>
      <c r="B674" s="110" t="s">
        <v>2713</v>
      </c>
      <c r="C674" s="110" t="s">
        <v>2714</v>
      </c>
      <c r="D674" s="110"/>
      <c r="E674" s="111" t="s">
        <v>2715</v>
      </c>
      <c r="F674" s="111" t="s">
        <v>2716</v>
      </c>
      <c r="G674" s="110" t="s">
        <v>2716</v>
      </c>
      <c r="H674" s="113">
        <v>30.0</v>
      </c>
      <c r="I674" s="110" t="s">
        <v>70</v>
      </c>
      <c r="J674" s="112">
        <v>12890.0</v>
      </c>
      <c r="K674" s="113" t="s">
        <v>71</v>
      </c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 t="s">
        <v>72</v>
      </c>
      <c r="W674" s="112" t="s">
        <v>73</v>
      </c>
    </row>
    <row r="675" ht="49.5" customHeight="1">
      <c r="A675" s="110" t="s">
        <v>63</v>
      </c>
      <c r="B675" s="110" t="s">
        <v>2717</v>
      </c>
      <c r="C675" s="110"/>
      <c r="D675" s="110"/>
      <c r="E675" s="112" t="s">
        <v>63</v>
      </c>
      <c r="F675" s="111" t="s">
        <v>2238</v>
      </c>
      <c r="G675" s="110" t="s">
        <v>70</v>
      </c>
      <c r="H675" s="110" t="s">
        <v>666</v>
      </c>
      <c r="I675" s="110" t="s">
        <v>70</v>
      </c>
      <c r="J675" s="112">
        <v>13990.0</v>
      </c>
      <c r="K675" s="113" t="s">
        <v>71</v>
      </c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 t="s">
        <v>72</v>
      </c>
      <c r="W675" s="112" t="s">
        <v>73</v>
      </c>
    </row>
    <row r="676" ht="49.5" customHeight="1">
      <c r="A676" s="110" t="s">
        <v>63</v>
      </c>
      <c r="B676" s="110" t="s">
        <v>2717</v>
      </c>
      <c r="C676" s="110" t="s">
        <v>2718</v>
      </c>
      <c r="D676" s="110" t="s">
        <v>2718</v>
      </c>
      <c r="E676" s="111" t="s">
        <v>2719</v>
      </c>
      <c r="F676" s="114" t="str">
        <f>"     "&amp;F675</f>
        <v>     Short Dama C/lycra Azulino</v>
      </c>
      <c r="G676" s="110" t="s">
        <v>2720</v>
      </c>
      <c r="H676" s="113">
        <v>10.0</v>
      </c>
      <c r="I676" s="110" t="s">
        <v>70</v>
      </c>
      <c r="J676" s="112">
        <f>J675</f>
        <v>13990</v>
      </c>
      <c r="K676" s="110" t="str">
        <f>K675&amp;"     "</f>
        <v>$     </v>
      </c>
      <c r="L676" s="110" t="str">
        <f t="shared" ref="L676:U676" si="493">L675</f>
        <v/>
      </c>
      <c r="M676" s="110" t="str">
        <f t="shared" si="493"/>
        <v/>
      </c>
      <c r="N676" s="110" t="str">
        <f t="shared" si="493"/>
        <v/>
      </c>
      <c r="O676" s="110" t="str">
        <f t="shared" si="493"/>
        <v/>
      </c>
      <c r="P676" s="110" t="str">
        <f t="shared" si="493"/>
        <v/>
      </c>
      <c r="Q676" s="110" t="str">
        <f t="shared" si="493"/>
        <v/>
      </c>
      <c r="R676" s="110" t="str">
        <f t="shared" si="493"/>
        <v/>
      </c>
      <c r="S676" s="110" t="str">
        <f t="shared" si="493"/>
        <v/>
      </c>
      <c r="T676" s="110" t="str">
        <f t="shared" si="493"/>
        <v/>
      </c>
      <c r="U676" s="110" t="str">
        <f t="shared" si="493"/>
        <v/>
      </c>
      <c r="V676" s="110" t="str">
        <f t="shared" ref="V676:W676" si="494">V675&amp;"     "</f>
        <v>Nuevo     </v>
      </c>
      <c r="W676" s="112" t="str">
        <f t="shared" si="494"/>
        <v>Activa     </v>
      </c>
    </row>
    <row r="677" ht="49.5" customHeight="1">
      <c r="A677" s="110" t="s">
        <v>63</v>
      </c>
      <c r="B677" s="110" t="s">
        <v>2717</v>
      </c>
      <c r="C677" s="110" t="s">
        <v>2721</v>
      </c>
      <c r="D677" s="110" t="s">
        <v>2721</v>
      </c>
      <c r="E677" s="111" t="s">
        <v>2722</v>
      </c>
      <c r="F677" s="114" t="str">
        <f>"     "&amp;F675</f>
        <v>     Short Dama C/lycra Azulino</v>
      </c>
      <c r="G677" s="110" t="s">
        <v>2723</v>
      </c>
      <c r="H677" s="113">
        <v>10.0</v>
      </c>
      <c r="I677" s="110" t="s">
        <v>70</v>
      </c>
      <c r="J677" s="112">
        <f>J675</f>
        <v>13990</v>
      </c>
      <c r="K677" s="110" t="str">
        <f>K675&amp;"     "</f>
        <v>$     </v>
      </c>
      <c r="L677" s="110" t="str">
        <f t="shared" ref="L677:U677" si="495">L675</f>
        <v/>
      </c>
      <c r="M677" s="110" t="str">
        <f t="shared" si="495"/>
        <v/>
      </c>
      <c r="N677" s="110" t="str">
        <f t="shared" si="495"/>
        <v/>
      </c>
      <c r="O677" s="110" t="str">
        <f t="shared" si="495"/>
        <v/>
      </c>
      <c r="P677" s="110" t="str">
        <f t="shared" si="495"/>
        <v/>
      </c>
      <c r="Q677" s="110" t="str">
        <f t="shared" si="495"/>
        <v/>
      </c>
      <c r="R677" s="110" t="str">
        <f t="shared" si="495"/>
        <v/>
      </c>
      <c r="S677" s="110" t="str">
        <f t="shared" si="495"/>
        <v/>
      </c>
      <c r="T677" s="110" t="str">
        <f t="shared" si="495"/>
        <v/>
      </c>
      <c r="U677" s="110" t="str">
        <f t="shared" si="495"/>
        <v/>
      </c>
      <c r="V677" s="110" t="str">
        <f t="shared" ref="V677:W677" si="496">V675&amp;"     "</f>
        <v>Nuevo     </v>
      </c>
      <c r="W677" s="112" t="str">
        <f t="shared" si="496"/>
        <v>Activa     </v>
      </c>
    </row>
    <row r="678" ht="49.5" customHeight="1">
      <c r="A678" s="110" t="s">
        <v>63</v>
      </c>
      <c r="B678" s="110" t="s">
        <v>2717</v>
      </c>
      <c r="C678" s="110" t="s">
        <v>2724</v>
      </c>
      <c r="D678" s="110" t="s">
        <v>2724</v>
      </c>
      <c r="E678" s="111" t="s">
        <v>2725</v>
      </c>
      <c r="F678" s="114" t="str">
        <f>"     "&amp;F675</f>
        <v>     Short Dama C/lycra Azulino</v>
      </c>
      <c r="G678" s="110" t="s">
        <v>2726</v>
      </c>
      <c r="H678" s="113">
        <v>10.0</v>
      </c>
      <c r="I678" s="110" t="s">
        <v>70</v>
      </c>
      <c r="J678" s="112">
        <f>J675</f>
        <v>13990</v>
      </c>
      <c r="K678" s="110" t="str">
        <f>K675&amp;"     "</f>
        <v>$     </v>
      </c>
      <c r="L678" s="110" t="str">
        <f t="shared" ref="L678:U678" si="497">L675</f>
        <v/>
      </c>
      <c r="M678" s="110" t="str">
        <f t="shared" si="497"/>
        <v/>
      </c>
      <c r="N678" s="110" t="str">
        <f t="shared" si="497"/>
        <v/>
      </c>
      <c r="O678" s="110" t="str">
        <f t="shared" si="497"/>
        <v/>
      </c>
      <c r="P678" s="110" t="str">
        <f t="shared" si="497"/>
        <v/>
      </c>
      <c r="Q678" s="110" t="str">
        <f t="shared" si="497"/>
        <v/>
      </c>
      <c r="R678" s="110" t="str">
        <f t="shared" si="497"/>
        <v/>
      </c>
      <c r="S678" s="110" t="str">
        <f t="shared" si="497"/>
        <v/>
      </c>
      <c r="T678" s="110" t="str">
        <f t="shared" si="497"/>
        <v/>
      </c>
      <c r="U678" s="110" t="str">
        <f t="shared" si="497"/>
        <v/>
      </c>
      <c r="V678" s="110" t="str">
        <f t="shared" ref="V678:W678" si="498">V675&amp;"     "</f>
        <v>Nuevo     </v>
      </c>
      <c r="W678" s="112" t="str">
        <f t="shared" si="498"/>
        <v>Activa     </v>
      </c>
    </row>
    <row r="679" ht="49.5" customHeight="1">
      <c r="A679" s="110" t="s">
        <v>63</v>
      </c>
      <c r="B679" s="110" t="s">
        <v>2717</v>
      </c>
      <c r="C679" s="110" t="s">
        <v>2727</v>
      </c>
      <c r="D679" s="110" t="s">
        <v>2727</v>
      </c>
      <c r="E679" s="111" t="s">
        <v>2728</v>
      </c>
      <c r="F679" s="114" t="str">
        <f>"     "&amp;F675</f>
        <v>     Short Dama C/lycra Azulino</v>
      </c>
      <c r="G679" s="110" t="s">
        <v>2729</v>
      </c>
      <c r="H679" s="113">
        <v>10.0</v>
      </c>
      <c r="I679" s="110" t="s">
        <v>70</v>
      </c>
      <c r="J679" s="112">
        <f>J675</f>
        <v>13990</v>
      </c>
      <c r="K679" s="110" t="str">
        <f>K675&amp;"     "</f>
        <v>$     </v>
      </c>
      <c r="L679" s="110" t="str">
        <f t="shared" ref="L679:U679" si="499">L675</f>
        <v/>
      </c>
      <c r="M679" s="110" t="str">
        <f t="shared" si="499"/>
        <v/>
      </c>
      <c r="N679" s="110" t="str">
        <f t="shared" si="499"/>
        <v/>
      </c>
      <c r="O679" s="110" t="str">
        <f t="shared" si="499"/>
        <v/>
      </c>
      <c r="P679" s="110" t="str">
        <f t="shared" si="499"/>
        <v/>
      </c>
      <c r="Q679" s="110" t="str">
        <f t="shared" si="499"/>
        <v/>
      </c>
      <c r="R679" s="110" t="str">
        <f t="shared" si="499"/>
        <v/>
      </c>
      <c r="S679" s="110" t="str">
        <f t="shared" si="499"/>
        <v/>
      </c>
      <c r="T679" s="110" t="str">
        <f t="shared" si="499"/>
        <v/>
      </c>
      <c r="U679" s="110" t="str">
        <f t="shared" si="499"/>
        <v/>
      </c>
      <c r="V679" s="110" t="str">
        <f t="shared" ref="V679:W679" si="500">V675&amp;"     "</f>
        <v>Nuevo     </v>
      </c>
      <c r="W679" s="112" t="str">
        <f t="shared" si="500"/>
        <v>Activa     </v>
      </c>
    </row>
    <row r="680" ht="49.5" customHeight="1">
      <c r="A680" s="110" t="s">
        <v>63</v>
      </c>
      <c r="B680" s="110" t="s">
        <v>2730</v>
      </c>
      <c r="C680" s="110"/>
      <c r="D680" s="110"/>
      <c r="E680" s="112" t="s">
        <v>63</v>
      </c>
      <c r="F680" s="111" t="s">
        <v>2192</v>
      </c>
      <c r="G680" s="110" t="s">
        <v>70</v>
      </c>
      <c r="H680" s="110" t="s">
        <v>666</v>
      </c>
      <c r="I680" s="110" t="s">
        <v>70</v>
      </c>
      <c r="J680" s="112">
        <v>13990.0</v>
      </c>
      <c r="K680" s="113" t="s">
        <v>71</v>
      </c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 t="s">
        <v>72</v>
      </c>
      <c r="W680" s="112" t="s">
        <v>73</v>
      </c>
    </row>
    <row r="681" ht="49.5" customHeight="1">
      <c r="A681" s="110" t="s">
        <v>63</v>
      </c>
      <c r="B681" s="110" t="s">
        <v>2730</v>
      </c>
      <c r="C681" s="110" t="s">
        <v>2731</v>
      </c>
      <c r="D681" s="110" t="s">
        <v>2731</v>
      </c>
      <c r="E681" s="111" t="s">
        <v>2732</v>
      </c>
      <c r="F681" s="114" t="str">
        <f>"     "&amp;F680</f>
        <v>     Short Dama C/lycra Blanco</v>
      </c>
      <c r="G681" s="110" t="s">
        <v>2733</v>
      </c>
      <c r="H681" s="113">
        <v>10.0</v>
      </c>
      <c r="I681" s="110" t="s">
        <v>70</v>
      </c>
      <c r="J681" s="112">
        <f>J680</f>
        <v>13990</v>
      </c>
      <c r="K681" s="110" t="str">
        <f>K680&amp;"     "</f>
        <v>$     </v>
      </c>
      <c r="L681" s="110" t="str">
        <f t="shared" ref="L681:U681" si="501">L680</f>
        <v/>
      </c>
      <c r="M681" s="110" t="str">
        <f t="shared" si="501"/>
        <v/>
      </c>
      <c r="N681" s="110" t="str">
        <f t="shared" si="501"/>
        <v/>
      </c>
      <c r="O681" s="110" t="str">
        <f t="shared" si="501"/>
        <v/>
      </c>
      <c r="P681" s="110" t="str">
        <f t="shared" si="501"/>
        <v/>
      </c>
      <c r="Q681" s="110" t="str">
        <f t="shared" si="501"/>
        <v/>
      </c>
      <c r="R681" s="110" t="str">
        <f t="shared" si="501"/>
        <v/>
      </c>
      <c r="S681" s="110" t="str">
        <f t="shared" si="501"/>
        <v/>
      </c>
      <c r="T681" s="110" t="str">
        <f t="shared" si="501"/>
        <v/>
      </c>
      <c r="U681" s="110" t="str">
        <f t="shared" si="501"/>
        <v/>
      </c>
      <c r="V681" s="110" t="str">
        <f t="shared" ref="V681:W681" si="502">V680&amp;"     "</f>
        <v>Nuevo     </v>
      </c>
      <c r="W681" s="112" t="str">
        <f t="shared" si="502"/>
        <v>Activa     </v>
      </c>
    </row>
    <row r="682" ht="49.5" customHeight="1">
      <c r="A682" s="110" t="s">
        <v>63</v>
      </c>
      <c r="B682" s="110" t="s">
        <v>2730</v>
      </c>
      <c r="C682" s="110" t="s">
        <v>2734</v>
      </c>
      <c r="D682" s="110" t="s">
        <v>2734</v>
      </c>
      <c r="E682" s="111" t="s">
        <v>2735</v>
      </c>
      <c r="F682" s="114" t="str">
        <f>"     "&amp;F680</f>
        <v>     Short Dama C/lycra Blanco</v>
      </c>
      <c r="G682" s="110" t="s">
        <v>2736</v>
      </c>
      <c r="H682" s="113">
        <v>10.0</v>
      </c>
      <c r="I682" s="110" t="s">
        <v>70</v>
      </c>
      <c r="J682" s="112">
        <f>J680</f>
        <v>13990</v>
      </c>
      <c r="K682" s="110" t="str">
        <f>K680&amp;"     "</f>
        <v>$     </v>
      </c>
      <c r="L682" s="110" t="str">
        <f t="shared" ref="L682:U682" si="503">L680</f>
        <v/>
      </c>
      <c r="M682" s="110" t="str">
        <f t="shared" si="503"/>
        <v/>
      </c>
      <c r="N682" s="110" t="str">
        <f t="shared" si="503"/>
        <v/>
      </c>
      <c r="O682" s="110" t="str">
        <f t="shared" si="503"/>
        <v/>
      </c>
      <c r="P682" s="110" t="str">
        <f t="shared" si="503"/>
        <v/>
      </c>
      <c r="Q682" s="110" t="str">
        <f t="shared" si="503"/>
        <v/>
      </c>
      <c r="R682" s="110" t="str">
        <f t="shared" si="503"/>
        <v/>
      </c>
      <c r="S682" s="110" t="str">
        <f t="shared" si="503"/>
        <v/>
      </c>
      <c r="T682" s="110" t="str">
        <f t="shared" si="503"/>
        <v/>
      </c>
      <c r="U682" s="110" t="str">
        <f t="shared" si="503"/>
        <v/>
      </c>
      <c r="V682" s="110" t="str">
        <f t="shared" ref="V682:W682" si="504">V680&amp;"     "</f>
        <v>Nuevo     </v>
      </c>
      <c r="W682" s="112" t="str">
        <f t="shared" si="504"/>
        <v>Activa     </v>
      </c>
    </row>
    <row r="683" ht="49.5" customHeight="1">
      <c r="A683" s="110" t="s">
        <v>63</v>
      </c>
      <c r="B683" s="110" t="s">
        <v>2730</v>
      </c>
      <c r="C683" s="110" t="s">
        <v>2737</v>
      </c>
      <c r="D683" s="110" t="s">
        <v>2737</v>
      </c>
      <c r="E683" s="111" t="s">
        <v>2738</v>
      </c>
      <c r="F683" s="114" t="str">
        <f>"     "&amp;F680</f>
        <v>     Short Dama C/lycra Blanco</v>
      </c>
      <c r="G683" s="110" t="s">
        <v>2739</v>
      </c>
      <c r="H683" s="113">
        <v>10.0</v>
      </c>
      <c r="I683" s="110" t="s">
        <v>70</v>
      </c>
      <c r="J683" s="112">
        <f>J680</f>
        <v>13990</v>
      </c>
      <c r="K683" s="110" t="str">
        <f>K680&amp;"     "</f>
        <v>$     </v>
      </c>
      <c r="L683" s="110" t="str">
        <f t="shared" ref="L683:U683" si="505">L680</f>
        <v/>
      </c>
      <c r="M683" s="110" t="str">
        <f t="shared" si="505"/>
        <v/>
      </c>
      <c r="N683" s="110" t="str">
        <f t="shared" si="505"/>
        <v/>
      </c>
      <c r="O683" s="110" t="str">
        <f t="shared" si="505"/>
        <v/>
      </c>
      <c r="P683" s="110" t="str">
        <f t="shared" si="505"/>
        <v/>
      </c>
      <c r="Q683" s="110" t="str">
        <f t="shared" si="505"/>
        <v/>
      </c>
      <c r="R683" s="110" t="str">
        <f t="shared" si="505"/>
        <v/>
      </c>
      <c r="S683" s="110" t="str">
        <f t="shared" si="505"/>
        <v/>
      </c>
      <c r="T683" s="110" t="str">
        <f t="shared" si="505"/>
        <v/>
      </c>
      <c r="U683" s="110" t="str">
        <f t="shared" si="505"/>
        <v/>
      </c>
      <c r="V683" s="110" t="str">
        <f t="shared" ref="V683:W683" si="506">V680&amp;"     "</f>
        <v>Nuevo     </v>
      </c>
      <c r="W683" s="112" t="str">
        <f t="shared" si="506"/>
        <v>Activa     </v>
      </c>
    </row>
    <row r="684" ht="49.5" customHeight="1">
      <c r="A684" s="110" t="s">
        <v>63</v>
      </c>
      <c r="B684" s="110" t="s">
        <v>2730</v>
      </c>
      <c r="C684" s="110" t="s">
        <v>2740</v>
      </c>
      <c r="D684" s="110" t="s">
        <v>2740</v>
      </c>
      <c r="E684" s="111" t="s">
        <v>2741</v>
      </c>
      <c r="F684" s="114" t="str">
        <f>"     "&amp;F680</f>
        <v>     Short Dama C/lycra Blanco</v>
      </c>
      <c r="G684" s="110" t="s">
        <v>2742</v>
      </c>
      <c r="H684" s="113">
        <v>10.0</v>
      </c>
      <c r="I684" s="110" t="s">
        <v>70</v>
      </c>
      <c r="J684" s="112">
        <f>J680</f>
        <v>13990</v>
      </c>
      <c r="K684" s="110" t="str">
        <f>K680&amp;"     "</f>
        <v>$     </v>
      </c>
      <c r="L684" s="110" t="str">
        <f t="shared" ref="L684:U684" si="507">L680</f>
        <v/>
      </c>
      <c r="M684" s="110" t="str">
        <f t="shared" si="507"/>
        <v/>
      </c>
      <c r="N684" s="110" t="str">
        <f t="shared" si="507"/>
        <v/>
      </c>
      <c r="O684" s="110" t="str">
        <f t="shared" si="507"/>
        <v/>
      </c>
      <c r="P684" s="110" t="str">
        <f t="shared" si="507"/>
        <v/>
      </c>
      <c r="Q684" s="110" t="str">
        <f t="shared" si="507"/>
        <v/>
      </c>
      <c r="R684" s="110" t="str">
        <f t="shared" si="507"/>
        <v/>
      </c>
      <c r="S684" s="110" t="str">
        <f t="shared" si="507"/>
        <v/>
      </c>
      <c r="T684" s="110" t="str">
        <f t="shared" si="507"/>
        <v/>
      </c>
      <c r="U684" s="110" t="str">
        <f t="shared" si="507"/>
        <v/>
      </c>
      <c r="V684" s="110" t="str">
        <f t="shared" ref="V684:W684" si="508">V680&amp;"     "</f>
        <v>Nuevo     </v>
      </c>
      <c r="W684" s="112" t="str">
        <f t="shared" si="508"/>
        <v>Activa     </v>
      </c>
    </row>
    <row r="685" ht="49.5" customHeight="1">
      <c r="A685" s="110" t="s">
        <v>2743</v>
      </c>
      <c r="B685" s="110" t="s">
        <v>2744</v>
      </c>
      <c r="C685" s="110" t="s">
        <v>2745</v>
      </c>
      <c r="D685" s="110"/>
      <c r="E685" s="111" t="s">
        <v>2746</v>
      </c>
      <c r="F685" s="111" t="s">
        <v>2747</v>
      </c>
      <c r="G685" s="110" t="s">
        <v>2747</v>
      </c>
      <c r="H685" s="113">
        <v>30.0</v>
      </c>
      <c r="I685" s="110" t="s">
        <v>70</v>
      </c>
      <c r="J685" s="112">
        <v>16790.0</v>
      </c>
      <c r="K685" s="113" t="s">
        <v>71</v>
      </c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 t="s">
        <v>72</v>
      </c>
      <c r="W685" s="112" t="s">
        <v>73</v>
      </c>
    </row>
    <row r="686" ht="49.5" customHeight="1">
      <c r="A686" s="110" t="s">
        <v>2748</v>
      </c>
      <c r="B686" s="110" t="s">
        <v>2749</v>
      </c>
      <c r="C686" s="110" t="s">
        <v>2750</v>
      </c>
      <c r="D686" s="110"/>
      <c r="E686" s="111" t="s">
        <v>2751</v>
      </c>
      <c r="F686" s="111" t="s">
        <v>2752</v>
      </c>
      <c r="G686" s="110" t="s">
        <v>1596</v>
      </c>
      <c r="H686" s="113">
        <v>30.0</v>
      </c>
      <c r="I686" s="110" t="s">
        <v>70</v>
      </c>
      <c r="J686" s="112">
        <v>40690.0</v>
      </c>
      <c r="K686" s="113" t="s">
        <v>71</v>
      </c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 t="s">
        <v>72</v>
      </c>
      <c r="W686" s="112" t="s">
        <v>73</v>
      </c>
    </row>
    <row r="687" ht="49.5" customHeight="1">
      <c r="A687" s="110" t="s">
        <v>63</v>
      </c>
      <c r="B687" s="110" t="s">
        <v>2753</v>
      </c>
      <c r="C687" s="110"/>
      <c r="D687" s="110"/>
      <c r="E687" s="112" t="s">
        <v>63</v>
      </c>
      <c r="F687" s="111" t="s">
        <v>2754</v>
      </c>
      <c r="G687" s="110" t="s">
        <v>70</v>
      </c>
      <c r="H687" s="110" t="s">
        <v>1299</v>
      </c>
      <c r="I687" s="110" t="s">
        <v>70</v>
      </c>
      <c r="J687" s="112">
        <v>254890.0</v>
      </c>
      <c r="K687" s="113" t="s">
        <v>71</v>
      </c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 t="s">
        <v>72</v>
      </c>
      <c r="W687" s="112" t="s">
        <v>73</v>
      </c>
    </row>
    <row r="688" ht="49.5" customHeight="1">
      <c r="A688" s="110" t="s">
        <v>63</v>
      </c>
      <c r="B688" s="110" t="s">
        <v>2753</v>
      </c>
      <c r="C688" s="110" t="s">
        <v>2755</v>
      </c>
      <c r="D688" s="110" t="s">
        <v>2755</v>
      </c>
      <c r="E688" s="111" t="s">
        <v>2756</v>
      </c>
      <c r="F688" s="114" t="str">
        <f>"     "&amp;F687</f>
        <v>     Short Dama Liso X 100 Unidades</v>
      </c>
      <c r="G688" s="110" t="s">
        <v>2757</v>
      </c>
      <c r="H688" s="113">
        <v>10.0</v>
      </c>
      <c r="I688" s="110" t="s">
        <v>70</v>
      </c>
      <c r="J688" s="112">
        <f>J687</f>
        <v>254890</v>
      </c>
      <c r="K688" s="110" t="str">
        <f>K687&amp;"     "</f>
        <v>$     </v>
      </c>
      <c r="L688" s="110" t="str">
        <f t="shared" ref="L688:U688" si="509">L687</f>
        <v/>
      </c>
      <c r="M688" s="110" t="str">
        <f t="shared" si="509"/>
        <v/>
      </c>
      <c r="N688" s="110" t="str">
        <f t="shared" si="509"/>
        <v/>
      </c>
      <c r="O688" s="110" t="str">
        <f t="shared" si="509"/>
        <v/>
      </c>
      <c r="P688" s="110" t="str">
        <f t="shared" si="509"/>
        <v/>
      </c>
      <c r="Q688" s="110" t="str">
        <f t="shared" si="509"/>
        <v/>
      </c>
      <c r="R688" s="110" t="str">
        <f t="shared" si="509"/>
        <v/>
      </c>
      <c r="S688" s="110" t="str">
        <f t="shared" si="509"/>
        <v/>
      </c>
      <c r="T688" s="110" t="str">
        <f t="shared" si="509"/>
        <v/>
      </c>
      <c r="U688" s="110" t="str">
        <f t="shared" si="509"/>
        <v/>
      </c>
      <c r="V688" s="110" t="str">
        <f t="shared" ref="V688:W688" si="510">V687&amp;"     "</f>
        <v>Nuevo     </v>
      </c>
      <c r="W688" s="112" t="str">
        <f t="shared" si="510"/>
        <v>Activa     </v>
      </c>
    </row>
    <row r="689" ht="49.5" customHeight="1">
      <c r="A689" s="110" t="s">
        <v>63</v>
      </c>
      <c r="B689" s="110" t="s">
        <v>2753</v>
      </c>
      <c r="C689" s="110" t="s">
        <v>2758</v>
      </c>
      <c r="D689" s="110" t="s">
        <v>2758</v>
      </c>
      <c r="E689" s="111" t="s">
        <v>2759</v>
      </c>
      <c r="F689" s="114" t="str">
        <f>"     "&amp;F687</f>
        <v>     Short Dama Liso X 100 Unidades</v>
      </c>
      <c r="G689" s="110" t="s">
        <v>2760</v>
      </c>
      <c r="H689" s="113">
        <v>10.0</v>
      </c>
      <c r="I689" s="110" t="s">
        <v>70</v>
      </c>
      <c r="J689" s="112">
        <f>J687</f>
        <v>254890</v>
      </c>
      <c r="K689" s="110" t="str">
        <f>K687&amp;"     "</f>
        <v>$     </v>
      </c>
      <c r="L689" s="110" t="str">
        <f t="shared" ref="L689:U689" si="511">L687</f>
        <v/>
      </c>
      <c r="M689" s="110" t="str">
        <f t="shared" si="511"/>
        <v/>
      </c>
      <c r="N689" s="110" t="str">
        <f t="shared" si="511"/>
        <v/>
      </c>
      <c r="O689" s="110" t="str">
        <f t="shared" si="511"/>
        <v/>
      </c>
      <c r="P689" s="110" t="str">
        <f t="shared" si="511"/>
        <v/>
      </c>
      <c r="Q689" s="110" t="str">
        <f t="shared" si="511"/>
        <v/>
      </c>
      <c r="R689" s="110" t="str">
        <f t="shared" si="511"/>
        <v/>
      </c>
      <c r="S689" s="110" t="str">
        <f t="shared" si="511"/>
        <v/>
      </c>
      <c r="T689" s="110" t="str">
        <f t="shared" si="511"/>
        <v/>
      </c>
      <c r="U689" s="110" t="str">
        <f t="shared" si="511"/>
        <v/>
      </c>
      <c r="V689" s="110" t="str">
        <f t="shared" ref="V689:W689" si="512">V687&amp;"     "</f>
        <v>Nuevo     </v>
      </c>
      <c r="W689" s="112" t="str">
        <f t="shared" si="512"/>
        <v>Activa     </v>
      </c>
    </row>
    <row r="690" ht="49.5" customHeight="1">
      <c r="A690" s="110" t="s">
        <v>63</v>
      </c>
      <c r="B690" s="110" t="s">
        <v>2753</v>
      </c>
      <c r="C690" s="110" t="s">
        <v>2761</v>
      </c>
      <c r="D690" s="110" t="s">
        <v>2761</v>
      </c>
      <c r="E690" s="111" t="s">
        <v>2762</v>
      </c>
      <c r="F690" s="114" t="str">
        <f>"     "&amp;F687</f>
        <v>     Short Dama Liso X 100 Unidades</v>
      </c>
      <c r="G690" s="110" t="s">
        <v>2763</v>
      </c>
      <c r="H690" s="113">
        <v>10.0</v>
      </c>
      <c r="I690" s="110" t="s">
        <v>70</v>
      </c>
      <c r="J690" s="112">
        <f>J687</f>
        <v>254890</v>
      </c>
      <c r="K690" s="110" t="str">
        <f>K687&amp;"     "</f>
        <v>$     </v>
      </c>
      <c r="L690" s="110" t="str">
        <f t="shared" ref="L690:U690" si="513">L687</f>
        <v/>
      </c>
      <c r="M690" s="110" t="str">
        <f t="shared" si="513"/>
        <v/>
      </c>
      <c r="N690" s="110" t="str">
        <f t="shared" si="513"/>
        <v/>
      </c>
      <c r="O690" s="110" t="str">
        <f t="shared" si="513"/>
        <v/>
      </c>
      <c r="P690" s="110" t="str">
        <f t="shared" si="513"/>
        <v/>
      </c>
      <c r="Q690" s="110" t="str">
        <f t="shared" si="513"/>
        <v/>
      </c>
      <c r="R690" s="110" t="str">
        <f t="shared" si="513"/>
        <v/>
      </c>
      <c r="S690" s="110" t="str">
        <f t="shared" si="513"/>
        <v/>
      </c>
      <c r="T690" s="110" t="str">
        <f t="shared" si="513"/>
        <v/>
      </c>
      <c r="U690" s="110" t="str">
        <f t="shared" si="513"/>
        <v/>
      </c>
      <c r="V690" s="110" t="str">
        <f t="shared" ref="V690:W690" si="514">V687&amp;"     "</f>
        <v>Nuevo     </v>
      </c>
      <c r="W690" s="112" t="str">
        <f t="shared" si="514"/>
        <v>Activa     </v>
      </c>
    </row>
    <row r="691" ht="49.5" customHeight="1">
      <c r="A691" s="110" t="s">
        <v>63</v>
      </c>
      <c r="B691" s="110" t="s">
        <v>2753</v>
      </c>
      <c r="C691" s="110" t="s">
        <v>2764</v>
      </c>
      <c r="D691" s="110" t="s">
        <v>2764</v>
      </c>
      <c r="E691" s="111" t="s">
        <v>2765</v>
      </c>
      <c r="F691" s="114" t="str">
        <f>"     "&amp;F687</f>
        <v>     Short Dama Liso X 100 Unidades</v>
      </c>
      <c r="G691" s="110" t="s">
        <v>2766</v>
      </c>
      <c r="H691" s="113">
        <v>10.0</v>
      </c>
      <c r="I691" s="110" t="s">
        <v>70</v>
      </c>
      <c r="J691" s="112">
        <f>J687</f>
        <v>254890</v>
      </c>
      <c r="K691" s="110" t="str">
        <f>K687&amp;"     "</f>
        <v>$     </v>
      </c>
      <c r="L691" s="110" t="str">
        <f t="shared" ref="L691:U691" si="515">L687</f>
        <v/>
      </c>
      <c r="M691" s="110" t="str">
        <f t="shared" si="515"/>
        <v/>
      </c>
      <c r="N691" s="110" t="str">
        <f t="shared" si="515"/>
        <v/>
      </c>
      <c r="O691" s="110" t="str">
        <f t="shared" si="515"/>
        <v/>
      </c>
      <c r="P691" s="110" t="str">
        <f t="shared" si="515"/>
        <v/>
      </c>
      <c r="Q691" s="110" t="str">
        <f t="shared" si="515"/>
        <v/>
      </c>
      <c r="R691" s="110" t="str">
        <f t="shared" si="515"/>
        <v/>
      </c>
      <c r="S691" s="110" t="str">
        <f t="shared" si="515"/>
        <v/>
      </c>
      <c r="T691" s="110" t="str">
        <f t="shared" si="515"/>
        <v/>
      </c>
      <c r="U691" s="110" t="str">
        <f t="shared" si="515"/>
        <v/>
      </c>
      <c r="V691" s="110" t="str">
        <f t="shared" ref="V691:W691" si="516">V687&amp;"     "</f>
        <v>Nuevo     </v>
      </c>
      <c r="W691" s="112" t="str">
        <f t="shared" si="516"/>
        <v>Activa     </v>
      </c>
    </row>
    <row r="692" ht="49.5" customHeight="1">
      <c r="A692" s="110" t="s">
        <v>63</v>
      </c>
      <c r="B692" s="110" t="s">
        <v>2753</v>
      </c>
      <c r="C692" s="110" t="s">
        <v>2767</v>
      </c>
      <c r="D692" s="110" t="s">
        <v>2767</v>
      </c>
      <c r="E692" s="111" t="s">
        <v>2768</v>
      </c>
      <c r="F692" s="114" t="str">
        <f>"     "&amp;F687</f>
        <v>     Short Dama Liso X 100 Unidades</v>
      </c>
      <c r="G692" s="110" t="s">
        <v>2769</v>
      </c>
      <c r="H692" s="113">
        <v>10.0</v>
      </c>
      <c r="I692" s="110" t="s">
        <v>70</v>
      </c>
      <c r="J692" s="112">
        <f>J687</f>
        <v>254890</v>
      </c>
      <c r="K692" s="110" t="str">
        <f>K687&amp;"     "</f>
        <v>$     </v>
      </c>
      <c r="L692" s="110" t="str">
        <f t="shared" ref="L692:U692" si="517">L687</f>
        <v/>
      </c>
      <c r="M692" s="110" t="str">
        <f t="shared" si="517"/>
        <v/>
      </c>
      <c r="N692" s="110" t="str">
        <f t="shared" si="517"/>
        <v/>
      </c>
      <c r="O692" s="110" t="str">
        <f t="shared" si="517"/>
        <v/>
      </c>
      <c r="P692" s="110" t="str">
        <f t="shared" si="517"/>
        <v/>
      </c>
      <c r="Q692" s="110" t="str">
        <f t="shared" si="517"/>
        <v/>
      </c>
      <c r="R692" s="110" t="str">
        <f t="shared" si="517"/>
        <v/>
      </c>
      <c r="S692" s="110" t="str">
        <f t="shared" si="517"/>
        <v/>
      </c>
      <c r="T692" s="110" t="str">
        <f t="shared" si="517"/>
        <v/>
      </c>
      <c r="U692" s="110" t="str">
        <f t="shared" si="517"/>
        <v/>
      </c>
      <c r="V692" s="110" t="str">
        <f t="shared" ref="V692:W692" si="518">V687&amp;"     "</f>
        <v>Nuevo     </v>
      </c>
      <c r="W692" s="112" t="str">
        <f t="shared" si="518"/>
        <v>Activa     </v>
      </c>
    </row>
    <row r="693" ht="49.5" customHeight="1">
      <c r="A693" s="110" t="s">
        <v>63</v>
      </c>
      <c r="B693" s="110" t="s">
        <v>2753</v>
      </c>
      <c r="C693" s="110" t="s">
        <v>2770</v>
      </c>
      <c r="D693" s="110" t="s">
        <v>2770</v>
      </c>
      <c r="E693" s="111" t="s">
        <v>2771</v>
      </c>
      <c r="F693" s="114" t="str">
        <f>"     "&amp;F687</f>
        <v>     Short Dama Liso X 100 Unidades</v>
      </c>
      <c r="G693" s="110" t="s">
        <v>2772</v>
      </c>
      <c r="H693" s="113">
        <v>10.0</v>
      </c>
      <c r="I693" s="110" t="s">
        <v>70</v>
      </c>
      <c r="J693" s="112">
        <f>J687</f>
        <v>254890</v>
      </c>
      <c r="K693" s="110" t="str">
        <f>K687&amp;"     "</f>
        <v>$     </v>
      </c>
      <c r="L693" s="110" t="str">
        <f t="shared" ref="L693:U693" si="519">L687</f>
        <v/>
      </c>
      <c r="M693" s="110" t="str">
        <f t="shared" si="519"/>
        <v/>
      </c>
      <c r="N693" s="110" t="str">
        <f t="shared" si="519"/>
        <v/>
      </c>
      <c r="O693" s="110" t="str">
        <f t="shared" si="519"/>
        <v/>
      </c>
      <c r="P693" s="110" t="str">
        <f t="shared" si="519"/>
        <v/>
      </c>
      <c r="Q693" s="110" t="str">
        <f t="shared" si="519"/>
        <v/>
      </c>
      <c r="R693" s="110" t="str">
        <f t="shared" si="519"/>
        <v/>
      </c>
      <c r="S693" s="110" t="str">
        <f t="shared" si="519"/>
        <v/>
      </c>
      <c r="T693" s="110" t="str">
        <f t="shared" si="519"/>
        <v/>
      </c>
      <c r="U693" s="110" t="str">
        <f t="shared" si="519"/>
        <v/>
      </c>
      <c r="V693" s="110" t="str">
        <f t="shared" ref="V693:W693" si="520">V687&amp;"     "</f>
        <v>Nuevo     </v>
      </c>
      <c r="W693" s="112" t="str">
        <f t="shared" si="520"/>
        <v>Activa     </v>
      </c>
    </row>
    <row r="694" ht="49.5" customHeight="1">
      <c r="A694" s="110" t="s">
        <v>63</v>
      </c>
      <c r="B694" s="110" t="s">
        <v>2753</v>
      </c>
      <c r="C694" s="110" t="s">
        <v>2773</v>
      </c>
      <c r="D694" s="110" t="s">
        <v>2773</v>
      </c>
      <c r="E694" s="111" t="s">
        <v>2774</v>
      </c>
      <c r="F694" s="114" t="str">
        <f>"     "&amp;F687</f>
        <v>     Short Dama Liso X 100 Unidades</v>
      </c>
      <c r="G694" s="110" t="s">
        <v>2775</v>
      </c>
      <c r="H694" s="113">
        <v>10.0</v>
      </c>
      <c r="I694" s="110" t="s">
        <v>70</v>
      </c>
      <c r="J694" s="112">
        <f>J687</f>
        <v>254890</v>
      </c>
      <c r="K694" s="110" t="str">
        <f>K687&amp;"     "</f>
        <v>$     </v>
      </c>
      <c r="L694" s="110" t="str">
        <f t="shared" ref="L694:U694" si="521">L687</f>
        <v/>
      </c>
      <c r="M694" s="110" t="str">
        <f t="shared" si="521"/>
        <v/>
      </c>
      <c r="N694" s="110" t="str">
        <f t="shared" si="521"/>
        <v/>
      </c>
      <c r="O694" s="110" t="str">
        <f t="shared" si="521"/>
        <v/>
      </c>
      <c r="P694" s="110" t="str">
        <f t="shared" si="521"/>
        <v/>
      </c>
      <c r="Q694" s="110" t="str">
        <f t="shared" si="521"/>
        <v/>
      </c>
      <c r="R694" s="110" t="str">
        <f t="shared" si="521"/>
        <v/>
      </c>
      <c r="S694" s="110" t="str">
        <f t="shared" si="521"/>
        <v/>
      </c>
      <c r="T694" s="110" t="str">
        <f t="shared" si="521"/>
        <v/>
      </c>
      <c r="U694" s="110" t="str">
        <f t="shared" si="521"/>
        <v/>
      </c>
      <c r="V694" s="110" t="str">
        <f t="shared" ref="V694:W694" si="522">V687&amp;"     "</f>
        <v>Nuevo     </v>
      </c>
      <c r="W694" s="112" t="str">
        <f t="shared" si="522"/>
        <v>Activa     </v>
      </c>
    </row>
    <row r="695" ht="49.5" customHeight="1">
      <c r="A695" s="110" t="s">
        <v>63</v>
      </c>
      <c r="B695" s="110" t="s">
        <v>2753</v>
      </c>
      <c r="C695" s="110" t="s">
        <v>2776</v>
      </c>
      <c r="D695" s="110" t="s">
        <v>2776</v>
      </c>
      <c r="E695" s="111" t="s">
        <v>2777</v>
      </c>
      <c r="F695" s="114" t="str">
        <f>"     "&amp;F687</f>
        <v>     Short Dama Liso X 100 Unidades</v>
      </c>
      <c r="G695" s="110" t="s">
        <v>2778</v>
      </c>
      <c r="H695" s="113">
        <v>10.0</v>
      </c>
      <c r="I695" s="110" t="s">
        <v>70</v>
      </c>
      <c r="J695" s="112">
        <f>J687</f>
        <v>254890</v>
      </c>
      <c r="K695" s="110" t="str">
        <f>K687&amp;"     "</f>
        <v>$     </v>
      </c>
      <c r="L695" s="110" t="str">
        <f t="shared" ref="L695:U695" si="523">L687</f>
        <v/>
      </c>
      <c r="M695" s="110" t="str">
        <f t="shared" si="523"/>
        <v/>
      </c>
      <c r="N695" s="110" t="str">
        <f t="shared" si="523"/>
        <v/>
      </c>
      <c r="O695" s="110" t="str">
        <f t="shared" si="523"/>
        <v/>
      </c>
      <c r="P695" s="110" t="str">
        <f t="shared" si="523"/>
        <v/>
      </c>
      <c r="Q695" s="110" t="str">
        <f t="shared" si="523"/>
        <v/>
      </c>
      <c r="R695" s="110" t="str">
        <f t="shared" si="523"/>
        <v/>
      </c>
      <c r="S695" s="110" t="str">
        <f t="shared" si="523"/>
        <v/>
      </c>
      <c r="T695" s="110" t="str">
        <f t="shared" si="523"/>
        <v/>
      </c>
      <c r="U695" s="110" t="str">
        <f t="shared" si="523"/>
        <v/>
      </c>
      <c r="V695" s="110" t="str">
        <f t="shared" ref="V695:W695" si="524">V687&amp;"     "</f>
        <v>Nuevo     </v>
      </c>
      <c r="W695" s="112" t="str">
        <f t="shared" si="524"/>
        <v>Activa     </v>
      </c>
    </row>
    <row r="696" ht="49.5" customHeight="1">
      <c r="A696" s="110" t="s">
        <v>63</v>
      </c>
      <c r="B696" s="110" t="s">
        <v>2753</v>
      </c>
      <c r="C696" s="110" t="s">
        <v>2779</v>
      </c>
      <c r="D696" s="110" t="s">
        <v>2779</v>
      </c>
      <c r="E696" s="111" t="s">
        <v>2780</v>
      </c>
      <c r="F696" s="114" t="str">
        <f>"     "&amp;F687</f>
        <v>     Short Dama Liso X 100 Unidades</v>
      </c>
      <c r="G696" s="110" t="s">
        <v>2781</v>
      </c>
      <c r="H696" s="113">
        <v>10.0</v>
      </c>
      <c r="I696" s="110" t="s">
        <v>70</v>
      </c>
      <c r="J696" s="112">
        <f>J687</f>
        <v>254890</v>
      </c>
      <c r="K696" s="110" t="str">
        <f>K687&amp;"     "</f>
        <v>$     </v>
      </c>
      <c r="L696" s="110" t="str">
        <f t="shared" ref="L696:U696" si="525">L687</f>
        <v/>
      </c>
      <c r="M696" s="110" t="str">
        <f t="shared" si="525"/>
        <v/>
      </c>
      <c r="N696" s="110" t="str">
        <f t="shared" si="525"/>
        <v/>
      </c>
      <c r="O696" s="110" t="str">
        <f t="shared" si="525"/>
        <v/>
      </c>
      <c r="P696" s="110" t="str">
        <f t="shared" si="525"/>
        <v/>
      </c>
      <c r="Q696" s="110" t="str">
        <f t="shared" si="525"/>
        <v/>
      </c>
      <c r="R696" s="110" t="str">
        <f t="shared" si="525"/>
        <v/>
      </c>
      <c r="S696" s="110" t="str">
        <f t="shared" si="525"/>
        <v/>
      </c>
      <c r="T696" s="110" t="str">
        <f t="shared" si="525"/>
        <v/>
      </c>
      <c r="U696" s="110" t="str">
        <f t="shared" si="525"/>
        <v/>
      </c>
      <c r="V696" s="110" t="str">
        <f t="shared" ref="V696:W696" si="526">V687&amp;"     "</f>
        <v>Nuevo     </v>
      </c>
      <c r="W696" s="112" t="str">
        <f t="shared" si="526"/>
        <v>Activa     </v>
      </c>
    </row>
    <row r="697" ht="49.5" customHeight="1">
      <c r="A697" s="110" t="s">
        <v>63</v>
      </c>
      <c r="B697" s="110" t="s">
        <v>2753</v>
      </c>
      <c r="C697" s="110" t="s">
        <v>2782</v>
      </c>
      <c r="D697" s="110" t="s">
        <v>2782</v>
      </c>
      <c r="E697" s="111" t="s">
        <v>2783</v>
      </c>
      <c r="F697" s="114" t="str">
        <f>"     "&amp;F687</f>
        <v>     Short Dama Liso X 100 Unidades</v>
      </c>
      <c r="G697" s="110" t="s">
        <v>2784</v>
      </c>
      <c r="H697" s="113">
        <v>10.0</v>
      </c>
      <c r="I697" s="110" t="s">
        <v>70</v>
      </c>
      <c r="J697" s="112">
        <f>J687</f>
        <v>254890</v>
      </c>
      <c r="K697" s="110" t="str">
        <f>K687&amp;"     "</f>
        <v>$     </v>
      </c>
      <c r="L697" s="110" t="str">
        <f t="shared" ref="L697:U697" si="527">L687</f>
        <v/>
      </c>
      <c r="M697" s="110" t="str">
        <f t="shared" si="527"/>
        <v/>
      </c>
      <c r="N697" s="110" t="str">
        <f t="shared" si="527"/>
        <v/>
      </c>
      <c r="O697" s="110" t="str">
        <f t="shared" si="527"/>
        <v/>
      </c>
      <c r="P697" s="110" t="str">
        <f t="shared" si="527"/>
        <v/>
      </c>
      <c r="Q697" s="110" t="str">
        <f t="shared" si="527"/>
        <v/>
      </c>
      <c r="R697" s="110" t="str">
        <f t="shared" si="527"/>
        <v/>
      </c>
      <c r="S697" s="110" t="str">
        <f t="shared" si="527"/>
        <v/>
      </c>
      <c r="T697" s="110" t="str">
        <f t="shared" si="527"/>
        <v/>
      </c>
      <c r="U697" s="110" t="str">
        <f t="shared" si="527"/>
        <v/>
      </c>
      <c r="V697" s="110" t="str">
        <f t="shared" ref="V697:W697" si="528">V687&amp;"     "</f>
        <v>Nuevo     </v>
      </c>
      <c r="W697" s="112" t="str">
        <f t="shared" si="528"/>
        <v>Activa     </v>
      </c>
    </row>
    <row r="698" ht="49.5" customHeight="1">
      <c r="A698" s="110" t="s">
        <v>63</v>
      </c>
      <c r="B698" s="110" t="s">
        <v>2753</v>
      </c>
      <c r="C698" s="110" t="s">
        <v>2785</v>
      </c>
      <c r="D698" s="110" t="s">
        <v>2785</v>
      </c>
      <c r="E698" s="111" t="s">
        <v>2786</v>
      </c>
      <c r="F698" s="114" t="str">
        <f>"     "&amp;F687</f>
        <v>     Short Dama Liso X 100 Unidades</v>
      </c>
      <c r="G698" s="110" t="s">
        <v>2787</v>
      </c>
      <c r="H698" s="113">
        <v>10.0</v>
      </c>
      <c r="I698" s="110" t="s">
        <v>70</v>
      </c>
      <c r="J698" s="112">
        <f>J687</f>
        <v>254890</v>
      </c>
      <c r="K698" s="110" t="str">
        <f>K687&amp;"     "</f>
        <v>$     </v>
      </c>
      <c r="L698" s="110" t="str">
        <f t="shared" ref="L698:U698" si="529">L687</f>
        <v/>
      </c>
      <c r="M698" s="110" t="str">
        <f t="shared" si="529"/>
        <v/>
      </c>
      <c r="N698" s="110" t="str">
        <f t="shared" si="529"/>
        <v/>
      </c>
      <c r="O698" s="110" t="str">
        <f t="shared" si="529"/>
        <v/>
      </c>
      <c r="P698" s="110" t="str">
        <f t="shared" si="529"/>
        <v/>
      </c>
      <c r="Q698" s="110" t="str">
        <f t="shared" si="529"/>
        <v/>
      </c>
      <c r="R698" s="110" t="str">
        <f t="shared" si="529"/>
        <v/>
      </c>
      <c r="S698" s="110" t="str">
        <f t="shared" si="529"/>
        <v/>
      </c>
      <c r="T698" s="110" t="str">
        <f t="shared" si="529"/>
        <v/>
      </c>
      <c r="U698" s="110" t="str">
        <f t="shared" si="529"/>
        <v/>
      </c>
      <c r="V698" s="110" t="str">
        <f t="shared" ref="V698:W698" si="530">V687&amp;"     "</f>
        <v>Nuevo     </v>
      </c>
      <c r="W698" s="112" t="str">
        <f t="shared" si="530"/>
        <v>Activa     </v>
      </c>
    </row>
    <row r="699" ht="49.5" customHeight="1">
      <c r="A699" s="110" t="s">
        <v>63</v>
      </c>
      <c r="B699" s="110" t="s">
        <v>2753</v>
      </c>
      <c r="C699" s="110" t="s">
        <v>2788</v>
      </c>
      <c r="D699" s="110" t="s">
        <v>2788</v>
      </c>
      <c r="E699" s="111" t="s">
        <v>2789</v>
      </c>
      <c r="F699" s="114" t="str">
        <f>"     "&amp;F687</f>
        <v>     Short Dama Liso X 100 Unidades</v>
      </c>
      <c r="G699" s="110" t="s">
        <v>2790</v>
      </c>
      <c r="H699" s="113">
        <v>10.0</v>
      </c>
      <c r="I699" s="110" t="s">
        <v>70</v>
      </c>
      <c r="J699" s="112">
        <f>J687</f>
        <v>254890</v>
      </c>
      <c r="K699" s="110" t="str">
        <f>K687&amp;"     "</f>
        <v>$     </v>
      </c>
      <c r="L699" s="110" t="str">
        <f t="shared" ref="L699:U699" si="531">L687</f>
        <v/>
      </c>
      <c r="M699" s="110" t="str">
        <f t="shared" si="531"/>
        <v/>
      </c>
      <c r="N699" s="110" t="str">
        <f t="shared" si="531"/>
        <v/>
      </c>
      <c r="O699" s="110" t="str">
        <f t="shared" si="531"/>
        <v/>
      </c>
      <c r="P699" s="110" t="str">
        <f t="shared" si="531"/>
        <v/>
      </c>
      <c r="Q699" s="110" t="str">
        <f t="shared" si="531"/>
        <v/>
      </c>
      <c r="R699" s="110" t="str">
        <f t="shared" si="531"/>
        <v/>
      </c>
      <c r="S699" s="110" t="str">
        <f t="shared" si="531"/>
        <v/>
      </c>
      <c r="T699" s="110" t="str">
        <f t="shared" si="531"/>
        <v/>
      </c>
      <c r="U699" s="110" t="str">
        <f t="shared" si="531"/>
        <v/>
      </c>
      <c r="V699" s="110" t="str">
        <f t="shared" ref="V699:W699" si="532">V687&amp;"     "</f>
        <v>Nuevo     </v>
      </c>
      <c r="W699" s="112" t="str">
        <f t="shared" si="532"/>
        <v>Activa     </v>
      </c>
    </row>
    <row r="700" ht="49.5" customHeight="1">
      <c r="A700" s="110" t="s">
        <v>63</v>
      </c>
      <c r="B700" s="110" t="s">
        <v>2791</v>
      </c>
      <c r="C700" s="110"/>
      <c r="D700" s="110"/>
      <c r="E700" s="112" t="s">
        <v>63</v>
      </c>
      <c r="F700" s="111" t="s">
        <v>2792</v>
      </c>
      <c r="G700" s="110" t="s">
        <v>70</v>
      </c>
      <c r="H700" s="110" t="s">
        <v>2793</v>
      </c>
      <c r="I700" s="110" t="s">
        <v>70</v>
      </c>
      <c r="J700" s="112">
        <v>467690.0</v>
      </c>
      <c r="K700" s="113" t="s">
        <v>71</v>
      </c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 t="s">
        <v>72</v>
      </c>
      <c r="W700" s="112" t="s">
        <v>73</v>
      </c>
    </row>
    <row r="701" ht="49.5" customHeight="1">
      <c r="A701" s="110" t="s">
        <v>63</v>
      </c>
      <c r="B701" s="110" t="s">
        <v>2791</v>
      </c>
      <c r="C701" s="110" t="s">
        <v>2794</v>
      </c>
      <c r="D701" s="110" t="s">
        <v>2794</v>
      </c>
      <c r="E701" s="111" t="s">
        <v>2795</v>
      </c>
      <c r="F701" s="114" t="str">
        <f>"     "&amp;F700</f>
        <v>     Short Futbol Liso X 100 Unid</v>
      </c>
      <c r="G701" s="110" t="s">
        <v>2796</v>
      </c>
      <c r="H701" s="113">
        <v>10.0</v>
      </c>
      <c r="I701" s="110" t="s">
        <v>70</v>
      </c>
      <c r="J701" s="112">
        <f>J700</f>
        <v>467690</v>
      </c>
      <c r="K701" s="110" t="str">
        <f>K700&amp;"     "</f>
        <v>$     </v>
      </c>
      <c r="L701" s="110" t="str">
        <f t="shared" ref="L701:U701" si="533">L700</f>
        <v/>
      </c>
      <c r="M701" s="110" t="str">
        <f t="shared" si="533"/>
        <v/>
      </c>
      <c r="N701" s="110" t="str">
        <f t="shared" si="533"/>
        <v/>
      </c>
      <c r="O701" s="110" t="str">
        <f t="shared" si="533"/>
        <v/>
      </c>
      <c r="P701" s="110" t="str">
        <f t="shared" si="533"/>
        <v/>
      </c>
      <c r="Q701" s="110" t="str">
        <f t="shared" si="533"/>
        <v/>
      </c>
      <c r="R701" s="110" t="str">
        <f t="shared" si="533"/>
        <v/>
      </c>
      <c r="S701" s="110" t="str">
        <f t="shared" si="533"/>
        <v/>
      </c>
      <c r="T701" s="110" t="str">
        <f t="shared" si="533"/>
        <v/>
      </c>
      <c r="U701" s="110" t="str">
        <f t="shared" si="533"/>
        <v/>
      </c>
      <c r="V701" s="110" t="str">
        <f t="shared" ref="V701:W701" si="534">V700&amp;"     "</f>
        <v>Nuevo     </v>
      </c>
      <c r="W701" s="112" t="str">
        <f t="shared" si="534"/>
        <v>Activa     </v>
      </c>
    </row>
    <row r="702" ht="49.5" customHeight="1">
      <c r="A702" s="110" t="s">
        <v>63</v>
      </c>
      <c r="B702" s="110" t="s">
        <v>2791</v>
      </c>
      <c r="C702" s="110" t="s">
        <v>2797</v>
      </c>
      <c r="D702" s="110" t="s">
        <v>2797</v>
      </c>
      <c r="E702" s="111" t="s">
        <v>2798</v>
      </c>
      <c r="F702" s="114" t="str">
        <f>"     "&amp;F700</f>
        <v>     Short Futbol Liso X 100 Unid</v>
      </c>
      <c r="G702" s="110" t="s">
        <v>2799</v>
      </c>
      <c r="H702" s="113">
        <v>0.0</v>
      </c>
      <c r="I702" s="110" t="s">
        <v>70</v>
      </c>
      <c r="J702" s="112">
        <f>J700</f>
        <v>467690</v>
      </c>
      <c r="K702" s="110" t="str">
        <f>K700&amp;"     "</f>
        <v>$     </v>
      </c>
      <c r="L702" s="110" t="str">
        <f t="shared" ref="L702:U702" si="535">L700</f>
        <v/>
      </c>
      <c r="M702" s="110" t="str">
        <f t="shared" si="535"/>
        <v/>
      </c>
      <c r="N702" s="110" t="str">
        <f t="shared" si="535"/>
        <v/>
      </c>
      <c r="O702" s="110" t="str">
        <f t="shared" si="535"/>
        <v/>
      </c>
      <c r="P702" s="110" t="str">
        <f t="shared" si="535"/>
        <v/>
      </c>
      <c r="Q702" s="110" t="str">
        <f t="shared" si="535"/>
        <v/>
      </c>
      <c r="R702" s="110" t="str">
        <f t="shared" si="535"/>
        <v/>
      </c>
      <c r="S702" s="110" t="str">
        <f t="shared" si="535"/>
        <v/>
      </c>
      <c r="T702" s="110" t="str">
        <f t="shared" si="535"/>
        <v/>
      </c>
      <c r="U702" s="110" t="str">
        <f t="shared" si="535"/>
        <v/>
      </c>
      <c r="V702" s="110" t="str">
        <f t="shared" ref="V702:W702" si="536">V700&amp;"     "</f>
        <v>Nuevo     </v>
      </c>
      <c r="W702" s="112" t="str">
        <f t="shared" si="536"/>
        <v>Activa     </v>
      </c>
    </row>
    <row r="703" ht="49.5" customHeight="1">
      <c r="A703" s="110" t="s">
        <v>63</v>
      </c>
      <c r="B703" s="110" t="s">
        <v>2791</v>
      </c>
      <c r="C703" s="110" t="s">
        <v>2800</v>
      </c>
      <c r="D703" s="110" t="s">
        <v>2800</v>
      </c>
      <c r="E703" s="111" t="s">
        <v>2801</v>
      </c>
      <c r="F703" s="114" t="str">
        <f>"     "&amp;F700</f>
        <v>     Short Futbol Liso X 100 Unid</v>
      </c>
      <c r="G703" s="110" t="s">
        <v>2802</v>
      </c>
      <c r="H703" s="113">
        <v>10.0</v>
      </c>
      <c r="I703" s="110" t="s">
        <v>70</v>
      </c>
      <c r="J703" s="112">
        <f>J700</f>
        <v>467690</v>
      </c>
      <c r="K703" s="110" t="str">
        <f>K700&amp;"     "</f>
        <v>$     </v>
      </c>
      <c r="L703" s="110" t="str">
        <f t="shared" ref="L703:U703" si="537">L700</f>
        <v/>
      </c>
      <c r="M703" s="110" t="str">
        <f t="shared" si="537"/>
        <v/>
      </c>
      <c r="N703" s="110" t="str">
        <f t="shared" si="537"/>
        <v/>
      </c>
      <c r="O703" s="110" t="str">
        <f t="shared" si="537"/>
        <v/>
      </c>
      <c r="P703" s="110" t="str">
        <f t="shared" si="537"/>
        <v/>
      </c>
      <c r="Q703" s="110" t="str">
        <f t="shared" si="537"/>
        <v/>
      </c>
      <c r="R703" s="110" t="str">
        <f t="shared" si="537"/>
        <v/>
      </c>
      <c r="S703" s="110" t="str">
        <f t="shared" si="537"/>
        <v/>
      </c>
      <c r="T703" s="110" t="str">
        <f t="shared" si="537"/>
        <v/>
      </c>
      <c r="U703" s="110" t="str">
        <f t="shared" si="537"/>
        <v/>
      </c>
      <c r="V703" s="110" t="str">
        <f t="shared" ref="V703:W703" si="538">V700&amp;"     "</f>
        <v>Nuevo     </v>
      </c>
      <c r="W703" s="112" t="str">
        <f t="shared" si="538"/>
        <v>Activa     </v>
      </c>
    </row>
    <row r="704" ht="49.5" customHeight="1">
      <c r="A704" s="110" t="s">
        <v>63</v>
      </c>
      <c r="B704" s="110" t="s">
        <v>2791</v>
      </c>
      <c r="C704" s="110" t="s">
        <v>2803</v>
      </c>
      <c r="D704" s="110" t="s">
        <v>2803</v>
      </c>
      <c r="E704" s="111" t="s">
        <v>2804</v>
      </c>
      <c r="F704" s="114" t="str">
        <f>"     "&amp;F700</f>
        <v>     Short Futbol Liso X 100 Unid</v>
      </c>
      <c r="G704" s="110" t="s">
        <v>2805</v>
      </c>
      <c r="H704" s="113">
        <v>10.0</v>
      </c>
      <c r="I704" s="110" t="s">
        <v>70</v>
      </c>
      <c r="J704" s="112">
        <f>J700</f>
        <v>467690</v>
      </c>
      <c r="K704" s="110" t="str">
        <f>K700&amp;"     "</f>
        <v>$     </v>
      </c>
      <c r="L704" s="110" t="str">
        <f t="shared" ref="L704:U704" si="539">L700</f>
        <v/>
      </c>
      <c r="M704" s="110" t="str">
        <f t="shared" si="539"/>
        <v/>
      </c>
      <c r="N704" s="110" t="str">
        <f t="shared" si="539"/>
        <v/>
      </c>
      <c r="O704" s="110" t="str">
        <f t="shared" si="539"/>
        <v/>
      </c>
      <c r="P704" s="110" t="str">
        <f t="shared" si="539"/>
        <v/>
      </c>
      <c r="Q704" s="110" t="str">
        <f t="shared" si="539"/>
        <v/>
      </c>
      <c r="R704" s="110" t="str">
        <f t="shared" si="539"/>
        <v/>
      </c>
      <c r="S704" s="110" t="str">
        <f t="shared" si="539"/>
        <v/>
      </c>
      <c r="T704" s="110" t="str">
        <f t="shared" si="539"/>
        <v/>
      </c>
      <c r="U704" s="110" t="str">
        <f t="shared" si="539"/>
        <v/>
      </c>
      <c r="V704" s="110" t="str">
        <f t="shared" ref="V704:W704" si="540">V700&amp;"     "</f>
        <v>Nuevo     </v>
      </c>
      <c r="W704" s="112" t="str">
        <f t="shared" si="540"/>
        <v>Activa     </v>
      </c>
    </row>
    <row r="705" ht="49.5" customHeight="1">
      <c r="A705" s="110" t="s">
        <v>63</v>
      </c>
      <c r="B705" s="110" t="s">
        <v>2791</v>
      </c>
      <c r="C705" s="110" t="s">
        <v>2806</v>
      </c>
      <c r="D705" s="110" t="s">
        <v>2806</v>
      </c>
      <c r="E705" s="111" t="s">
        <v>2807</v>
      </c>
      <c r="F705" s="114" t="str">
        <f>"     "&amp;F700</f>
        <v>     Short Futbol Liso X 100 Unid</v>
      </c>
      <c r="G705" s="110" t="s">
        <v>2808</v>
      </c>
      <c r="H705" s="113">
        <v>10.0</v>
      </c>
      <c r="I705" s="110" t="s">
        <v>70</v>
      </c>
      <c r="J705" s="112">
        <f>J700</f>
        <v>467690</v>
      </c>
      <c r="K705" s="110" t="str">
        <f>K700&amp;"     "</f>
        <v>$     </v>
      </c>
      <c r="L705" s="110" t="str">
        <f t="shared" ref="L705:U705" si="541">L700</f>
        <v/>
      </c>
      <c r="M705" s="110" t="str">
        <f t="shared" si="541"/>
        <v/>
      </c>
      <c r="N705" s="110" t="str">
        <f t="shared" si="541"/>
        <v/>
      </c>
      <c r="O705" s="110" t="str">
        <f t="shared" si="541"/>
        <v/>
      </c>
      <c r="P705" s="110" t="str">
        <f t="shared" si="541"/>
        <v/>
      </c>
      <c r="Q705" s="110" t="str">
        <f t="shared" si="541"/>
        <v/>
      </c>
      <c r="R705" s="110" t="str">
        <f t="shared" si="541"/>
        <v/>
      </c>
      <c r="S705" s="110" t="str">
        <f t="shared" si="541"/>
        <v/>
      </c>
      <c r="T705" s="110" t="str">
        <f t="shared" si="541"/>
        <v/>
      </c>
      <c r="U705" s="110" t="str">
        <f t="shared" si="541"/>
        <v/>
      </c>
      <c r="V705" s="110" t="str">
        <f t="shared" ref="V705:W705" si="542">V700&amp;"     "</f>
        <v>Nuevo     </v>
      </c>
      <c r="W705" s="112" t="str">
        <f t="shared" si="542"/>
        <v>Activa     </v>
      </c>
    </row>
    <row r="706" ht="49.5" customHeight="1">
      <c r="A706" s="110" t="s">
        <v>63</v>
      </c>
      <c r="B706" s="110" t="s">
        <v>2791</v>
      </c>
      <c r="C706" s="110" t="s">
        <v>2809</v>
      </c>
      <c r="D706" s="110" t="s">
        <v>2809</v>
      </c>
      <c r="E706" s="111" t="s">
        <v>2810</v>
      </c>
      <c r="F706" s="114" t="str">
        <f>"     "&amp;F700</f>
        <v>     Short Futbol Liso X 100 Unid</v>
      </c>
      <c r="G706" s="110" t="s">
        <v>2811</v>
      </c>
      <c r="H706" s="113">
        <v>10.0</v>
      </c>
      <c r="I706" s="110" t="s">
        <v>70</v>
      </c>
      <c r="J706" s="112">
        <f>J700</f>
        <v>467690</v>
      </c>
      <c r="K706" s="110" t="str">
        <f>K700&amp;"     "</f>
        <v>$     </v>
      </c>
      <c r="L706" s="110" t="str">
        <f t="shared" ref="L706:U706" si="543">L700</f>
        <v/>
      </c>
      <c r="M706" s="110" t="str">
        <f t="shared" si="543"/>
        <v/>
      </c>
      <c r="N706" s="110" t="str">
        <f t="shared" si="543"/>
        <v/>
      </c>
      <c r="O706" s="110" t="str">
        <f t="shared" si="543"/>
        <v/>
      </c>
      <c r="P706" s="110" t="str">
        <f t="shared" si="543"/>
        <v/>
      </c>
      <c r="Q706" s="110" t="str">
        <f t="shared" si="543"/>
        <v/>
      </c>
      <c r="R706" s="110" t="str">
        <f t="shared" si="543"/>
        <v/>
      </c>
      <c r="S706" s="110" t="str">
        <f t="shared" si="543"/>
        <v/>
      </c>
      <c r="T706" s="110" t="str">
        <f t="shared" si="543"/>
        <v/>
      </c>
      <c r="U706" s="110" t="str">
        <f t="shared" si="543"/>
        <v/>
      </c>
      <c r="V706" s="110" t="str">
        <f t="shared" ref="V706:W706" si="544">V700&amp;"     "</f>
        <v>Nuevo     </v>
      </c>
      <c r="W706" s="112" t="str">
        <f t="shared" si="544"/>
        <v>Activa     </v>
      </c>
    </row>
    <row r="707" ht="49.5" customHeight="1">
      <c r="A707" s="110" t="s">
        <v>63</v>
      </c>
      <c r="B707" s="110" t="s">
        <v>2791</v>
      </c>
      <c r="C707" s="110" t="s">
        <v>2812</v>
      </c>
      <c r="D707" s="110" t="s">
        <v>2812</v>
      </c>
      <c r="E707" s="111" t="s">
        <v>2813</v>
      </c>
      <c r="F707" s="114" t="str">
        <f>"     "&amp;F700</f>
        <v>     Short Futbol Liso X 100 Unid</v>
      </c>
      <c r="G707" s="110" t="s">
        <v>2814</v>
      </c>
      <c r="H707" s="113">
        <v>10.0</v>
      </c>
      <c r="I707" s="110" t="s">
        <v>70</v>
      </c>
      <c r="J707" s="112">
        <f>J700</f>
        <v>467690</v>
      </c>
      <c r="K707" s="110" t="str">
        <f>K700&amp;"     "</f>
        <v>$     </v>
      </c>
      <c r="L707" s="110" t="str">
        <f t="shared" ref="L707:U707" si="545">L700</f>
        <v/>
      </c>
      <c r="M707" s="110" t="str">
        <f t="shared" si="545"/>
        <v/>
      </c>
      <c r="N707" s="110" t="str">
        <f t="shared" si="545"/>
        <v/>
      </c>
      <c r="O707" s="110" t="str">
        <f t="shared" si="545"/>
        <v/>
      </c>
      <c r="P707" s="110" t="str">
        <f t="shared" si="545"/>
        <v/>
      </c>
      <c r="Q707" s="110" t="str">
        <f t="shared" si="545"/>
        <v/>
      </c>
      <c r="R707" s="110" t="str">
        <f t="shared" si="545"/>
        <v/>
      </c>
      <c r="S707" s="110" t="str">
        <f t="shared" si="545"/>
        <v/>
      </c>
      <c r="T707" s="110" t="str">
        <f t="shared" si="545"/>
        <v/>
      </c>
      <c r="U707" s="110" t="str">
        <f t="shared" si="545"/>
        <v/>
      </c>
      <c r="V707" s="110" t="str">
        <f t="shared" ref="V707:W707" si="546">V700&amp;"     "</f>
        <v>Nuevo     </v>
      </c>
      <c r="W707" s="112" t="str">
        <f t="shared" si="546"/>
        <v>Activa     </v>
      </c>
    </row>
    <row r="708" ht="49.5" customHeight="1">
      <c r="A708" s="110" t="s">
        <v>63</v>
      </c>
      <c r="B708" s="110" t="s">
        <v>2791</v>
      </c>
      <c r="C708" s="110" t="s">
        <v>2815</v>
      </c>
      <c r="D708" s="110" t="s">
        <v>2815</v>
      </c>
      <c r="E708" s="111" t="s">
        <v>2816</v>
      </c>
      <c r="F708" s="114" t="str">
        <f>"     "&amp;F700</f>
        <v>     Short Futbol Liso X 100 Unid</v>
      </c>
      <c r="G708" s="110" t="s">
        <v>2817</v>
      </c>
      <c r="H708" s="113">
        <v>10.0</v>
      </c>
      <c r="I708" s="110" t="s">
        <v>70</v>
      </c>
      <c r="J708" s="112">
        <f>J700</f>
        <v>467690</v>
      </c>
      <c r="K708" s="110" t="str">
        <f>K700&amp;"     "</f>
        <v>$     </v>
      </c>
      <c r="L708" s="110" t="str">
        <f t="shared" ref="L708:U708" si="547">L700</f>
        <v/>
      </c>
      <c r="M708" s="110" t="str">
        <f t="shared" si="547"/>
        <v/>
      </c>
      <c r="N708" s="110" t="str">
        <f t="shared" si="547"/>
        <v/>
      </c>
      <c r="O708" s="110" t="str">
        <f t="shared" si="547"/>
        <v/>
      </c>
      <c r="P708" s="110" t="str">
        <f t="shared" si="547"/>
        <v/>
      </c>
      <c r="Q708" s="110" t="str">
        <f t="shared" si="547"/>
        <v/>
      </c>
      <c r="R708" s="110" t="str">
        <f t="shared" si="547"/>
        <v/>
      </c>
      <c r="S708" s="110" t="str">
        <f t="shared" si="547"/>
        <v/>
      </c>
      <c r="T708" s="110" t="str">
        <f t="shared" si="547"/>
        <v/>
      </c>
      <c r="U708" s="110" t="str">
        <f t="shared" si="547"/>
        <v/>
      </c>
      <c r="V708" s="110" t="str">
        <f t="shared" ref="V708:W708" si="548">V700&amp;"     "</f>
        <v>Nuevo     </v>
      </c>
      <c r="W708" s="112" t="str">
        <f t="shared" si="548"/>
        <v>Activa     </v>
      </c>
    </row>
    <row r="709" ht="49.5" customHeight="1">
      <c r="A709" s="110" t="s">
        <v>63</v>
      </c>
      <c r="B709" s="110" t="s">
        <v>2791</v>
      </c>
      <c r="C709" s="110" t="s">
        <v>2818</v>
      </c>
      <c r="D709" s="110" t="s">
        <v>2818</v>
      </c>
      <c r="E709" s="111" t="s">
        <v>2819</v>
      </c>
      <c r="F709" s="114" t="str">
        <f>"     "&amp;F700</f>
        <v>     Short Futbol Liso X 100 Unid</v>
      </c>
      <c r="G709" s="110" t="s">
        <v>2820</v>
      </c>
      <c r="H709" s="113">
        <v>10.0</v>
      </c>
      <c r="I709" s="110" t="s">
        <v>70</v>
      </c>
      <c r="J709" s="112">
        <f>J700</f>
        <v>467690</v>
      </c>
      <c r="K709" s="110" t="str">
        <f>K700&amp;"     "</f>
        <v>$     </v>
      </c>
      <c r="L709" s="110" t="str">
        <f t="shared" ref="L709:U709" si="549">L700</f>
        <v/>
      </c>
      <c r="M709" s="110" t="str">
        <f t="shared" si="549"/>
        <v/>
      </c>
      <c r="N709" s="110" t="str">
        <f t="shared" si="549"/>
        <v/>
      </c>
      <c r="O709" s="110" t="str">
        <f t="shared" si="549"/>
        <v/>
      </c>
      <c r="P709" s="110" t="str">
        <f t="shared" si="549"/>
        <v/>
      </c>
      <c r="Q709" s="110" t="str">
        <f t="shared" si="549"/>
        <v/>
      </c>
      <c r="R709" s="110" t="str">
        <f t="shared" si="549"/>
        <v/>
      </c>
      <c r="S709" s="110" t="str">
        <f t="shared" si="549"/>
        <v/>
      </c>
      <c r="T709" s="110" t="str">
        <f t="shared" si="549"/>
        <v/>
      </c>
      <c r="U709" s="110" t="str">
        <f t="shared" si="549"/>
        <v/>
      </c>
      <c r="V709" s="110" t="str">
        <f t="shared" ref="V709:W709" si="550">V700&amp;"     "</f>
        <v>Nuevo     </v>
      </c>
      <c r="W709" s="112" t="str">
        <f t="shared" si="550"/>
        <v>Activa     </v>
      </c>
    </row>
    <row r="710" ht="49.5" customHeight="1">
      <c r="A710" s="110" t="s">
        <v>63</v>
      </c>
      <c r="B710" s="110" t="s">
        <v>2791</v>
      </c>
      <c r="C710" s="110" t="s">
        <v>2821</v>
      </c>
      <c r="D710" s="110" t="s">
        <v>2821</v>
      </c>
      <c r="E710" s="111" t="s">
        <v>2822</v>
      </c>
      <c r="F710" s="114" t="str">
        <f>"     "&amp;F700</f>
        <v>     Short Futbol Liso X 100 Unid</v>
      </c>
      <c r="G710" s="110" t="s">
        <v>2823</v>
      </c>
      <c r="H710" s="113">
        <v>10.0</v>
      </c>
      <c r="I710" s="110" t="s">
        <v>70</v>
      </c>
      <c r="J710" s="112">
        <f>J700</f>
        <v>467690</v>
      </c>
      <c r="K710" s="110" t="str">
        <f>K700&amp;"     "</f>
        <v>$     </v>
      </c>
      <c r="L710" s="110" t="str">
        <f t="shared" ref="L710:U710" si="551">L700</f>
        <v/>
      </c>
      <c r="M710" s="110" t="str">
        <f t="shared" si="551"/>
        <v/>
      </c>
      <c r="N710" s="110" t="str">
        <f t="shared" si="551"/>
        <v/>
      </c>
      <c r="O710" s="110" t="str">
        <f t="shared" si="551"/>
        <v/>
      </c>
      <c r="P710" s="110" t="str">
        <f t="shared" si="551"/>
        <v/>
      </c>
      <c r="Q710" s="110" t="str">
        <f t="shared" si="551"/>
        <v/>
      </c>
      <c r="R710" s="110" t="str">
        <f t="shared" si="551"/>
        <v/>
      </c>
      <c r="S710" s="110" t="str">
        <f t="shared" si="551"/>
        <v/>
      </c>
      <c r="T710" s="110" t="str">
        <f t="shared" si="551"/>
        <v/>
      </c>
      <c r="U710" s="110" t="str">
        <f t="shared" si="551"/>
        <v/>
      </c>
      <c r="V710" s="110" t="str">
        <f t="shared" ref="V710:W710" si="552">V700&amp;"     "</f>
        <v>Nuevo     </v>
      </c>
      <c r="W710" s="112" t="str">
        <f t="shared" si="552"/>
        <v>Activa     </v>
      </c>
    </row>
    <row r="711" ht="49.5" customHeight="1">
      <c r="A711" s="110" t="s">
        <v>2824</v>
      </c>
      <c r="B711" s="110" t="s">
        <v>2825</v>
      </c>
      <c r="C711" s="110" t="s">
        <v>2826</v>
      </c>
      <c r="D711" s="110"/>
      <c r="E711" s="111" t="s">
        <v>2827</v>
      </c>
      <c r="F711" s="111" t="s">
        <v>2828</v>
      </c>
      <c r="G711" s="110" t="s">
        <v>138</v>
      </c>
      <c r="H711" s="113">
        <v>30.0</v>
      </c>
      <c r="I711" s="110" t="s">
        <v>70</v>
      </c>
      <c r="J711" s="112">
        <v>7590.0</v>
      </c>
      <c r="K711" s="113" t="s">
        <v>71</v>
      </c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 t="s">
        <v>72</v>
      </c>
      <c r="W711" s="112" t="s">
        <v>73</v>
      </c>
    </row>
    <row r="712" ht="49.5" customHeight="1">
      <c r="A712" s="110" t="s">
        <v>2829</v>
      </c>
      <c r="B712" s="110" t="s">
        <v>2830</v>
      </c>
      <c r="C712" s="110" t="s">
        <v>2831</v>
      </c>
      <c r="D712" s="110"/>
      <c r="E712" s="111" t="s">
        <v>2832</v>
      </c>
      <c r="F712" s="111" t="s">
        <v>2833</v>
      </c>
      <c r="G712" s="110" t="s">
        <v>90</v>
      </c>
      <c r="H712" s="113">
        <v>30.0</v>
      </c>
      <c r="I712" s="110" t="s">
        <v>70</v>
      </c>
      <c r="J712" s="112">
        <v>10790.0</v>
      </c>
      <c r="K712" s="113" t="s">
        <v>71</v>
      </c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 t="s">
        <v>72</v>
      </c>
      <c r="W712" s="112" t="s">
        <v>73</v>
      </c>
    </row>
    <row r="713" ht="49.5" customHeight="1">
      <c r="A713" s="110" t="s">
        <v>2834</v>
      </c>
      <c r="B713" s="110" t="s">
        <v>2835</v>
      </c>
      <c r="C713" s="110" t="s">
        <v>2836</v>
      </c>
      <c r="D713" s="110"/>
      <c r="E713" s="111" t="s">
        <v>2837</v>
      </c>
      <c r="F713" s="111" t="s">
        <v>2838</v>
      </c>
      <c r="G713" s="110" t="s">
        <v>2838</v>
      </c>
      <c r="H713" s="113">
        <v>30.0</v>
      </c>
      <c r="I713" s="110" t="s">
        <v>70</v>
      </c>
      <c r="J713" s="112" t="s">
        <v>63</v>
      </c>
      <c r="K713" s="113" t="s">
        <v>71</v>
      </c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 t="s">
        <v>72</v>
      </c>
      <c r="W713" s="112" t="s">
        <v>73</v>
      </c>
    </row>
    <row r="714" ht="49.5" customHeight="1">
      <c r="A714" s="110" t="s">
        <v>2839</v>
      </c>
      <c r="B714" s="110" t="s">
        <v>2840</v>
      </c>
      <c r="C714" s="110" t="s">
        <v>2841</v>
      </c>
      <c r="D714" s="110"/>
      <c r="E714" s="111" t="s">
        <v>2842</v>
      </c>
      <c r="F714" s="111" t="s">
        <v>2843</v>
      </c>
      <c r="G714" s="110" t="s">
        <v>165</v>
      </c>
      <c r="H714" s="113">
        <v>30.0</v>
      </c>
      <c r="I714" s="110" t="s">
        <v>70</v>
      </c>
      <c r="J714" s="112">
        <v>30390.0</v>
      </c>
      <c r="K714" s="113" t="s">
        <v>71</v>
      </c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 t="s">
        <v>72</v>
      </c>
      <c r="W714" s="112" t="s">
        <v>73</v>
      </c>
    </row>
    <row r="715" ht="49.5" customHeight="1">
      <c r="A715" s="110" t="s">
        <v>2844</v>
      </c>
      <c r="B715" s="110" t="s">
        <v>2845</v>
      </c>
      <c r="C715" s="110" t="s">
        <v>2846</v>
      </c>
      <c r="D715" s="110"/>
      <c r="E715" s="111" t="s">
        <v>2847</v>
      </c>
      <c r="F715" s="111" t="s">
        <v>2848</v>
      </c>
      <c r="G715" s="110" t="s">
        <v>79</v>
      </c>
      <c r="H715" s="113">
        <v>30.0</v>
      </c>
      <c r="I715" s="110" t="s">
        <v>70</v>
      </c>
      <c r="J715" s="112">
        <v>49290.0</v>
      </c>
      <c r="K715" s="113" t="s">
        <v>71</v>
      </c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 t="s">
        <v>72</v>
      </c>
      <c r="W715" s="112" t="s">
        <v>73</v>
      </c>
    </row>
    <row r="716" ht="49.5" customHeight="1">
      <c r="A716" s="110" t="s">
        <v>2849</v>
      </c>
      <c r="B716" s="110" t="s">
        <v>2850</v>
      </c>
      <c r="C716" s="110" t="s">
        <v>2851</v>
      </c>
      <c r="D716" s="110"/>
      <c r="E716" s="111" t="s">
        <v>2852</v>
      </c>
      <c r="F716" s="111" t="s">
        <v>2853</v>
      </c>
      <c r="G716" s="110" t="s">
        <v>144</v>
      </c>
      <c r="H716" s="113">
        <v>30.0</v>
      </c>
      <c r="I716" s="110" t="s">
        <v>70</v>
      </c>
      <c r="J716" s="112">
        <v>16490.0</v>
      </c>
      <c r="K716" s="113" t="s">
        <v>71</v>
      </c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 t="s">
        <v>72</v>
      </c>
      <c r="W716" s="112" t="s">
        <v>73</v>
      </c>
    </row>
    <row r="717" ht="49.5" customHeight="1">
      <c r="A717" s="110" t="s">
        <v>63</v>
      </c>
      <c r="B717" s="110" t="s">
        <v>2854</v>
      </c>
      <c r="C717" s="110"/>
      <c r="D717" s="110"/>
      <c r="E717" s="112" t="s">
        <v>63</v>
      </c>
      <c r="F717" s="111" t="s">
        <v>2855</v>
      </c>
      <c r="G717" s="110" t="s">
        <v>70</v>
      </c>
      <c r="H717" s="110" t="s">
        <v>666</v>
      </c>
      <c r="I717" s="110" t="s">
        <v>70</v>
      </c>
      <c r="J717" s="112">
        <v>7190.0</v>
      </c>
      <c r="K717" s="113" t="s">
        <v>71</v>
      </c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 t="s">
        <v>72</v>
      </c>
      <c r="W717" s="112" t="s">
        <v>73</v>
      </c>
    </row>
    <row r="718" ht="49.5" customHeight="1">
      <c r="A718" s="110" t="s">
        <v>63</v>
      </c>
      <c r="B718" s="110" t="s">
        <v>2854</v>
      </c>
      <c r="C718" s="110" t="s">
        <v>2856</v>
      </c>
      <c r="D718" s="110" t="s">
        <v>2856</v>
      </c>
      <c r="E718" s="111" t="s">
        <v>2857</v>
      </c>
      <c r="F718" s="114" t="str">
        <f>"     "&amp;F717</f>
        <v>     Short Dama Liso Calipso</v>
      </c>
      <c r="G718" s="110" t="s">
        <v>2769</v>
      </c>
      <c r="H718" s="113">
        <v>10.0</v>
      </c>
      <c r="I718" s="110" t="s">
        <v>70</v>
      </c>
      <c r="J718" s="112">
        <f>J717</f>
        <v>7190</v>
      </c>
      <c r="K718" s="110" t="str">
        <f>K717&amp;"     "</f>
        <v>$     </v>
      </c>
      <c r="L718" s="110" t="str">
        <f t="shared" ref="L718:U718" si="553">L717</f>
        <v/>
      </c>
      <c r="M718" s="110" t="str">
        <f t="shared" si="553"/>
        <v/>
      </c>
      <c r="N718" s="110" t="str">
        <f t="shared" si="553"/>
        <v/>
      </c>
      <c r="O718" s="110" t="str">
        <f t="shared" si="553"/>
        <v/>
      </c>
      <c r="P718" s="110" t="str">
        <f t="shared" si="553"/>
        <v/>
      </c>
      <c r="Q718" s="110" t="str">
        <f t="shared" si="553"/>
        <v/>
      </c>
      <c r="R718" s="110" t="str">
        <f t="shared" si="553"/>
        <v/>
      </c>
      <c r="S718" s="110" t="str">
        <f t="shared" si="553"/>
        <v/>
      </c>
      <c r="T718" s="110" t="str">
        <f t="shared" si="553"/>
        <v/>
      </c>
      <c r="U718" s="110" t="str">
        <f t="shared" si="553"/>
        <v/>
      </c>
      <c r="V718" s="110" t="str">
        <f t="shared" ref="V718:W718" si="554">V717&amp;"     "</f>
        <v>Nuevo     </v>
      </c>
      <c r="W718" s="112" t="str">
        <f t="shared" si="554"/>
        <v>Activa     </v>
      </c>
    </row>
    <row r="719" ht="49.5" customHeight="1">
      <c r="A719" s="110" t="s">
        <v>63</v>
      </c>
      <c r="B719" s="110" t="s">
        <v>2854</v>
      </c>
      <c r="C719" s="110" t="s">
        <v>2858</v>
      </c>
      <c r="D719" s="110" t="s">
        <v>2858</v>
      </c>
      <c r="E719" s="111" t="s">
        <v>2859</v>
      </c>
      <c r="F719" s="114" t="str">
        <f>"     "&amp;F717</f>
        <v>     Short Dama Liso Calipso</v>
      </c>
      <c r="G719" s="110" t="s">
        <v>2772</v>
      </c>
      <c r="H719" s="113">
        <v>10.0</v>
      </c>
      <c r="I719" s="110" t="s">
        <v>70</v>
      </c>
      <c r="J719" s="112">
        <f>J717</f>
        <v>7190</v>
      </c>
      <c r="K719" s="110" t="str">
        <f>K717&amp;"     "</f>
        <v>$     </v>
      </c>
      <c r="L719" s="110" t="str">
        <f t="shared" ref="L719:U719" si="555">L717</f>
        <v/>
      </c>
      <c r="M719" s="110" t="str">
        <f t="shared" si="555"/>
        <v/>
      </c>
      <c r="N719" s="110" t="str">
        <f t="shared" si="555"/>
        <v/>
      </c>
      <c r="O719" s="110" t="str">
        <f t="shared" si="555"/>
        <v/>
      </c>
      <c r="P719" s="110" t="str">
        <f t="shared" si="555"/>
        <v/>
      </c>
      <c r="Q719" s="110" t="str">
        <f t="shared" si="555"/>
        <v/>
      </c>
      <c r="R719" s="110" t="str">
        <f t="shared" si="555"/>
        <v/>
      </c>
      <c r="S719" s="110" t="str">
        <f t="shared" si="555"/>
        <v/>
      </c>
      <c r="T719" s="110" t="str">
        <f t="shared" si="555"/>
        <v/>
      </c>
      <c r="U719" s="110" t="str">
        <f t="shared" si="555"/>
        <v/>
      </c>
      <c r="V719" s="110" t="str">
        <f t="shared" ref="V719:W719" si="556">V717&amp;"     "</f>
        <v>Nuevo     </v>
      </c>
      <c r="W719" s="112" t="str">
        <f t="shared" si="556"/>
        <v>Activa     </v>
      </c>
    </row>
    <row r="720" ht="49.5" customHeight="1">
      <c r="A720" s="110" t="s">
        <v>63</v>
      </c>
      <c r="B720" s="110" t="s">
        <v>2854</v>
      </c>
      <c r="C720" s="110" t="s">
        <v>2860</v>
      </c>
      <c r="D720" s="110" t="s">
        <v>2860</v>
      </c>
      <c r="E720" s="111" t="s">
        <v>2861</v>
      </c>
      <c r="F720" s="114" t="str">
        <f>"     "&amp;F717</f>
        <v>     Short Dama Liso Calipso</v>
      </c>
      <c r="G720" s="110" t="s">
        <v>2775</v>
      </c>
      <c r="H720" s="113">
        <v>10.0</v>
      </c>
      <c r="I720" s="110" t="s">
        <v>70</v>
      </c>
      <c r="J720" s="112">
        <f>J717</f>
        <v>7190</v>
      </c>
      <c r="K720" s="110" t="str">
        <f>K717&amp;"     "</f>
        <v>$     </v>
      </c>
      <c r="L720" s="110" t="str">
        <f t="shared" ref="L720:U720" si="557">L717</f>
        <v/>
      </c>
      <c r="M720" s="110" t="str">
        <f t="shared" si="557"/>
        <v/>
      </c>
      <c r="N720" s="110" t="str">
        <f t="shared" si="557"/>
        <v/>
      </c>
      <c r="O720" s="110" t="str">
        <f t="shared" si="557"/>
        <v/>
      </c>
      <c r="P720" s="110" t="str">
        <f t="shared" si="557"/>
        <v/>
      </c>
      <c r="Q720" s="110" t="str">
        <f t="shared" si="557"/>
        <v/>
      </c>
      <c r="R720" s="110" t="str">
        <f t="shared" si="557"/>
        <v/>
      </c>
      <c r="S720" s="110" t="str">
        <f t="shared" si="557"/>
        <v/>
      </c>
      <c r="T720" s="110" t="str">
        <f t="shared" si="557"/>
        <v/>
      </c>
      <c r="U720" s="110" t="str">
        <f t="shared" si="557"/>
        <v/>
      </c>
      <c r="V720" s="110" t="str">
        <f t="shared" ref="V720:W720" si="558">V717&amp;"     "</f>
        <v>Nuevo     </v>
      </c>
      <c r="W720" s="112" t="str">
        <f t="shared" si="558"/>
        <v>Activa     </v>
      </c>
    </row>
    <row r="721" ht="49.5" customHeight="1">
      <c r="A721" s="110" t="s">
        <v>63</v>
      </c>
      <c r="B721" s="110" t="s">
        <v>2854</v>
      </c>
      <c r="C721" s="110" t="s">
        <v>2862</v>
      </c>
      <c r="D721" s="110" t="s">
        <v>2862</v>
      </c>
      <c r="E721" s="111" t="s">
        <v>2863</v>
      </c>
      <c r="F721" s="114" t="str">
        <f>"     "&amp;F717</f>
        <v>     Short Dama Liso Calipso</v>
      </c>
      <c r="G721" s="110" t="s">
        <v>2778</v>
      </c>
      <c r="H721" s="113">
        <v>10.0</v>
      </c>
      <c r="I721" s="110" t="s">
        <v>70</v>
      </c>
      <c r="J721" s="112">
        <f>J717</f>
        <v>7190</v>
      </c>
      <c r="K721" s="110" t="str">
        <f>K717&amp;"     "</f>
        <v>$     </v>
      </c>
      <c r="L721" s="110" t="str">
        <f t="shared" ref="L721:U721" si="559">L717</f>
        <v/>
      </c>
      <c r="M721" s="110" t="str">
        <f t="shared" si="559"/>
        <v/>
      </c>
      <c r="N721" s="110" t="str">
        <f t="shared" si="559"/>
        <v/>
      </c>
      <c r="O721" s="110" t="str">
        <f t="shared" si="559"/>
        <v/>
      </c>
      <c r="P721" s="110" t="str">
        <f t="shared" si="559"/>
        <v/>
      </c>
      <c r="Q721" s="110" t="str">
        <f t="shared" si="559"/>
        <v/>
      </c>
      <c r="R721" s="110" t="str">
        <f t="shared" si="559"/>
        <v/>
      </c>
      <c r="S721" s="110" t="str">
        <f t="shared" si="559"/>
        <v/>
      </c>
      <c r="T721" s="110" t="str">
        <f t="shared" si="559"/>
        <v/>
      </c>
      <c r="U721" s="110" t="str">
        <f t="shared" si="559"/>
        <v/>
      </c>
      <c r="V721" s="110" t="str">
        <f t="shared" ref="V721:W721" si="560">V717&amp;"     "</f>
        <v>Nuevo     </v>
      </c>
      <c r="W721" s="112" t="str">
        <f t="shared" si="560"/>
        <v>Activa     </v>
      </c>
    </row>
    <row r="722" ht="49.5" customHeight="1">
      <c r="A722" s="110" t="s">
        <v>2864</v>
      </c>
      <c r="B722" s="110" t="s">
        <v>2865</v>
      </c>
      <c r="C722" s="110" t="s">
        <v>2866</v>
      </c>
      <c r="D722" s="110"/>
      <c r="E722" s="111" t="s">
        <v>2867</v>
      </c>
      <c r="F722" s="111" t="s">
        <v>2868</v>
      </c>
      <c r="G722" s="110" t="s">
        <v>2868</v>
      </c>
      <c r="H722" s="113">
        <v>30.0</v>
      </c>
      <c r="I722" s="110" t="s">
        <v>70</v>
      </c>
      <c r="J722" s="112">
        <v>26090.0</v>
      </c>
      <c r="K722" s="113" t="s">
        <v>71</v>
      </c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 t="s">
        <v>72</v>
      </c>
      <c r="W722" s="112" t="s">
        <v>73</v>
      </c>
    </row>
    <row r="723" ht="49.5" customHeight="1">
      <c r="A723" s="110" t="s">
        <v>63</v>
      </c>
      <c r="B723" s="110" t="s">
        <v>2869</v>
      </c>
      <c r="C723" s="110"/>
      <c r="D723" s="110"/>
      <c r="E723" s="112" t="s">
        <v>63</v>
      </c>
      <c r="F723" s="111" t="s">
        <v>2870</v>
      </c>
      <c r="G723" s="110" t="s">
        <v>70</v>
      </c>
      <c r="H723" s="110" t="s">
        <v>460</v>
      </c>
      <c r="I723" s="110" t="s">
        <v>70</v>
      </c>
      <c r="J723" s="112">
        <v>150590.0</v>
      </c>
      <c r="K723" s="113" t="s">
        <v>71</v>
      </c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 t="s">
        <v>72</v>
      </c>
      <c r="W723" s="112" t="s">
        <v>73</v>
      </c>
    </row>
    <row r="724" ht="49.5" customHeight="1">
      <c r="A724" s="110" t="s">
        <v>63</v>
      </c>
      <c r="B724" s="110" t="s">
        <v>2869</v>
      </c>
      <c r="C724" s="110" t="s">
        <v>2871</v>
      </c>
      <c r="D724" s="110" t="s">
        <v>2871</v>
      </c>
      <c r="E724" s="111" t="s">
        <v>2872</v>
      </c>
      <c r="F724" s="114" t="str">
        <f>"     "&amp;F723</f>
        <v>     Protector Bucal Simple Drb 9.70.08 - Color × 48 Un.</v>
      </c>
      <c r="G724" s="110" t="s">
        <v>79</v>
      </c>
      <c r="H724" s="113">
        <v>10.0</v>
      </c>
      <c r="I724" s="110" t="s">
        <v>70</v>
      </c>
      <c r="J724" s="112">
        <f>J723</f>
        <v>150590</v>
      </c>
      <c r="K724" s="110" t="str">
        <f>K723&amp;"     "</f>
        <v>$     </v>
      </c>
      <c r="L724" s="110" t="str">
        <f t="shared" ref="L724:U724" si="561">L723</f>
        <v/>
      </c>
      <c r="M724" s="110" t="str">
        <f t="shared" si="561"/>
        <v/>
      </c>
      <c r="N724" s="110" t="str">
        <f t="shared" si="561"/>
        <v/>
      </c>
      <c r="O724" s="110" t="str">
        <f t="shared" si="561"/>
        <v/>
      </c>
      <c r="P724" s="110" t="str">
        <f t="shared" si="561"/>
        <v/>
      </c>
      <c r="Q724" s="110" t="str">
        <f t="shared" si="561"/>
        <v/>
      </c>
      <c r="R724" s="110" t="str">
        <f t="shared" si="561"/>
        <v/>
      </c>
      <c r="S724" s="110" t="str">
        <f t="shared" si="561"/>
        <v/>
      </c>
      <c r="T724" s="110" t="str">
        <f t="shared" si="561"/>
        <v/>
      </c>
      <c r="U724" s="110" t="str">
        <f t="shared" si="561"/>
        <v/>
      </c>
      <c r="V724" s="110" t="str">
        <f t="shared" ref="V724:W724" si="562">V723&amp;"     "</f>
        <v>Nuevo     </v>
      </c>
      <c r="W724" s="112" t="str">
        <f t="shared" si="562"/>
        <v>Activa     </v>
      </c>
    </row>
    <row r="725" ht="49.5" customHeight="1">
      <c r="A725" s="110" t="s">
        <v>63</v>
      </c>
      <c r="B725" s="110" t="s">
        <v>2869</v>
      </c>
      <c r="C725" s="110" t="s">
        <v>2873</v>
      </c>
      <c r="D725" s="110" t="s">
        <v>2873</v>
      </c>
      <c r="E725" s="111" t="s">
        <v>2872</v>
      </c>
      <c r="F725" s="114" t="str">
        <f>"     "&amp;F723</f>
        <v>     Protector Bucal Simple Drb 9.70.08 - Color × 48 Un.</v>
      </c>
      <c r="G725" s="110" t="s">
        <v>2874</v>
      </c>
      <c r="H725" s="113">
        <v>10.0</v>
      </c>
      <c r="I725" s="110" t="s">
        <v>70</v>
      </c>
      <c r="J725" s="112">
        <f>J723</f>
        <v>150590</v>
      </c>
      <c r="K725" s="110" t="str">
        <f>K723&amp;"     "</f>
        <v>$     </v>
      </c>
      <c r="L725" s="110" t="str">
        <f t="shared" ref="L725:U725" si="563">L723</f>
        <v/>
      </c>
      <c r="M725" s="110" t="str">
        <f t="shared" si="563"/>
        <v/>
      </c>
      <c r="N725" s="110" t="str">
        <f t="shared" si="563"/>
        <v/>
      </c>
      <c r="O725" s="110" t="str">
        <f t="shared" si="563"/>
        <v/>
      </c>
      <c r="P725" s="110" t="str">
        <f t="shared" si="563"/>
        <v/>
      </c>
      <c r="Q725" s="110" t="str">
        <f t="shared" si="563"/>
        <v/>
      </c>
      <c r="R725" s="110" t="str">
        <f t="shared" si="563"/>
        <v/>
      </c>
      <c r="S725" s="110" t="str">
        <f t="shared" si="563"/>
        <v/>
      </c>
      <c r="T725" s="110" t="str">
        <f t="shared" si="563"/>
        <v/>
      </c>
      <c r="U725" s="110" t="str">
        <f t="shared" si="563"/>
        <v/>
      </c>
      <c r="V725" s="110" t="str">
        <f t="shared" ref="V725:W725" si="564">V723&amp;"     "</f>
        <v>Nuevo     </v>
      </c>
      <c r="W725" s="112" t="str">
        <f t="shared" si="564"/>
        <v>Activa     </v>
      </c>
    </row>
    <row r="726" ht="49.5" customHeight="1">
      <c r="A726" s="110" t="s">
        <v>63</v>
      </c>
      <c r="B726" s="110" t="s">
        <v>2869</v>
      </c>
      <c r="C726" s="110" t="s">
        <v>2875</v>
      </c>
      <c r="D726" s="110" t="s">
        <v>2875</v>
      </c>
      <c r="E726" s="111" t="s">
        <v>2872</v>
      </c>
      <c r="F726" s="114" t="str">
        <f>"     "&amp;F723</f>
        <v>     Protector Bucal Simple Drb 9.70.08 - Color × 48 Un.</v>
      </c>
      <c r="G726" s="110" t="s">
        <v>2876</v>
      </c>
      <c r="H726" s="113">
        <v>10.0</v>
      </c>
      <c r="I726" s="110" t="s">
        <v>70</v>
      </c>
      <c r="J726" s="112">
        <f>J723</f>
        <v>150590</v>
      </c>
      <c r="K726" s="110" t="str">
        <f>K723&amp;"     "</f>
        <v>$     </v>
      </c>
      <c r="L726" s="110" t="str">
        <f t="shared" ref="L726:U726" si="565">L723</f>
        <v/>
      </c>
      <c r="M726" s="110" t="str">
        <f t="shared" si="565"/>
        <v/>
      </c>
      <c r="N726" s="110" t="str">
        <f t="shared" si="565"/>
        <v/>
      </c>
      <c r="O726" s="110" t="str">
        <f t="shared" si="565"/>
        <v/>
      </c>
      <c r="P726" s="110" t="str">
        <f t="shared" si="565"/>
        <v/>
      </c>
      <c r="Q726" s="110" t="str">
        <f t="shared" si="565"/>
        <v/>
      </c>
      <c r="R726" s="110" t="str">
        <f t="shared" si="565"/>
        <v/>
      </c>
      <c r="S726" s="110" t="str">
        <f t="shared" si="565"/>
        <v/>
      </c>
      <c r="T726" s="110" t="str">
        <f t="shared" si="565"/>
        <v/>
      </c>
      <c r="U726" s="110" t="str">
        <f t="shared" si="565"/>
        <v/>
      </c>
      <c r="V726" s="110" t="str">
        <f t="shared" ref="V726:W726" si="566">V723&amp;"     "</f>
        <v>Nuevo     </v>
      </c>
      <c r="W726" s="112" t="str">
        <f t="shared" si="566"/>
        <v>Activa     </v>
      </c>
    </row>
    <row r="727" ht="49.5" customHeight="1">
      <c r="A727" s="110" t="s">
        <v>63</v>
      </c>
      <c r="B727" s="110" t="s">
        <v>2869</v>
      </c>
      <c r="C727" s="110" t="s">
        <v>2877</v>
      </c>
      <c r="D727" s="110" t="s">
        <v>2877</v>
      </c>
      <c r="E727" s="111" t="s">
        <v>2872</v>
      </c>
      <c r="F727" s="114" t="str">
        <f>"     "&amp;F723</f>
        <v>     Protector Bucal Simple Drb 9.70.08 - Color × 48 Un.</v>
      </c>
      <c r="G727" s="110" t="s">
        <v>2878</v>
      </c>
      <c r="H727" s="113">
        <v>10.0</v>
      </c>
      <c r="I727" s="110" t="s">
        <v>70</v>
      </c>
      <c r="J727" s="112">
        <f>J723</f>
        <v>150590</v>
      </c>
      <c r="K727" s="110" t="str">
        <f>K723&amp;"     "</f>
        <v>$     </v>
      </c>
      <c r="L727" s="110" t="str">
        <f t="shared" ref="L727:U727" si="567">L723</f>
        <v/>
      </c>
      <c r="M727" s="110" t="str">
        <f t="shared" si="567"/>
        <v/>
      </c>
      <c r="N727" s="110" t="str">
        <f t="shared" si="567"/>
        <v/>
      </c>
      <c r="O727" s="110" t="str">
        <f t="shared" si="567"/>
        <v/>
      </c>
      <c r="P727" s="110" t="str">
        <f t="shared" si="567"/>
        <v/>
      </c>
      <c r="Q727" s="110" t="str">
        <f t="shared" si="567"/>
        <v/>
      </c>
      <c r="R727" s="110" t="str">
        <f t="shared" si="567"/>
        <v/>
      </c>
      <c r="S727" s="110" t="str">
        <f t="shared" si="567"/>
        <v/>
      </c>
      <c r="T727" s="110" t="str">
        <f t="shared" si="567"/>
        <v/>
      </c>
      <c r="U727" s="110" t="str">
        <f t="shared" si="567"/>
        <v/>
      </c>
      <c r="V727" s="110" t="str">
        <f t="shared" ref="V727:W727" si="568">V723&amp;"     "</f>
        <v>Nuevo     </v>
      </c>
      <c r="W727" s="112" t="str">
        <f t="shared" si="568"/>
        <v>Activa     </v>
      </c>
    </row>
    <row r="728" ht="49.5" customHeight="1">
      <c r="A728" s="110" t="s">
        <v>63</v>
      </c>
      <c r="B728" s="110" t="s">
        <v>2869</v>
      </c>
      <c r="C728" s="110" t="s">
        <v>2879</v>
      </c>
      <c r="D728" s="110" t="s">
        <v>2879</v>
      </c>
      <c r="E728" s="111" t="s">
        <v>2872</v>
      </c>
      <c r="F728" s="114" t="str">
        <f>"     "&amp;F723</f>
        <v>     Protector Bucal Simple Drb 9.70.08 - Color × 48 Un.</v>
      </c>
      <c r="G728" s="110" t="s">
        <v>2880</v>
      </c>
      <c r="H728" s="113">
        <v>10.0</v>
      </c>
      <c r="I728" s="110" t="s">
        <v>70</v>
      </c>
      <c r="J728" s="112">
        <f>J723</f>
        <v>150590</v>
      </c>
      <c r="K728" s="110" t="str">
        <f>K723&amp;"     "</f>
        <v>$     </v>
      </c>
      <c r="L728" s="110" t="str">
        <f t="shared" ref="L728:U728" si="569">L723</f>
        <v/>
      </c>
      <c r="M728" s="110" t="str">
        <f t="shared" si="569"/>
        <v/>
      </c>
      <c r="N728" s="110" t="str">
        <f t="shared" si="569"/>
        <v/>
      </c>
      <c r="O728" s="110" t="str">
        <f t="shared" si="569"/>
        <v/>
      </c>
      <c r="P728" s="110" t="str">
        <f t="shared" si="569"/>
        <v/>
      </c>
      <c r="Q728" s="110" t="str">
        <f t="shared" si="569"/>
        <v/>
      </c>
      <c r="R728" s="110" t="str">
        <f t="shared" si="569"/>
        <v/>
      </c>
      <c r="S728" s="110" t="str">
        <f t="shared" si="569"/>
        <v/>
      </c>
      <c r="T728" s="110" t="str">
        <f t="shared" si="569"/>
        <v/>
      </c>
      <c r="U728" s="110" t="str">
        <f t="shared" si="569"/>
        <v/>
      </c>
      <c r="V728" s="110" t="str">
        <f t="shared" ref="V728:W728" si="570">V723&amp;"     "</f>
        <v>Nuevo     </v>
      </c>
      <c r="W728" s="112" t="str">
        <f t="shared" si="570"/>
        <v>Activa     </v>
      </c>
    </row>
    <row r="729" ht="49.5" customHeight="1">
      <c r="A729" s="110" t="s">
        <v>63</v>
      </c>
      <c r="B729" s="110" t="s">
        <v>2869</v>
      </c>
      <c r="C729" s="110" t="s">
        <v>2881</v>
      </c>
      <c r="D729" s="110" t="s">
        <v>2881</v>
      </c>
      <c r="E729" s="111" t="s">
        <v>2872</v>
      </c>
      <c r="F729" s="114" t="str">
        <f>"     "&amp;F723</f>
        <v>     Protector Bucal Simple Drb 9.70.08 - Color × 48 Un.</v>
      </c>
      <c r="G729" s="110" t="s">
        <v>2882</v>
      </c>
      <c r="H729" s="113">
        <v>10.0</v>
      </c>
      <c r="I729" s="110" t="s">
        <v>70</v>
      </c>
      <c r="J729" s="112">
        <f>J723</f>
        <v>150590</v>
      </c>
      <c r="K729" s="110" t="str">
        <f>K723&amp;"     "</f>
        <v>$     </v>
      </c>
      <c r="L729" s="110" t="str">
        <f t="shared" ref="L729:U729" si="571">L723</f>
        <v/>
      </c>
      <c r="M729" s="110" t="str">
        <f t="shared" si="571"/>
        <v/>
      </c>
      <c r="N729" s="110" t="str">
        <f t="shared" si="571"/>
        <v/>
      </c>
      <c r="O729" s="110" t="str">
        <f t="shared" si="571"/>
        <v/>
      </c>
      <c r="P729" s="110" t="str">
        <f t="shared" si="571"/>
        <v/>
      </c>
      <c r="Q729" s="110" t="str">
        <f t="shared" si="571"/>
        <v/>
      </c>
      <c r="R729" s="110" t="str">
        <f t="shared" si="571"/>
        <v/>
      </c>
      <c r="S729" s="110" t="str">
        <f t="shared" si="571"/>
        <v/>
      </c>
      <c r="T729" s="110" t="str">
        <f t="shared" si="571"/>
        <v/>
      </c>
      <c r="U729" s="110" t="str">
        <f t="shared" si="571"/>
        <v/>
      </c>
      <c r="V729" s="110" t="str">
        <f t="shared" ref="V729:W729" si="572">V723&amp;"     "</f>
        <v>Nuevo     </v>
      </c>
      <c r="W729" s="112" t="str">
        <f t="shared" si="572"/>
        <v>Activa     </v>
      </c>
    </row>
    <row r="730" ht="49.5" customHeight="1">
      <c r="A730" s="110" t="s">
        <v>2883</v>
      </c>
      <c r="B730" s="110" t="s">
        <v>2884</v>
      </c>
      <c r="C730" s="110" t="s">
        <v>2885</v>
      </c>
      <c r="D730" s="110"/>
      <c r="E730" s="111" t="s">
        <v>2886</v>
      </c>
      <c r="F730" s="111" t="s">
        <v>2887</v>
      </c>
      <c r="G730" s="110" t="s">
        <v>2887</v>
      </c>
      <c r="H730" s="113">
        <v>30.0</v>
      </c>
      <c r="I730" s="110" t="s">
        <v>70</v>
      </c>
      <c r="J730" s="112">
        <v>8690.0</v>
      </c>
      <c r="K730" s="113" t="s">
        <v>71</v>
      </c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 t="s">
        <v>72</v>
      </c>
      <c r="W730" s="112" t="s">
        <v>73</v>
      </c>
    </row>
    <row r="731" ht="49.5" customHeight="1">
      <c r="A731" s="110" t="s">
        <v>2888</v>
      </c>
      <c r="B731" s="110" t="s">
        <v>2889</v>
      </c>
      <c r="C731" s="110" t="s">
        <v>2890</v>
      </c>
      <c r="D731" s="110"/>
      <c r="E731" s="111" t="s">
        <v>2891</v>
      </c>
      <c r="F731" s="111" t="s">
        <v>2892</v>
      </c>
      <c r="G731" s="110" t="s">
        <v>371</v>
      </c>
      <c r="H731" s="113">
        <v>30.0</v>
      </c>
      <c r="I731" s="110" t="s">
        <v>70</v>
      </c>
      <c r="J731" s="112">
        <v>7590.0</v>
      </c>
      <c r="K731" s="113" t="s">
        <v>71</v>
      </c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 t="s">
        <v>72</v>
      </c>
      <c r="W731" s="112" t="s">
        <v>73</v>
      </c>
    </row>
    <row r="732" ht="49.5" customHeight="1">
      <c r="A732" s="110" t="s">
        <v>2893</v>
      </c>
      <c r="B732" s="110" t="s">
        <v>2894</v>
      </c>
      <c r="C732" s="110" t="s">
        <v>2895</v>
      </c>
      <c r="D732" s="110"/>
      <c r="E732" s="111" t="s">
        <v>2896</v>
      </c>
      <c r="F732" s="111" t="s">
        <v>2897</v>
      </c>
      <c r="G732" s="110" t="s">
        <v>79</v>
      </c>
      <c r="H732" s="113">
        <v>30.0</v>
      </c>
      <c r="I732" s="110" t="s">
        <v>70</v>
      </c>
      <c r="J732" s="112">
        <v>7590.0</v>
      </c>
      <c r="K732" s="113" t="s">
        <v>71</v>
      </c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 t="s">
        <v>72</v>
      </c>
      <c r="W732" s="112" t="s">
        <v>73</v>
      </c>
    </row>
    <row r="733" ht="49.5" customHeight="1">
      <c r="A733" s="110" t="s">
        <v>2898</v>
      </c>
      <c r="B733" s="110" t="s">
        <v>2899</v>
      </c>
      <c r="C733" s="110" t="s">
        <v>2900</v>
      </c>
      <c r="D733" s="110"/>
      <c r="E733" s="111" t="s">
        <v>2901</v>
      </c>
      <c r="F733" s="111" t="s">
        <v>2902</v>
      </c>
      <c r="G733" s="110" t="s">
        <v>2902</v>
      </c>
      <c r="H733" s="113">
        <v>30.0</v>
      </c>
      <c r="I733" s="110" t="s">
        <v>70</v>
      </c>
      <c r="J733" s="112">
        <v>6390.0</v>
      </c>
      <c r="K733" s="113" t="s">
        <v>71</v>
      </c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 t="s">
        <v>72</v>
      </c>
      <c r="W733" s="112" t="s">
        <v>73</v>
      </c>
    </row>
    <row r="734" ht="49.5" customHeight="1">
      <c r="A734" s="110" t="s">
        <v>2903</v>
      </c>
      <c r="B734" s="110" t="s">
        <v>2904</v>
      </c>
      <c r="C734" s="110" t="s">
        <v>2905</v>
      </c>
      <c r="D734" s="110"/>
      <c r="E734" s="111" t="s">
        <v>2906</v>
      </c>
      <c r="F734" s="111" t="s">
        <v>2907</v>
      </c>
      <c r="G734" s="110" t="s">
        <v>2908</v>
      </c>
      <c r="H734" s="113">
        <v>30.0</v>
      </c>
      <c r="I734" s="110" t="s">
        <v>70</v>
      </c>
      <c r="J734" s="112">
        <v>45590.0</v>
      </c>
      <c r="K734" s="113" t="s">
        <v>71</v>
      </c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 t="s">
        <v>72</v>
      </c>
      <c r="W734" s="112" t="s">
        <v>73</v>
      </c>
    </row>
    <row r="735" ht="49.5" customHeight="1">
      <c r="A735" s="110" t="s">
        <v>2909</v>
      </c>
      <c r="B735" s="110" t="s">
        <v>2910</v>
      </c>
      <c r="C735" s="110" t="s">
        <v>2911</v>
      </c>
      <c r="D735" s="110"/>
      <c r="E735" s="111" t="s">
        <v>2912</v>
      </c>
      <c r="F735" s="111" t="s">
        <v>2913</v>
      </c>
      <c r="G735" s="110" t="s">
        <v>79</v>
      </c>
      <c r="H735" s="113">
        <v>30.0</v>
      </c>
      <c r="I735" s="110" t="s">
        <v>70</v>
      </c>
      <c r="J735" s="112">
        <v>14990.0</v>
      </c>
      <c r="K735" s="113" t="s">
        <v>71</v>
      </c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 t="s">
        <v>72</v>
      </c>
      <c r="W735" s="112" t="s">
        <v>73</v>
      </c>
    </row>
    <row r="736" ht="49.5" customHeight="1">
      <c r="A736" s="110" t="s">
        <v>2914</v>
      </c>
      <c r="B736" s="110" t="s">
        <v>2915</v>
      </c>
      <c r="C736" s="110" t="s">
        <v>2916</v>
      </c>
      <c r="D736" s="110"/>
      <c r="E736" s="111" t="s">
        <v>2917</v>
      </c>
      <c r="F736" s="111" t="s">
        <v>2918</v>
      </c>
      <c r="G736" s="110" t="s">
        <v>2918</v>
      </c>
      <c r="H736" s="113">
        <v>10.0</v>
      </c>
      <c r="I736" s="110" t="s">
        <v>70</v>
      </c>
      <c r="J736" s="112">
        <v>27490.0</v>
      </c>
      <c r="K736" s="113" t="s">
        <v>71</v>
      </c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 t="s">
        <v>72</v>
      </c>
      <c r="W736" s="112" t="s">
        <v>73</v>
      </c>
    </row>
    <row r="737" ht="49.5" customHeight="1">
      <c r="A737" s="110" t="s">
        <v>2919</v>
      </c>
      <c r="B737" s="110" t="s">
        <v>2920</v>
      </c>
      <c r="C737" s="110" t="s">
        <v>2921</v>
      </c>
      <c r="D737" s="110"/>
      <c r="E737" s="111" t="s">
        <v>2922</v>
      </c>
      <c r="F737" s="111" t="s">
        <v>2923</v>
      </c>
      <c r="G737" s="110" t="s">
        <v>2923</v>
      </c>
      <c r="H737" s="113">
        <v>30.0</v>
      </c>
      <c r="I737" s="110" t="s">
        <v>70</v>
      </c>
      <c r="J737" s="112">
        <v>9590.0</v>
      </c>
      <c r="K737" s="113" t="s">
        <v>71</v>
      </c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 t="s">
        <v>72</v>
      </c>
      <c r="W737" s="112" t="s">
        <v>73</v>
      </c>
    </row>
    <row r="738" ht="49.5" customHeight="1">
      <c r="A738" s="110" t="s">
        <v>2924</v>
      </c>
      <c r="B738" s="110" t="s">
        <v>2925</v>
      </c>
      <c r="C738" s="110" t="s">
        <v>2926</v>
      </c>
      <c r="D738" s="110"/>
      <c r="E738" s="111" t="s">
        <v>2927</v>
      </c>
      <c r="F738" s="111" t="s">
        <v>2928</v>
      </c>
      <c r="G738" s="110" t="s">
        <v>2928</v>
      </c>
      <c r="H738" s="113">
        <v>30.0</v>
      </c>
      <c r="I738" s="110" t="s">
        <v>70</v>
      </c>
      <c r="J738" s="112">
        <v>143090.0</v>
      </c>
      <c r="K738" s="113" t="s">
        <v>71</v>
      </c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 t="s">
        <v>72</v>
      </c>
      <c r="W738" s="112" t="s">
        <v>73</v>
      </c>
    </row>
    <row r="739" ht="49.5" customHeight="1">
      <c r="A739" s="110" t="s">
        <v>63</v>
      </c>
      <c r="B739" s="110" t="s">
        <v>2929</v>
      </c>
      <c r="C739" s="110"/>
      <c r="D739" s="110"/>
      <c r="E739" s="112" t="s">
        <v>63</v>
      </c>
      <c r="F739" s="111" t="s">
        <v>651</v>
      </c>
      <c r="G739" s="110" t="s">
        <v>70</v>
      </c>
      <c r="H739" s="110" t="s">
        <v>321</v>
      </c>
      <c r="I739" s="110" t="s">
        <v>70</v>
      </c>
      <c r="J739" s="112">
        <v>7690.0</v>
      </c>
      <c r="K739" s="113" t="s">
        <v>71</v>
      </c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 t="s">
        <v>72</v>
      </c>
      <c r="W739" s="112" t="s">
        <v>73</v>
      </c>
    </row>
    <row r="740" ht="49.5" customHeight="1">
      <c r="A740" s="110" t="s">
        <v>63</v>
      </c>
      <c r="B740" s="110" t="s">
        <v>2929</v>
      </c>
      <c r="C740" s="110" t="s">
        <v>2930</v>
      </c>
      <c r="D740" s="110" t="s">
        <v>2930</v>
      </c>
      <c r="E740" s="111" t="s">
        <v>2931</v>
      </c>
      <c r="F740" s="114" t="str">
        <f>"     "&amp;F739</f>
        <v>     Short Futbol Liso Negro</v>
      </c>
      <c r="G740" s="110" t="s">
        <v>2814</v>
      </c>
      <c r="H740" s="113">
        <v>10.0</v>
      </c>
      <c r="I740" s="110" t="s">
        <v>70</v>
      </c>
      <c r="J740" s="112">
        <f>J739</f>
        <v>7690</v>
      </c>
      <c r="K740" s="110" t="str">
        <f>K739&amp;"     "</f>
        <v>$     </v>
      </c>
      <c r="L740" s="110" t="str">
        <f t="shared" ref="L740:U740" si="573">L739</f>
        <v/>
      </c>
      <c r="M740" s="110" t="str">
        <f t="shared" si="573"/>
        <v/>
      </c>
      <c r="N740" s="110" t="str">
        <f t="shared" si="573"/>
        <v/>
      </c>
      <c r="O740" s="110" t="str">
        <f t="shared" si="573"/>
        <v/>
      </c>
      <c r="P740" s="110" t="str">
        <f t="shared" si="573"/>
        <v/>
      </c>
      <c r="Q740" s="110" t="str">
        <f t="shared" si="573"/>
        <v/>
      </c>
      <c r="R740" s="110" t="str">
        <f t="shared" si="573"/>
        <v/>
      </c>
      <c r="S740" s="110" t="str">
        <f t="shared" si="573"/>
        <v/>
      </c>
      <c r="T740" s="110" t="str">
        <f t="shared" si="573"/>
        <v/>
      </c>
      <c r="U740" s="110" t="str">
        <f t="shared" si="573"/>
        <v/>
      </c>
      <c r="V740" s="110" t="str">
        <f t="shared" ref="V740:W740" si="574">V739&amp;"     "</f>
        <v>Nuevo     </v>
      </c>
      <c r="W740" s="112" t="str">
        <f t="shared" si="574"/>
        <v>Activa     </v>
      </c>
    </row>
    <row r="741" ht="49.5" customHeight="1">
      <c r="A741" s="110" t="s">
        <v>63</v>
      </c>
      <c r="B741" s="110" t="s">
        <v>2929</v>
      </c>
      <c r="C741" s="110" t="s">
        <v>2932</v>
      </c>
      <c r="D741" s="110" t="s">
        <v>2932</v>
      </c>
      <c r="E741" s="111" t="s">
        <v>2933</v>
      </c>
      <c r="F741" s="114" t="str">
        <f>"     "&amp;F739</f>
        <v>     Short Futbol Liso Negro</v>
      </c>
      <c r="G741" s="110" t="s">
        <v>2817</v>
      </c>
      <c r="H741" s="113">
        <v>10.0</v>
      </c>
      <c r="I741" s="110" t="s">
        <v>70</v>
      </c>
      <c r="J741" s="112">
        <f>J739</f>
        <v>7690</v>
      </c>
      <c r="K741" s="110" t="str">
        <f>K739&amp;"     "</f>
        <v>$     </v>
      </c>
      <c r="L741" s="110" t="str">
        <f t="shared" ref="L741:U741" si="575">L739</f>
        <v/>
      </c>
      <c r="M741" s="110" t="str">
        <f t="shared" si="575"/>
        <v/>
      </c>
      <c r="N741" s="110" t="str">
        <f t="shared" si="575"/>
        <v/>
      </c>
      <c r="O741" s="110" t="str">
        <f t="shared" si="575"/>
        <v/>
      </c>
      <c r="P741" s="110" t="str">
        <f t="shared" si="575"/>
        <v/>
      </c>
      <c r="Q741" s="110" t="str">
        <f t="shared" si="575"/>
        <v/>
      </c>
      <c r="R741" s="110" t="str">
        <f t="shared" si="575"/>
        <v/>
      </c>
      <c r="S741" s="110" t="str">
        <f t="shared" si="575"/>
        <v/>
      </c>
      <c r="T741" s="110" t="str">
        <f t="shared" si="575"/>
        <v/>
      </c>
      <c r="U741" s="110" t="str">
        <f t="shared" si="575"/>
        <v/>
      </c>
      <c r="V741" s="110" t="str">
        <f t="shared" ref="V741:W741" si="576">V739&amp;"     "</f>
        <v>Nuevo     </v>
      </c>
      <c r="W741" s="112" t="str">
        <f t="shared" si="576"/>
        <v>Activa     </v>
      </c>
    </row>
    <row r="742" ht="49.5" customHeight="1">
      <c r="A742" s="110" t="s">
        <v>63</v>
      </c>
      <c r="B742" s="110" t="s">
        <v>2929</v>
      </c>
      <c r="C742" s="110" t="s">
        <v>2934</v>
      </c>
      <c r="D742" s="110" t="s">
        <v>2934</v>
      </c>
      <c r="E742" s="111" t="s">
        <v>2935</v>
      </c>
      <c r="F742" s="114" t="str">
        <f>"     "&amp;F739</f>
        <v>     Short Futbol Liso Negro</v>
      </c>
      <c r="G742" s="110" t="s">
        <v>2820</v>
      </c>
      <c r="H742" s="113">
        <v>0.0</v>
      </c>
      <c r="I742" s="110" t="s">
        <v>70</v>
      </c>
      <c r="J742" s="112">
        <f>J739</f>
        <v>7690</v>
      </c>
      <c r="K742" s="110" t="str">
        <f>K739&amp;"     "</f>
        <v>$     </v>
      </c>
      <c r="L742" s="110" t="str">
        <f t="shared" ref="L742:U742" si="577">L739</f>
        <v/>
      </c>
      <c r="M742" s="110" t="str">
        <f t="shared" si="577"/>
        <v/>
      </c>
      <c r="N742" s="110" t="str">
        <f t="shared" si="577"/>
        <v/>
      </c>
      <c r="O742" s="110" t="str">
        <f t="shared" si="577"/>
        <v/>
      </c>
      <c r="P742" s="110" t="str">
        <f t="shared" si="577"/>
        <v/>
      </c>
      <c r="Q742" s="110" t="str">
        <f t="shared" si="577"/>
        <v/>
      </c>
      <c r="R742" s="110" t="str">
        <f t="shared" si="577"/>
        <v/>
      </c>
      <c r="S742" s="110" t="str">
        <f t="shared" si="577"/>
        <v/>
      </c>
      <c r="T742" s="110" t="str">
        <f t="shared" si="577"/>
        <v/>
      </c>
      <c r="U742" s="110" t="str">
        <f t="shared" si="577"/>
        <v/>
      </c>
      <c r="V742" s="110" t="str">
        <f t="shared" ref="V742:W742" si="578">V739&amp;"     "</f>
        <v>Nuevo     </v>
      </c>
      <c r="W742" s="112" t="str">
        <f t="shared" si="578"/>
        <v>Activa     </v>
      </c>
    </row>
    <row r="743" ht="49.5" customHeight="1">
      <c r="A743" s="110" t="s">
        <v>63</v>
      </c>
      <c r="B743" s="110" t="s">
        <v>2929</v>
      </c>
      <c r="C743" s="110" t="s">
        <v>2936</v>
      </c>
      <c r="D743" s="110" t="s">
        <v>2936</v>
      </c>
      <c r="E743" s="111" t="s">
        <v>2937</v>
      </c>
      <c r="F743" s="114" t="str">
        <f>"     "&amp;F739</f>
        <v>     Short Futbol Liso Negro</v>
      </c>
      <c r="G743" s="110" t="s">
        <v>2823</v>
      </c>
      <c r="H743" s="113">
        <v>10.0</v>
      </c>
      <c r="I743" s="110" t="s">
        <v>70</v>
      </c>
      <c r="J743" s="112">
        <f>J739</f>
        <v>7690</v>
      </c>
      <c r="K743" s="110" t="str">
        <f>K739&amp;"     "</f>
        <v>$     </v>
      </c>
      <c r="L743" s="110" t="str">
        <f t="shared" ref="L743:U743" si="579">L739</f>
        <v/>
      </c>
      <c r="M743" s="110" t="str">
        <f t="shared" si="579"/>
        <v/>
      </c>
      <c r="N743" s="110" t="str">
        <f t="shared" si="579"/>
        <v/>
      </c>
      <c r="O743" s="110" t="str">
        <f t="shared" si="579"/>
        <v/>
      </c>
      <c r="P743" s="110" t="str">
        <f t="shared" si="579"/>
        <v/>
      </c>
      <c r="Q743" s="110" t="str">
        <f t="shared" si="579"/>
        <v/>
      </c>
      <c r="R743" s="110" t="str">
        <f t="shared" si="579"/>
        <v/>
      </c>
      <c r="S743" s="110" t="str">
        <f t="shared" si="579"/>
        <v/>
      </c>
      <c r="T743" s="110" t="str">
        <f t="shared" si="579"/>
        <v/>
      </c>
      <c r="U743" s="110" t="str">
        <f t="shared" si="579"/>
        <v/>
      </c>
      <c r="V743" s="110" t="str">
        <f t="shared" ref="V743:W743" si="580">V739&amp;"     "</f>
        <v>Nuevo     </v>
      </c>
      <c r="W743" s="112" t="str">
        <f t="shared" si="580"/>
        <v>Activa     </v>
      </c>
    </row>
    <row r="744" ht="49.5" customHeight="1">
      <c r="A744" s="110" t="s">
        <v>2938</v>
      </c>
      <c r="B744" s="110" t="s">
        <v>2939</v>
      </c>
      <c r="C744" s="110" t="s">
        <v>2940</v>
      </c>
      <c r="D744" s="110"/>
      <c r="E744" s="111" t="s">
        <v>2941</v>
      </c>
      <c r="F744" s="111" t="s">
        <v>2942</v>
      </c>
      <c r="G744" s="110" t="s">
        <v>2942</v>
      </c>
      <c r="H744" s="113">
        <v>30.0</v>
      </c>
      <c r="I744" s="110" t="s">
        <v>70</v>
      </c>
      <c r="J744" s="112">
        <v>4790.0</v>
      </c>
      <c r="K744" s="113" t="s">
        <v>71</v>
      </c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 t="s">
        <v>72</v>
      </c>
      <c r="W744" s="112" t="s">
        <v>73</v>
      </c>
    </row>
    <row r="745" ht="49.5" customHeight="1">
      <c r="A745" s="110" t="s">
        <v>2943</v>
      </c>
      <c r="B745" s="110" t="s">
        <v>2944</v>
      </c>
      <c r="C745" s="110" t="s">
        <v>2945</v>
      </c>
      <c r="D745" s="110"/>
      <c r="E745" s="111" t="s">
        <v>2946</v>
      </c>
      <c r="F745" s="111" t="s">
        <v>2947</v>
      </c>
      <c r="G745" s="110" t="s">
        <v>2947</v>
      </c>
      <c r="H745" s="113">
        <v>30.0</v>
      </c>
      <c r="I745" s="110" t="s">
        <v>70</v>
      </c>
      <c r="J745" s="112">
        <v>143490.0</v>
      </c>
      <c r="K745" s="113" t="s">
        <v>71</v>
      </c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 t="s">
        <v>72</v>
      </c>
      <c r="W745" s="112" t="s">
        <v>73</v>
      </c>
    </row>
    <row r="746" ht="49.5" customHeight="1">
      <c r="A746" s="110" t="s">
        <v>2948</v>
      </c>
      <c r="B746" s="110" t="s">
        <v>2949</v>
      </c>
      <c r="C746" s="110" t="s">
        <v>2950</v>
      </c>
      <c r="D746" s="110"/>
      <c r="E746" s="111" t="s">
        <v>2951</v>
      </c>
      <c r="F746" s="111" t="s">
        <v>2952</v>
      </c>
      <c r="G746" s="110" t="s">
        <v>165</v>
      </c>
      <c r="H746" s="113">
        <v>30.0</v>
      </c>
      <c r="I746" s="110" t="s">
        <v>70</v>
      </c>
      <c r="J746" s="112">
        <v>30890.0</v>
      </c>
      <c r="K746" s="113" t="s">
        <v>71</v>
      </c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 t="s">
        <v>72</v>
      </c>
      <c r="W746" s="112" t="s">
        <v>73</v>
      </c>
    </row>
    <row r="747" ht="49.5" customHeight="1">
      <c r="A747" s="110" t="s">
        <v>2953</v>
      </c>
      <c r="B747" s="110" t="s">
        <v>2954</v>
      </c>
      <c r="C747" s="110" t="s">
        <v>2955</v>
      </c>
      <c r="D747" s="110"/>
      <c r="E747" s="111" t="s">
        <v>2956</v>
      </c>
      <c r="F747" s="111" t="s">
        <v>2957</v>
      </c>
      <c r="G747" s="110" t="s">
        <v>2957</v>
      </c>
      <c r="H747" s="113">
        <v>30.0</v>
      </c>
      <c r="I747" s="110" t="s">
        <v>70</v>
      </c>
      <c r="J747" s="112">
        <v>30790.0</v>
      </c>
      <c r="K747" s="113" t="s">
        <v>71</v>
      </c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 t="s">
        <v>72</v>
      </c>
      <c r="W747" s="112" t="s">
        <v>73</v>
      </c>
    </row>
    <row r="748" ht="49.5" customHeight="1">
      <c r="A748" s="110" t="s">
        <v>2958</v>
      </c>
      <c r="B748" s="110" t="s">
        <v>2959</v>
      </c>
      <c r="C748" s="110" t="s">
        <v>2960</v>
      </c>
      <c r="D748" s="110"/>
      <c r="E748" s="111" t="s">
        <v>2961</v>
      </c>
      <c r="F748" s="111" t="s">
        <v>2962</v>
      </c>
      <c r="G748" s="110" t="s">
        <v>144</v>
      </c>
      <c r="H748" s="113">
        <v>30.0</v>
      </c>
      <c r="I748" s="110" t="s">
        <v>70</v>
      </c>
      <c r="J748" s="112">
        <v>7590.0</v>
      </c>
      <c r="K748" s="113" t="s">
        <v>71</v>
      </c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 t="s">
        <v>72</v>
      </c>
      <c r="W748" s="112" t="s">
        <v>73</v>
      </c>
    </row>
    <row r="749" ht="49.5" customHeight="1">
      <c r="A749" s="110" t="s">
        <v>2963</v>
      </c>
      <c r="B749" s="110" t="s">
        <v>2964</v>
      </c>
      <c r="C749" s="110" t="s">
        <v>2965</v>
      </c>
      <c r="D749" s="110"/>
      <c r="E749" s="111" t="s">
        <v>2966</v>
      </c>
      <c r="F749" s="111" t="s">
        <v>2967</v>
      </c>
      <c r="G749" s="110" t="s">
        <v>2967</v>
      </c>
      <c r="H749" s="113">
        <v>30.0</v>
      </c>
      <c r="I749" s="110" t="s">
        <v>70</v>
      </c>
      <c r="J749" s="112">
        <v>28390.0</v>
      </c>
      <c r="K749" s="113" t="s">
        <v>71</v>
      </c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 t="s">
        <v>72</v>
      </c>
      <c r="W749" s="112" t="s">
        <v>73</v>
      </c>
    </row>
    <row r="750" ht="49.5" customHeight="1">
      <c r="A750" s="110" t="s">
        <v>2968</v>
      </c>
      <c r="B750" s="110" t="s">
        <v>2969</v>
      </c>
      <c r="C750" s="110" t="s">
        <v>2970</v>
      </c>
      <c r="D750" s="110"/>
      <c r="E750" s="111" t="s">
        <v>2971</v>
      </c>
      <c r="F750" s="111" t="s">
        <v>2972</v>
      </c>
      <c r="G750" s="110" t="s">
        <v>2972</v>
      </c>
      <c r="H750" s="113">
        <v>30.0</v>
      </c>
      <c r="I750" s="110" t="s">
        <v>70</v>
      </c>
      <c r="J750" s="112">
        <v>6690.0</v>
      </c>
      <c r="K750" s="113" t="s">
        <v>71</v>
      </c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 t="s">
        <v>72</v>
      </c>
      <c r="W750" s="112" t="s">
        <v>73</v>
      </c>
    </row>
    <row r="751" ht="49.5" customHeight="1">
      <c r="A751" s="110" t="s">
        <v>2973</v>
      </c>
      <c r="B751" s="110" t="s">
        <v>2974</v>
      </c>
      <c r="C751" s="110" t="s">
        <v>2975</v>
      </c>
      <c r="D751" s="110"/>
      <c r="E751" s="111" t="s">
        <v>2976</v>
      </c>
      <c r="F751" s="111" t="s">
        <v>2977</v>
      </c>
      <c r="G751" s="110" t="s">
        <v>90</v>
      </c>
      <c r="H751" s="113">
        <v>30.0</v>
      </c>
      <c r="I751" s="110" t="s">
        <v>70</v>
      </c>
      <c r="J751" s="112">
        <v>10790.0</v>
      </c>
      <c r="K751" s="113" t="s">
        <v>71</v>
      </c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 t="s">
        <v>72</v>
      </c>
      <c r="W751" s="112" t="s">
        <v>73</v>
      </c>
    </row>
    <row r="752" ht="49.5" customHeight="1">
      <c r="A752" s="110" t="s">
        <v>2978</v>
      </c>
      <c r="B752" s="110" t="s">
        <v>2979</v>
      </c>
      <c r="C752" s="110" t="s">
        <v>2980</v>
      </c>
      <c r="D752" s="110"/>
      <c r="E752" s="111" t="s">
        <v>2981</v>
      </c>
      <c r="F752" s="111" t="s">
        <v>2982</v>
      </c>
      <c r="G752" s="110" t="s">
        <v>79</v>
      </c>
      <c r="H752" s="113">
        <v>30.0</v>
      </c>
      <c r="I752" s="110" t="s">
        <v>70</v>
      </c>
      <c r="J752" s="112">
        <v>49590.0</v>
      </c>
      <c r="K752" s="113" t="s">
        <v>71</v>
      </c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 t="s">
        <v>72</v>
      </c>
      <c r="W752" s="112" t="s">
        <v>73</v>
      </c>
    </row>
    <row r="753" ht="49.5" customHeight="1">
      <c r="A753" s="110" t="s">
        <v>2983</v>
      </c>
      <c r="B753" s="110" t="s">
        <v>2984</v>
      </c>
      <c r="C753" s="110" t="s">
        <v>2985</v>
      </c>
      <c r="D753" s="110"/>
      <c r="E753" s="111" t="s">
        <v>2986</v>
      </c>
      <c r="F753" s="111" t="s">
        <v>2987</v>
      </c>
      <c r="G753" s="110" t="s">
        <v>79</v>
      </c>
      <c r="H753" s="113">
        <v>30.0</v>
      </c>
      <c r="I753" s="110" t="s">
        <v>70</v>
      </c>
      <c r="J753" s="112">
        <v>32890.0</v>
      </c>
      <c r="K753" s="113" t="s">
        <v>71</v>
      </c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 t="s">
        <v>72</v>
      </c>
      <c r="W753" s="112" t="s">
        <v>73</v>
      </c>
    </row>
    <row r="754" ht="49.5" customHeight="1">
      <c r="A754" s="110" t="s">
        <v>2988</v>
      </c>
      <c r="B754" s="110" t="s">
        <v>2989</v>
      </c>
      <c r="C754" s="110" t="s">
        <v>2990</v>
      </c>
      <c r="D754" s="110"/>
      <c r="E754" s="111" t="s">
        <v>2991</v>
      </c>
      <c r="F754" s="111" t="s">
        <v>2992</v>
      </c>
      <c r="G754" s="110" t="s">
        <v>2992</v>
      </c>
      <c r="H754" s="113">
        <v>10.0</v>
      </c>
      <c r="I754" s="110" t="s">
        <v>70</v>
      </c>
      <c r="J754" s="112">
        <v>28090.0</v>
      </c>
      <c r="K754" s="113" t="s">
        <v>71</v>
      </c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 t="s">
        <v>72</v>
      </c>
      <c r="W754" s="112" t="s">
        <v>73</v>
      </c>
    </row>
    <row r="755" ht="49.5" customHeight="1">
      <c r="A755" s="110" t="s">
        <v>2993</v>
      </c>
      <c r="B755" s="110" t="s">
        <v>2994</v>
      </c>
      <c r="C755" s="110" t="s">
        <v>2995</v>
      </c>
      <c r="D755" s="110"/>
      <c r="E755" s="111" t="s">
        <v>2996</v>
      </c>
      <c r="F755" s="111" t="s">
        <v>2997</v>
      </c>
      <c r="G755" s="110" t="s">
        <v>2998</v>
      </c>
      <c r="H755" s="113">
        <v>30.0</v>
      </c>
      <c r="I755" s="110" t="s">
        <v>70</v>
      </c>
      <c r="J755" s="112">
        <v>7690.0</v>
      </c>
      <c r="K755" s="113" t="s">
        <v>71</v>
      </c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 t="s">
        <v>72</v>
      </c>
      <c r="W755" s="112" t="s">
        <v>73</v>
      </c>
    </row>
    <row r="756" ht="49.5" customHeight="1">
      <c r="A756" s="110" t="s">
        <v>2999</v>
      </c>
      <c r="B756" s="110" t="s">
        <v>3000</v>
      </c>
      <c r="C756" s="110" t="s">
        <v>3001</v>
      </c>
      <c r="D756" s="110"/>
      <c r="E756" s="111" t="s">
        <v>3002</v>
      </c>
      <c r="F756" s="111" t="s">
        <v>3003</v>
      </c>
      <c r="G756" s="110" t="s">
        <v>3003</v>
      </c>
      <c r="H756" s="113">
        <v>30.0</v>
      </c>
      <c r="I756" s="110" t="s">
        <v>70</v>
      </c>
      <c r="J756" s="112">
        <v>12790.0</v>
      </c>
      <c r="K756" s="113" t="s">
        <v>71</v>
      </c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 t="s">
        <v>72</v>
      </c>
      <c r="W756" s="112" t="s">
        <v>73</v>
      </c>
    </row>
    <row r="757" ht="49.5" customHeight="1">
      <c r="A757" s="110" t="s">
        <v>3004</v>
      </c>
      <c r="B757" s="110" t="s">
        <v>3005</v>
      </c>
      <c r="C757" s="110" t="s">
        <v>3006</v>
      </c>
      <c r="D757" s="110"/>
      <c r="E757" s="111" t="s">
        <v>3007</v>
      </c>
      <c r="F757" s="111" t="s">
        <v>3008</v>
      </c>
      <c r="G757" s="110" t="s">
        <v>3008</v>
      </c>
      <c r="H757" s="113">
        <v>30.0</v>
      </c>
      <c r="I757" s="110" t="s">
        <v>70</v>
      </c>
      <c r="J757" s="112">
        <v>30790.0</v>
      </c>
      <c r="K757" s="113" t="s">
        <v>71</v>
      </c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 t="s">
        <v>72</v>
      </c>
      <c r="W757" s="112" t="s">
        <v>73</v>
      </c>
    </row>
    <row r="758" ht="49.5" customHeight="1">
      <c r="A758" s="110" t="s">
        <v>3009</v>
      </c>
      <c r="B758" s="110" t="s">
        <v>3010</v>
      </c>
      <c r="C758" s="110" t="s">
        <v>3011</v>
      </c>
      <c r="D758" s="110"/>
      <c r="E758" s="111" t="s">
        <v>3012</v>
      </c>
      <c r="F758" s="111" t="s">
        <v>3013</v>
      </c>
      <c r="G758" s="110" t="s">
        <v>3013</v>
      </c>
      <c r="H758" s="113">
        <v>30.0</v>
      </c>
      <c r="I758" s="110" t="s">
        <v>70</v>
      </c>
      <c r="J758" s="112">
        <v>18790.0</v>
      </c>
      <c r="K758" s="113" t="s">
        <v>71</v>
      </c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 t="s">
        <v>72</v>
      </c>
      <c r="W758" s="112" t="s">
        <v>73</v>
      </c>
    </row>
    <row r="759" ht="49.5" customHeight="1">
      <c r="A759" s="110" t="s">
        <v>63</v>
      </c>
      <c r="B759" s="110" t="s">
        <v>3014</v>
      </c>
      <c r="C759" s="110"/>
      <c r="D759" s="110"/>
      <c r="E759" s="112" t="s">
        <v>63</v>
      </c>
      <c r="F759" s="111" t="s">
        <v>3015</v>
      </c>
      <c r="G759" s="110" t="s">
        <v>70</v>
      </c>
      <c r="H759" s="110" t="s">
        <v>1299</v>
      </c>
      <c r="I759" s="110" t="s">
        <v>70</v>
      </c>
      <c r="J759" s="112">
        <v>233790.0</v>
      </c>
      <c r="K759" s="113" t="s">
        <v>71</v>
      </c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 t="s">
        <v>72</v>
      </c>
      <c r="W759" s="112" t="s">
        <v>73</v>
      </c>
    </row>
    <row r="760" ht="49.5" customHeight="1">
      <c r="A760" s="110" t="s">
        <v>63</v>
      </c>
      <c r="B760" s="110" t="s">
        <v>3014</v>
      </c>
      <c r="C760" s="110" t="s">
        <v>3016</v>
      </c>
      <c r="D760" s="110" t="s">
        <v>3016</v>
      </c>
      <c r="E760" s="111" t="s">
        <v>3017</v>
      </c>
      <c r="F760" s="114" t="str">
        <f>"     "&amp;F759</f>
        <v>     Short Dama Liso X 50 Unidades</v>
      </c>
      <c r="G760" s="110" t="s">
        <v>2757</v>
      </c>
      <c r="H760" s="113">
        <v>10.0</v>
      </c>
      <c r="I760" s="110" t="s">
        <v>70</v>
      </c>
      <c r="J760" s="112">
        <f>J759</f>
        <v>233790</v>
      </c>
      <c r="K760" s="110" t="str">
        <f>K759&amp;"     "</f>
        <v>$     </v>
      </c>
      <c r="L760" s="110" t="str">
        <f t="shared" ref="L760:U760" si="581">L759</f>
        <v/>
      </c>
      <c r="M760" s="110" t="str">
        <f t="shared" si="581"/>
        <v/>
      </c>
      <c r="N760" s="110" t="str">
        <f t="shared" si="581"/>
        <v/>
      </c>
      <c r="O760" s="110" t="str">
        <f t="shared" si="581"/>
        <v/>
      </c>
      <c r="P760" s="110" t="str">
        <f t="shared" si="581"/>
        <v/>
      </c>
      <c r="Q760" s="110" t="str">
        <f t="shared" si="581"/>
        <v/>
      </c>
      <c r="R760" s="110" t="str">
        <f t="shared" si="581"/>
        <v/>
      </c>
      <c r="S760" s="110" t="str">
        <f t="shared" si="581"/>
        <v/>
      </c>
      <c r="T760" s="110" t="str">
        <f t="shared" si="581"/>
        <v/>
      </c>
      <c r="U760" s="110" t="str">
        <f t="shared" si="581"/>
        <v/>
      </c>
      <c r="V760" s="110" t="str">
        <f t="shared" ref="V760:W760" si="582">V759&amp;"     "</f>
        <v>Nuevo     </v>
      </c>
      <c r="W760" s="112" t="str">
        <f t="shared" si="582"/>
        <v>Activa     </v>
      </c>
    </row>
    <row r="761" ht="49.5" customHeight="1">
      <c r="A761" s="110" t="s">
        <v>63</v>
      </c>
      <c r="B761" s="110" t="s">
        <v>3014</v>
      </c>
      <c r="C761" s="110" t="s">
        <v>3018</v>
      </c>
      <c r="D761" s="110" t="s">
        <v>3018</v>
      </c>
      <c r="E761" s="111" t="s">
        <v>3019</v>
      </c>
      <c r="F761" s="114" t="str">
        <f>"     "&amp;F759</f>
        <v>     Short Dama Liso X 50 Unidades</v>
      </c>
      <c r="G761" s="110" t="s">
        <v>2760</v>
      </c>
      <c r="H761" s="113">
        <v>10.0</v>
      </c>
      <c r="I761" s="110" t="s">
        <v>70</v>
      </c>
      <c r="J761" s="112">
        <f>J759</f>
        <v>233790</v>
      </c>
      <c r="K761" s="110" t="str">
        <f>K759&amp;"     "</f>
        <v>$     </v>
      </c>
      <c r="L761" s="110" t="str">
        <f t="shared" ref="L761:U761" si="583">L759</f>
        <v/>
      </c>
      <c r="M761" s="110" t="str">
        <f t="shared" si="583"/>
        <v/>
      </c>
      <c r="N761" s="110" t="str">
        <f t="shared" si="583"/>
        <v/>
      </c>
      <c r="O761" s="110" t="str">
        <f t="shared" si="583"/>
        <v/>
      </c>
      <c r="P761" s="110" t="str">
        <f t="shared" si="583"/>
        <v/>
      </c>
      <c r="Q761" s="110" t="str">
        <f t="shared" si="583"/>
        <v/>
      </c>
      <c r="R761" s="110" t="str">
        <f t="shared" si="583"/>
        <v/>
      </c>
      <c r="S761" s="110" t="str">
        <f t="shared" si="583"/>
        <v/>
      </c>
      <c r="T761" s="110" t="str">
        <f t="shared" si="583"/>
        <v/>
      </c>
      <c r="U761" s="110" t="str">
        <f t="shared" si="583"/>
        <v/>
      </c>
      <c r="V761" s="110" t="str">
        <f t="shared" ref="V761:W761" si="584">V759&amp;"     "</f>
        <v>Nuevo     </v>
      </c>
      <c r="W761" s="112" t="str">
        <f t="shared" si="584"/>
        <v>Activa     </v>
      </c>
    </row>
    <row r="762" ht="49.5" customHeight="1">
      <c r="A762" s="110" t="s">
        <v>63</v>
      </c>
      <c r="B762" s="110" t="s">
        <v>3014</v>
      </c>
      <c r="C762" s="110" t="s">
        <v>3020</v>
      </c>
      <c r="D762" s="110" t="s">
        <v>3020</v>
      </c>
      <c r="E762" s="111" t="s">
        <v>2756</v>
      </c>
      <c r="F762" s="114" t="str">
        <f>"     "&amp;F759</f>
        <v>     Short Dama Liso X 50 Unidades</v>
      </c>
      <c r="G762" s="110" t="s">
        <v>2763</v>
      </c>
      <c r="H762" s="113">
        <v>10.0</v>
      </c>
      <c r="I762" s="110" t="s">
        <v>70</v>
      </c>
      <c r="J762" s="112">
        <f>J759</f>
        <v>233790</v>
      </c>
      <c r="K762" s="110" t="str">
        <f>K759&amp;"     "</f>
        <v>$     </v>
      </c>
      <c r="L762" s="110" t="str">
        <f t="shared" ref="L762:U762" si="585">L759</f>
        <v/>
      </c>
      <c r="M762" s="110" t="str">
        <f t="shared" si="585"/>
        <v/>
      </c>
      <c r="N762" s="110" t="str">
        <f t="shared" si="585"/>
        <v/>
      </c>
      <c r="O762" s="110" t="str">
        <f t="shared" si="585"/>
        <v/>
      </c>
      <c r="P762" s="110" t="str">
        <f t="shared" si="585"/>
        <v/>
      </c>
      <c r="Q762" s="110" t="str">
        <f t="shared" si="585"/>
        <v/>
      </c>
      <c r="R762" s="110" t="str">
        <f t="shared" si="585"/>
        <v/>
      </c>
      <c r="S762" s="110" t="str">
        <f t="shared" si="585"/>
        <v/>
      </c>
      <c r="T762" s="110" t="str">
        <f t="shared" si="585"/>
        <v/>
      </c>
      <c r="U762" s="110" t="str">
        <f t="shared" si="585"/>
        <v/>
      </c>
      <c r="V762" s="110" t="str">
        <f t="shared" ref="V762:W762" si="586">V759&amp;"     "</f>
        <v>Nuevo     </v>
      </c>
      <c r="W762" s="112" t="str">
        <f t="shared" si="586"/>
        <v>Activa     </v>
      </c>
    </row>
    <row r="763" ht="49.5" customHeight="1">
      <c r="A763" s="110" t="s">
        <v>63</v>
      </c>
      <c r="B763" s="110" t="s">
        <v>3014</v>
      </c>
      <c r="C763" s="110" t="s">
        <v>3021</v>
      </c>
      <c r="D763" s="110" t="s">
        <v>3021</v>
      </c>
      <c r="E763" s="111" t="s">
        <v>2759</v>
      </c>
      <c r="F763" s="114" t="str">
        <f>"     "&amp;F759</f>
        <v>     Short Dama Liso X 50 Unidades</v>
      </c>
      <c r="G763" s="110" t="s">
        <v>2766</v>
      </c>
      <c r="H763" s="113">
        <v>10.0</v>
      </c>
      <c r="I763" s="110" t="s">
        <v>70</v>
      </c>
      <c r="J763" s="112">
        <f>J759</f>
        <v>233790</v>
      </c>
      <c r="K763" s="110" t="str">
        <f>K759&amp;"     "</f>
        <v>$     </v>
      </c>
      <c r="L763" s="110" t="str">
        <f t="shared" ref="L763:U763" si="587">L759</f>
        <v/>
      </c>
      <c r="M763" s="110" t="str">
        <f t="shared" si="587"/>
        <v/>
      </c>
      <c r="N763" s="110" t="str">
        <f t="shared" si="587"/>
        <v/>
      </c>
      <c r="O763" s="110" t="str">
        <f t="shared" si="587"/>
        <v/>
      </c>
      <c r="P763" s="110" t="str">
        <f t="shared" si="587"/>
        <v/>
      </c>
      <c r="Q763" s="110" t="str">
        <f t="shared" si="587"/>
        <v/>
      </c>
      <c r="R763" s="110" t="str">
        <f t="shared" si="587"/>
        <v/>
      </c>
      <c r="S763" s="110" t="str">
        <f t="shared" si="587"/>
        <v/>
      </c>
      <c r="T763" s="110" t="str">
        <f t="shared" si="587"/>
        <v/>
      </c>
      <c r="U763" s="110" t="str">
        <f t="shared" si="587"/>
        <v/>
      </c>
      <c r="V763" s="110" t="str">
        <f t="shared" ref="V763:W763" si="588">V759&amp;"     "</f>
        <v>Nuevo     </v>
      </c>
      <c r="W763" s="112" t="str">
        <f t="shared" si="588"/>
        <v>Activa     </v>
      </c>
    </row>
    <row r="764" ht="49.5" customHeight="1">
      <c r="A764" s="110" t="s">
        <v>63</v>
      </c>
      <c r="B764" s="110" t="s">
        <v>3014</v>
      </c>
      <c r="C764" s="110" t="s">
        <v>3022</v>
      </c>
      <c r="D764" s="110" t="s">
        <v>3022</v>
      </c>
      <c r="E764" s="111" t="s">
        <v>2762</v>
      </c>
      <c r="F764" s="114" t="str">
        <f>"     "&amp;F759</f>
        <v>     Short Dama Liso X 50 Unidades</v>
      </c>
      <c r="G764" s="110" t="s">
        <v>2769</v>
      </c>
      <c r="H764" s="113">
        <v>10.0</v>
      </c>
      <c r="I764" s="110" t="s">
        <v>70</v>
      </c>
      <c r="J764" s="112">
        <f>J759</f>
        <v>233790</v>
      </c>
      <c r="K764" s="110" t="str">
        <f>K759&amp;"     "</f>
        <v>$     </v>
      </c>
      <c r="L764" s="110" t="str">
        <f t="shared" ref="L764:U764" si="589">L759</f>
        <v/>
      </c>
      <c r="M764" s="110" t="str">
        <f t="shared" si="589"/>
        <v/>
      </c>
      <c r="N764" s="110" t="str">
        <f t="shared" si="589"/>
        <v/>
      </c>
      <c r="O764" s="110" t="str">
        <f t="shared" si="589"/>
        <v/>
      </c>
      <c r="P764" s="110" t="str">
        <f t="shared" si="589"/>
        <v/>
      </c>
      <c r="Q764" s="110" t="str">
        <f t="shared" si="589"/>
        <v/>
      </c>
      <c r="R764" s="110" t="str">
        <f t="shared" si="589"/>
        <v/>
      </c>
      <c r="S764" s="110" t="str">
        <f t="shared" si="589"/>
        <v/>
      </c>
      <c r="T764" s="110" t="str">
        <f t="shared" si="589"/>
        <v/>
      </c>
      <c r="U764" s="110" t="str">
        <f t="shared" si="589"/>
        <v/>
      </c>
      <c r="V764" s="110" t="str">
        <f t="shared" ref="V764:W764" si="590">V759&amp;"     "</f>
        <v>Nuevo     </v>
      </c>
      <c r="W764" s="112" t="str">
        <f t="shared" si="590"/>
        <v>Activa     </v>
      </c>
    </row>
    <row r="765" ht="49.5" customHeight="1">
      <c r="A765" s="110" t="s">
        <v>63</v>
      </c>
      <c r="B765" s="110" t="s">
        <v>3014</v>
      </c>
      <c r="C765" s="110" t="s">
        <v>3023</v>
      </c>
      <c r="D765" s="110" t="s">
        <v>3023</v>
      </c>
      <c r="E765" s="111" t="s">
        <v>2765</v>
      </c>
      <c r="F765" s="114" t="str">
        <f>"     "&amp;F759</f>
        <v>     Short Dama Liso X 50 Unidades</v>
      </c>
      <c r="G765" s="110" t="s">
        <v>2772</v>
      </c>
      <c r="H765" s="113">
        <v>10.0</v>
      </c>
      <c r="I765" s="110" t="s">
        <v>70</v>
      </c>
      <c r="J765" s="112">
        <f>J759</f>
        <v>233790</v>
      </c>
      <c r="K765" s="110" t="str">
        <f>K759&amp;"     "</f>
        <v>$     </v>
      </c>
      <c r="L765" s="110" t="str">
        <f t="shared" ref="L765:U765" si="591">L759</f>
        <v/>
      </c>
      <c r="M765" s="110" t="str">
        <f t="shared" si="591"/>
        <v/>
      </c>
      <c r="N765" s="110" t="str">
        <f t="shared" si="591"/>
        <v/>
      </c>
      <c r="O765" s="110" t="str">
        <f t="shared" si="591"/>
        <v/>
      </c>
      <c r="P765" s="110" t="str">
        <f t="shared" si="591"/>
        <v/>
      </c>
      <c r="Q765" s="110" t="str">
        <f t="shared" si="591"/>
        <v/>
      </c>
      <c r="R765" s="110" t="str">
        <f t="shared" si="591"/>
        <v/>
      </c>
      <c r="S765" s="110" t="str">
        <f t="shared" si="591"/>
        <v/>
      </c>
      <c r="T765" s="110" t="str">
        <f t="shared" si="591"/>
        <v/>
      </c>
      <c r="U765" s="110" t="str">
        <f t="shared" si="591"/>
        <v/>
      </c>
      <c r="V765" s="110" t="str">
        <f t="shared" ref="V765:W765" si="592">V759&amp;"     "</f>
        <v>Nuevo     </v>
      </c>
      <c r="W765" s="112" t="str">
        <f t="shared" si="592"/>
        <v>Activa     </v>
      </c>
    </row>
    <row r="766" ht="49.5" customHeight="1">
      <c r="A766" s="110" t="s">
        <v>63</v>
      </c>
      <c r="B766" s="110" t="s">
        <v>3014</v>
      </c>
      <c r="C766" s="110" t="s">
        <v>3024</v>
      </c>
      <c r="D766" s="110" t="s">
        <v>3024</v>
      </c>
      <c r="E766" s="111" t="s">
        <v>2768</v>
      </c>
      <c r="F766" s="114" t="str">
        <f>"     "&amp;F759</f>
        <v>     Short Dama Liso X 50 Unidades</v>
      </c>
      <c r="G766" s="110" t="s">
        <v>2775</v>
      </c>
      <c r="H766" s="113">
        <v>10.0</v>
      </c>
      <c r="I766" s="110" t="s">
        <v>70</v>
      </c>
      <c r="J766" s="112">
        <f>J759</f>
        <v>233790</v>
      </c>
      <c r="K766" s="110" t="str">
        <f>K759&amp;"     "</f>
        <v>$     </v>
      </c>
      <c r="L766" s="110" t="str">
        <f t="shared" ref="L766:U766" si="593">L759</f>
        <v/>
      </c>
      <c r="M766" s="110" t="str">
        <f t="shared" si="593"/>
        <v/>
      </c>
      <c r="N766" s="110" t="str">
        <f t="shared" si="593"/>
        <v/>
      </c>
      <c r="O766" s="110" t="str">
        <f t="shared" si="593"/>
        <v/>
      </c>
      <c r="P766" s="110" t="str">
        <f t="shared" si="593"/>
        <v/>
      </c>
      <c r="Q766" s="110" t="str">
        <f t="shared" si="593"/>
        <v/>
      </c>
      <c r="R766" s="110" t="str">
        <f t="shared" si="593"/>
        <v/>
      </c>
      <c r="S766" s="110" t="str">
        <f t="shared" si="593"/>
        <v/>
      </c>
      <c r="T766" s="110" t="str">
        <f t="shared" si="593"/>
        <v/>
      </c>
      <c r="U766" s="110" t="str">
        <f t="shared" si="593"/>
        <v/>
      </c>
      <c r="V766" s="110" t="str">
        <f t="shared" ref="V766:W766" si="594">V759&amp;"     "</f>
        <v>Nuevo     </v>
      </c>
      <c r="W766" s="112" t="str">
        <f t="shared" si="594"/>
        <v>Activa     </v>
      </c>
    </row>
    <row r="767" ht="49.5" customHeight="1">
      <c r="A767" s="110" t="s">
        <v>63</v>
      </c>
      <c r="B767" s="110" t="s">
        <v>3014</v>
      </c>
      <c r="C767" s="110" t="s">
        <v>3025</v>
      </c>
      <c r="D767" s="110" t="s">
        <v>3025</v>
      </c>
      <c r="E767" s="111" t="s">
        <v>2771</v>
      </c>
      <c r="F767" s="114" t="str">
        <f>"     "&amp;F759</f>
        <v>     Short Dama Liso X 50 Unidades</v>
      </c>
      <c r="G767" s="110" t="s">
        <v>2778</v>
      </c>
      <c r="H767" s="113">
        <v>10.0</v>
      </c>
      <c r="I767" s="110" t="s">
        <v>70</v>
      </c>
      <c r="J767" s="112">
        <f>J759</f>
        <v>233790</v>
      </c>
      <c r="K767" s="110" t="str">
        <f>K759&amp;"     "</f>
        <v>$     </v>
      </c>
      <c r="L767" s="110" t="str">
        <f t="shared" ref="L767:U767" si="595">L759</f>
        <v/>
      </c>
      <c r="M767" s="110" t="str">
        <f t="shared" si="595"/>
        <v/>
      </c>
      <c r="N767" s="110" t="str">
        <f t="shared" si="595"/>
        <v/>
      </c>
      <c r="O767" s="110" t="str">
        <f t="shared" si="595"/>
        <v/>
      </c>
      <c r="P767" s="110" t="str">
        <f t="shared" si="595"/>
        <v/>
      </c>
      <c r="Q767" s="110" t="str">
        <f t="shared" si="595"/>
        <v/>
      </c>
      <c r="R767" s="110" t="str">
        <f t="shared" si="595"/>
        <v/>
      </c>
      <c r="S767" s="110" t="str">
        <f t="shared" si="595"/>
        <v/>
      </c>
      <c r="T767" s="110" t="str">
        <f t="shared" si="595"/>
        <v/>
      </c>
      <c r="U767" s="110" t="str">
        <f t="shared" si="595"/>
        <v/>
      </c>
      <c r="V767" s="110" t="str">
        <f t="shared" ref="V767:W767" si="596">V759&amp;"     "</f>
        <v>Nuevo     </v>
      </c>
      <c r="W767" s="112" t="str">
        <f t="shared" si="596"/>
        <v>Activa     </v>
      </c>
    </row>
    <row r="768" ht="49.5" customHeight="1">
      <c r="A768" s="110" t="s">
        <v>63</v>
      </c>
      <c r="B768" s="110" t="s">
        <v>3014</v>
      </c>
      <c r="C768" s="110" t="s">
        <v>3026</v>
      </c>
      <c r="D768" s="110" t="s">
        <v>3026</v>
      </c>
      <c r="E768" s="111" t="s">
        <v>2774</v>
      </c>
      <c r="F768" s="114" t="str">
        <f>"     "&amp;F759</f>
        <v>     Short Dama Liso X 50 Unidades</v>
      </c>
      <c r="G768" s="110" t="s">
        <v>2781</v>
      </c>
      <c r="H768" s="113">
        <v>10.0</v>
      </c>
      <c r="I768" s="110" t="s">
        <v>70</v>
      </c>
      <c r="J768" s="112">
        <f>J759</f>
        <v>233790</v>
      </c>
      <c r="K768" s="110" t="str">
        <f>K759&amp;"     "</f>
        <v>$     </v>
      </c>
      <c r="L768" s="110" t="str">
        <f t="shared" ref="L768:U768" si="597">L759</f>
        <v/>
      </c>
      <c r="M768" s="110" t="str">
        <f t="shared" si="597"/>
        <v/>
      </c>
      <c r="N768" s="110" t="str">
        <f t="shared" si="597"/>
        <v/>
      </c>
      <c r="O768" s="110" t="str">
        <f t="shared" si="597"/>
        <v/>
      </c>
      <c r="P768" s="110" t="str">
        <f t="shared" si="597"/>
        <v/>
      </c>
      <c r="Q768" s="110" t="str">
        <f t="shared" si="597"/>
        <v/>
      </c>
      <c r="R768" s="110" t="str">
        <f t="shared" si="597"/>
        <v/>
      </c>
      <c r="S768" s="110" t="str">
        <f t="shared" si="597"/>
        <v/>
      </c>
      <c r="T768" s="110" t="str">
        <f t="shared" si="597"/>
        <v/>
      </c>
      <c r="U768" s="110" t="str">
        <f t="shared" si="597"/>
        <v/>
      </c>
      <c r="V768" s="110" t="str">
        <f t="shared" ref="V768:W768" si="598">V759&amp;"     "</f>
        <v>Nuevo     </v>
      </c>
      <c r="W768" s="112" t="str">
        <f t="shared" si="598"/>
        <v>Activa     </v>
      </c>
    </row>
    <row r="769" ht="49.5" customHeight="1">
      <c r="A769" s="110" t="s">
        <v>63</v>
      </c>
      <c r="B769" s="110" t="s">
        <v>3014</v>
      </c>
      <c r="C769" s="110" t="s">
        <v>3027</v>
      </c>
      <c r="D769" s="110" t="s">
        <v>3027</v>
      </c>
      <c r="E769" s="111" t="s">
        <v>2777</v>
      </c>
      <c r="F769" s="114" t="str">
        <f>"     "&amp;F759</f>
        <v>     Short Dama Liso X 50 Unidades</v>
      </c>
      <c r="G769" s="110" t="s">
        <v>2784</v>
      </c>
      <c r="H769" s="113">
        <v>10.0</v>
      </c>
      <c r="I769" s="110" t="s">
        <v>70</v>
      </c>
      <c r="J769" s="112">
        <f>J759</f>
        <v>233790</v>
      </c>
      <c r="K769" s="110" t="str">
        <f>K759&amp;"     "</f>
        <v>$     </v>
      </c>
      <c r="L769" s="110" t="str">
        <f t="shared" ref="L769:U769" si="599">L759</f>
        <v/>
      </c>
      <c r="M769" s="110" t="str">
        <f t="shared" si="599"/>
        <v/>
      </c>
      <c r="N769" s="110" t="str">
        <f t="shared" si="599"/>
        <v/>
      </c>
      <c r="O769" s="110" t="str">
        <f t="shared" si="599"/>
        <v/>
      </c>
      <c r="P769" s="110" t="str">
        <f t="shared" si="599"/>
        <v/>
      </c>
      <c r="Q769" s="110" t="str">
        <f t="shared" si="599"/>
        <v/>
      </c>
      <c r="R769" s="110" t="str">
        <f t="shared" si="599"/>
        <v/>
      </c>
      <c r="S769" s="110" t="str">
        <f t="shared" si="599"/>
        <v/>
      </c>
      <c r="T769" s="110" t="str">
        <f t="shared" si="599"/>
        <v/>
      </c>
      <c r="U769" s="110" t="str">
        <f t="shared" si="599"/>
        <v/>
      </c>
      <c r="V769" s="110" t="str">
        <f t="shared" ref="V769:W769" si="600">V759&amp;"     "</f>
        <v>Nuevo     </v>
      </c>
      <c r="W769" s="112" t="str">
        <f t="shared" si="600"/>
        <v>Activa     </v>
      </c>
    </row>
    <row r="770" ht="49.5" customHeight="1">
      <c r="A770" s="110" t="s">
        <v>63</v>
      </c>
      <c r="B770" s="110" t="s">
        <v>3014</v>
      </c>
      <c r="C770" s="110" t="s">
        <v>3028</v>
      </c>
      <c r="D770" s="110" t="s">
        <v>3028</v>
      </c>
      <c r="E770" s="111" t="s">
        <v>2780</v>
      </c>
      <c r="F770" s="114" t="str">
        <f>"     "&amp;F759</f>
        <v>     Short Dama Liso X 50 Unidades</v>
      </c>
      <c r="G770" s="110" t="s">
        <v>2787</v>
      </c>
      <c r="H770" s="113">
        <v>10.0</v>
      </c>
      <c r="I770" s="110" t="s">
        <v>70</v>
      </c>
      <c r="J770" s="112">
        <f>J759</f>
        <v>233790</v>
      </c>
      <c r="K770" s="110" t="str">
        <f>K759&amp;"     "</f>
        <v>$     </v>
      </c>
      <c r="L770" s="110" t="str">
        <f t="shared" ref="L770:U770" si="601">L759</f>
        <v/>
      </c>
      <c r="M770" s="110" t="str">
        <f t="shared" si="601"/>
        <v/>
      </c>
      <c r="N770" s="110" t="str">
        <f t="shared" si="601"/>
        <v/>
      </c>
      <c r="O770" s="110" t="str">
        <f t="shared" si="601"/>
        <v/>
      </c>
      <c r="P770" s="110" t="str">
        <f t="shared" si="601"/>
        <v/>
      </c>
      <c r="Q770" s="110" t="str">
        <f t="shared" si="601"/>
        <v/>
      </c>
      <c r="R770" s="110" t="str">
        <f t="shared" si="601"/>
        <v/>
      </c>
      <c r="S770" s="110" t="str">
        <f t="shared" si="601"/>
        <v/>
      </c>
      <c r="T770" s="110" t="str">
        <f t="shared" si="601"/>
        <v/>
      </c>
      <c r="U770" s="110" t="str">
        <f t="shared" si="601"/>
        <v/>
      </c>
      <c r="V770" s="110" t="str">
        <f t="shared" ref="V770:W770" si="602">V759&amp;"     "</f>
        <v>Nuevo     </v>
      </c>
      <c r="W770" s="112" t="str">
        <f t="shared" si="602"/>
        <v>Activa     </v>
      </c>
    </row>
    <row r="771" ht="49.5" customHeight="1">
      <c r="A771" s="110" t="s">
        <v>63</v>
      </c>
      <c r="B771" s="110" t="s">
        <v>3014</v>
      </c>
      <c r="C771" s="110" t="s">
        <v>3029</v>
      </c>
      <c r="D771" s="110" t="s">
        <v>3029</v>
      </c>
      <c r="E771" s="111" t="s">
        <v>2783</v>
      </c>
      <c r="F771" s="114" t="str">
        <f>"     "&amp;F759</f>
        <v>     Short Dama Liso X 50 Unidades</v>
      </c>
      <c r="G771" s="110" t="s">
        <v>2790</v>
      </c>
      <c r="H771" s="113">
        <v>10.0</v>
      </c>
      <c r="I771" s="110" t="s">
        <v>70</v>
      </c>
      <c r="J771" s="112">
        <f>J759</f>
        <v>233790</v>
      </c>
      <c r="K771" s="110" t="str">
        <f>K759&amp;"     "</f>
        <v>$     </v>
      </c>
      <c r="L771" s="110" t="str">
        <f t="shared" ref="L771:U771" si="603">L759</f>
        <v/>
      </c>
      <c r="M771" s="110" t="str">
        <f t="shared" si="603"/>
        <v/>
      </c>
      <c r="N771" s="110" t="str">
        <f t="shared" si="603"/>
        <v/>
      </c>
      <c r="O771" s="110" t="str">
        <f t="shared" si="603"/>
        <v/>
      </c>
      <c r="P771" s="110" t="str">
        <f t="shared" si="603"/>
        <v/>
      </c>
      <c r="Q771" s="110" t="str">
        <f t="shared" si="603"/>
        <v/>
      </c>
      <c r="R771" s="110" t="str">
        <f t="shared" si="603"/>
        <v/>
      </c>
      <c r="S771" s="110" t="str">
        <f t="shared" si="603"/>
        <v/>
      </c>
      <c r="T771" s="110" t="str">
        <f t="shared" si="603"/>
        <v/>
      </c>
      <c r="U771" s="110" t="str">
        <f t="shared" si="603"/>
        <v/>
      </c>
      <c r="V771" s="110" t="str">
        <f t="shared" ref="V771:W771" si="604">V759&amp;"     "</f>
        <v>Nuevo     </v>
      </c>
      <c r="W771" s="112" t="str">
        <f t="shared" si="604"/>
        <v>Activa     </v>
      </c>
    </row>
    <row r="772" ht="49.5" customHeight="1">
      <c r="A772" s="110" t="s">
        <v>63</v>
      </c>
      <c r="B772" s="110" t="s">
        <v>3030</v>
      </c>
      <c r="C772" s="110"/>
      <c r="D772" s="110"/>
      <c r="E772" s="112" t="s">
        <v>63</v>
      </c>
      <c r="F772" s="111" t="s">
        <v>3031</v>
      </c>
      <c r="G772" s="110" t="s">
        <v>70</v>
      </c>
      <c r="H772" s="110" t="s">
        <v>666</v>
      </c>
      <c r="I772" s="110" t="s">
        <v>70</v>
      </c>
      <c r="J772" s="112">
        <v>7190.0</v>
      </c>
      <c r="K772" s="113" t="s">
        <v>71</v>
      </c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 t="s">
        <v>72</v>
      </c>
      <c r="W772" s="112" t="s">
        <v>73</v>
      </c>
    </row>
    <row r="773" ht="49.5" customHeight="1">
      <c r="A773" s="110" t="s">
        <v>63</v>
      </c>
      <c r="B773" s="110" t="s">
        <v>3030</v>
      </c>
      <c r="C773" s="110" t="s">
        <v>3032</v>
      </c>
      <c r="D773" s="110" t="s">
        <v>3032</v>
      </c>
      <c r="E773" s="111" t="s">
        <v>3033</v>
      </c>
      <c r="F773" s="114" t="str">
        <f>"     "&amp;F772</f>
        <v>     Short Dama Liso Azulino</v>
      </c>
      <c r="G773" s="110" t="s">
        <v>2757</v>
      </c>
      <c r="H773" s="113">
        <v>10.0</v>
      </c>
      <c r="I773" s="110" t="s">
        <v>70</v>
      </c>
      <c r="J773" s="112">
        <f>J772</f>
        <v>7190</v>
      </c>
      <c r="K773" s="110" t="str">
        <f>K772&amp;"     "</f>
        <v>$     </v>
      </c>
      <c r="L773" s="110" t="str">
        <f t="shared" ref="L773:U773" si="605">L772</f>
        <v/>
      </c>
      <c r="M773" s="110" t="str">
        <f t="shared" si="605"/>
        <v/>
      </c>
      <c r="N773" s="110" t="str">
        <f t="shared" si="605"/>
        <v/>
      </c>
      <c r="O773" s="110" t="str">
        <f t="shared" si="605"/>
        <v/>
      </c>
      <c r="P773" s="110" t="str">
        <f t="shared" si="605"/>
        <v/>
      </c>
      <c r="Q773" s="110" t="str">
        <f t="shared" si="605"/>
        <v/>
      </c>
      <c r="R773" s="110" t="str">
        <f t="shared" si="605"/>
        <v/>
      </c>
      <c r="S773" s="110" t="str">
        <f t="shared" si="605"/>
        <v/>
      </c>
      <c r="T773" s="110" t="str">
        <f t="shared" si="605"/>
        <v/>
      </c>
      <c r="U773" s="110" t="str">
        <f t="shared" si="605"/>
        <v/>
      </c>
      <c r="V773" s="110" t="str">
        <f t="shared" ref="V773:W773" si="606">V772&amp;"     "</f>
        <v>Nuevo     </v>
      </c>
      <c r="W773" s="112" t="str">
        <f t="shared" si="606"/>
        <v>Activa     </v>
      </c>
    </row>
    <row r="774" ht="49.5" customHeight="1">
      <c r="A774" s="110" t="s">
        <v>63</v>
      </c>
      <c r="B774" s="110" t="s">
        <v>3030</v>
      </c>
      <c r="C774" s="110" t="s">
        <v>3034</v>
      </c>
      <c r="D774" s="110" t="s">
        <v>3034</v>
      </c>
      <c r="E774" s="111" t="s">
        <v>3035</v>
      </c>
      <c r="F774" s="114" t="str">
        <f>"     "&amp;F772</f>
        <v>     Short Dama Liso Azulino</v>
      </c>
      <c r="G774" s="110" t="s">
        <v>2760</v>
      </c>
      <c r="H774" s="113">
        <v>10.0</v>
      </c>
      <c r="I774" s="110" t="s">
        <v>70</v>
      </c>
      <c r="J774" s="112">
        <f>J772</f>
        <v>7190</v>
      </c>
      <c r="K774" s="110" t="str">
        <f>K772&amp;"     "</f>
        <v>$     </v>
      </c>
      <c r="L774" s="110" t="str">
        <f t="shared" ref="L774:U774" si="607">L772</f>
        <v/>
      </c>
      <c r="M774" s="110" t="str">
        <f t="shared" si="607"/>
        <v/>
      </c>
      <c r="N774" s="110" t="str">
        <f t="shared" si="607"/>
        <v/>
      </c>
      <c r="O774" s="110" t="str">
        <f t="shared" si="607"/>
        <v/>
      </c>
      <c r="P774" s="110" t="str">
        <f t="shared" si="607"/>
        <v/>
      </c>
      <c r="Q774" s="110" t="str">
        <f t="shared" si="607"/>
        <v/>
      </c>
      <c r="R774" s="110" t="str">
        <f t="shared" si="607"/>
        <v/>
      </c>
      <c r="S774" s="110" t="str">
        <f t="shared" si="607"/>
        <v/>
      </c>
      <c r="T774" s="110" t="str">
        <f t="shared" si="607"/>
        <v/>
      </c>
      <c r="U774" s="110" t="str">
        <f t="shared" si="607"/>
        <v/>
      </c>
      <c r="V774" s="110" t="str">
        <f t="shared" ref="V774:W774" si="608">V772&amp;"     "</f>
        <v>Nuevo     </v>
      </c>
      <c r="W774" s="112" t="str">
        <f t="shared" si="608"/>
        <v>Activa     </v>
      </c>
    </row>
    <row r="775" ht="49.5" customHeight="1">
      <c r="A775" s="110" t="s">
        <v>63</v>
      </c>
      <c r="B775" s="110" t="s">
        <v>3030</v>
      </c>
      <c r="C775" s="110" t="s">
        <v>3036</v>
      </c>
      <c r="D775" s="110" t="s">
        <v>3036</v>
      </c>
      <c r="E775" s="111" t="s">
        <v>3037</v>
      </c>
      <c r="F775" s="114" t="str">
        <f>"     "&amp;F772</f>
        <v>     Short Dama Liso Azulino</v>
      </c>
      <c r="G775" s="110" t="s">
        <v>2763</v>
      </c>
      <c r="H775" s="113">
        <v>10.0</v>
      </c>
      <c r="I775" s="110" t="s">
        <v>70</v>
      </c>
      <c r="J775" s="112">
        <f>J772</f>
        <v>7190</v>
      </c>
      <c r="K775" s="110" t="str">
        <f>K772&amp;"     "</f>
        <v>$     </v>
      </c>
      <c r="L775" s="110" t="str">
        <f t="shared" ref="L775:U775" si="609">L772</f>
        <v/>
      </c>
      <c r="M775" s="110" t="str">
        <f t="shared" si="609"/>
        <v/>
      </c>
      <c r="N775" s="110" t="str">
        <f t="shared" si="609"/>
        <v/>
      </c>
      <c r="O775" s="110" t="str">
        <f t="shared" si="609"/>
        <v/>
      </c>
      <c r="P775" s="110" t="str">
        <f t="shared" si="609"/>
        <v/>
      </c>
      <c r="Q775" s="110" t="str">
        <f t="shared" si="609"/>
        <v/>
      </c>
      <c r="R775" s="110" t="str">
        <f t="shared" si="609"/>
        <v/>
      </c>
      <c r="S775" s="110" t="str">
        <f t="shared" si="609"/>
        <v/>
      </c>
      <c r="T775" s="110" t="str">
        <f t="shared" si="609"/>
        <v/>
      </c>
      <c r="U775" s="110" t="str">
        <f t="shared" si="609"/>
        <v/>
      </c>
      <c r="V775" s="110" t="str">
        <f t="shared" ref="V775:W775" si="610">V772&amp;"     "</f>
        <v>Nuevo     </v>
      </c>
      <c r="W775" s="112" t="str">
        <f t="shared" si="610"/>
        <v>Activa     </v>
      </c>
    </row>
    <row r="776" ht="49.5" customHeight="1">
      <c r="A776" s="110" t="s">
        <v>63</v>
      </c>
      <c r="B776" s="110" t="s">
        <v>3030</v>
      </c>
      <c r="C776" s="110" t="s">
        <v>3038</v>
      </c>
      <c r="D776" s="110" t="s">
        <v>3038</v>
      </c>
      <c r="E776" s="111" t="s">
        <v>3039</v>
      </c>
      <c r="F776" s="114" t="str">
        <f>"     "&amp;F772</f>
        <v>     Short Dama Liso Azulino</v>
      </c>
      <c r="G776" s="110" t="s">
        <v>2766</v>
      </c>
      <c r="H776" s="113">
        <v>10.0</v>
      </c>
      <c r="I776" s="110" t="s">
        <v>70</v>
      </c>
      <c r="J776" s="112">
        <f>J772</f>
        <v>7190</v>
      </c>
      <c r="K776" s="110" t="str">
        <f>K772&amp;"     "</f>
        <v>$     </v>
      </c>
      <c r="L776" s="110" t="str">
        <f t="shared" ref="L776:U776" si="611">L772</f>
        <v/>
      </c>
      <c r="M776" s="110" t="str">
        <f t="shared" si="611"/>
        <v/>
      </c>
      <c r="N776" s="110" t="str">
        <f t="shared" si="611"/>
        <v/>
      </c>
      <c r="O776" s="110" t="str">
        <f t="shared" si="611"/>
        <v/>
      </c>
      <c r="P776" s="110" t="str">
        <f t="shared" si="611"/>
        <v/>
      </c>
      <c r="Q776" s="110" t="str">
        <f t="shared" si="611"/>
        <v/>
      </c>
      <c r="R776" s="110" t="str">
        <f t="shared" si="611"/>
        <v/>
      </c>
      <c r="S776" s="110" t="str">
        <f t="shared" si="611"/>
        <v/>
      </c>
      <c r="T776" s="110" t="str">
        <f t="shared" si="611"/>
        <v/>
      </c>
      <c r="U776" s="110" t="str">
        <f t="shared" si="611"/>
        <v/>
      </c>
      <c r="V776" s="110" t="str">
        <f t="shared" ref="V776:W776" si="612">V772&amp;"     "</f>
        <v>Nuevo     </v>
      </c>
      <c r="W776" s="112" t="str">
        <f t="shared" si="612"/>
        <v>Activa     </v>
      </c>
    </row>
    <row r="777" ht="49.5" customHeight="1">
      <c r="A777" s="110" t="s">
        <v>63</v>
      </c>
      <c r="B777" s="110" t="s">
        <v>3040</v>
      </c>
      <c r="C777" s="110"/>
      <c r="D777" s="110"/>
      <c r="E777" s="112" t="s">
        <v>63</v>
      </c>
      <c r="F777" s="111" t="s">
        <v>3041</v>
      </c>
      <c r="G777" s="110" t="s">
        <v>70</v>
      </c>
      <c r="H777" s="110" t="s">
        <v>666</v>
      </c>
      <c r="I777" s="110" t="s">
        <v>70</v>
      </c>
      <c r="J777" s="112">
        <v>7190.0</v>
      </c>
      <c r="K777" s="113" t="s">
        <v>71</v>
      </c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 t="s">
        <v>72</v>
      </c>
      <c r="W777" s="112" t="s">
        <v>73</v>
      </c>
    </row>
    <row r="778" ht="49.5" customHeight="1">
      <c r="A778" s="110" t="s">
        <v>63</v>
      </c>
      <c r="B778" s="110" t="s">
        <v>3040</v>
      </c>
      <c r="C778" s="110" t="s">
        <v>3042</v>
      </c>
      <c r="D778" s="110" t="s">
        <v>3042</v>
      </c>
      <c r="E778" s="111" t="s">
        <v>3043</v>
      </c>
      <c r="F778" s="114" t="str">
        <f>"     "&amp;F777</f>
        <v>     Short Dama Liso Fucsia</v>
      </c>
      <c r="G778" s="110" t="s">
        <v>2781</v>
      </c>
      <c r="H778" s="113">
        <v>10.0</v>
      </c>
      <c r="I778" s="110" t="s">
        <v>70</v>
      </c>
      <c r="J778" s="112">
        <f>J777</f>
        <v>7190</v>
      </c>
      <c r="K778" s="110" t="str">
        <f>K777&amp;"     "</f>
        <v>$     </v>
      </c>
      <c r="L778" s="110" t="str">
        <f t="shared" ref="L778:U778" si="613">L777</f>
        <v/>
      </c>
      <c r="M778" s="110" t="str">
        <f t="shared" si="613"/>
        <v/>
      </c>
      <c r="N778" s="110" t="str">
        <f t="shared" si="613"/>
        <v/>
      </c>
      <c r="O778" s="110" t="str">
        <f t="shared" si="613"/>
        <v/>
      </c>
      <c r="P778" s="110" t="str">
        <f t="shared" si="613"/>
        <v/>
      </c>
      <c r="Q778" s="110" t="str">
        <f t="shared" si="613"/>
        <v/>
      </c>
      <c r="R778" s="110" t="str">
        <f t="shared" si="613"/>
        <v/>
      </c>
      <c r="S778" s="110" t="str">
        <f t="shared" si="613"/>
        <v/>
      </c>
      <c r="T778" s="110" t="str">
        <f t="shared" si="613"/>
        <v/>
      </c>
      <c r="U778" s="110" t="str">
        <f t="shared" si="613"/>
        <v/>
      </c>
      <c r="V778" s="110" t="str">
        <f t="shared" ref="V778:W778" si="614">V777&amp;"     "</f>
        <v>Nuevo     </v>
      </c>
      <c r="W778" s="112" t="str">
        <f t="shared" si="614"/>
        <v>Activa     </v>
      </c>
    </row>
    <row r="779" ht="49.5" customHeight="1">
      <c r="A779" s="110" t="s">
        <v>63</v>
      </c>
      <c r="B779" s="110" t="s">
        <v>3040</v>
      </c>
      <c r="C779" s="110" t="s">
        <v>3044</v>
      </c>
      <c r="D779" s="110" t="s">
        <v>3044</v>
      </c>
      <c r="E779" s="111" t="s">
        <v>3045</v>
      </c>
      <c r="F779" s="114" t="str">
        <f>"     "&amp;F777</f>
        <v>     Short Dama Liso Fucsia</v>
      </c>
      <c r="G779" s="110" t="s">
        <v>2784</v>
      </c>
      <c r="H779" s="113">
        <v>10.0</v>
      </c>
      <c r="I779" s="110" t="s">
        <v>70</v>
      </c>
      <c r="J779" s="112">
        <f>J777</f>
        <v>7190</v>
      </c>
      <c r="K779" s="110" t="str">
        <f>K777&amp;"     "</f>
        <v>$     </v>
      </c>
      <c r="L779" s="110" t="str">
        <f t="shared" ref="L779:U779" si="615">L777</f>
        <v/>
      </c>
      <c r="M779" s="110" t="str">
        <f t="shared" si="615"/>
        <v/>
      </c>
      <c r="N779" s="110" t="str">
        <f t="shared" si="615"/>
        <v/>
      </c>
      <c r="O779" s="110" t="str">
        <f t="shared" si="615"/>
        <v/>
      </c>
      <c r="P779" s="110" t="str">
        <f t="shared" si="615"/>
        <v/>
      </c>
      <c r="Q779" s="110" t="str">
        <f t="shared" si="615"/>
        <v/>
      </c>
      <c r="R779" s="110" t="str">
        <f t="shared" si="615"/>
        <v/>
      </c>
      <c r="S779" s="110" t="str">
        <f t="shared" si="615"/>
        <v/>
      </c>
      <c r="T779" s="110" t="str">
        <f t="shared" si="615"/>
        <v/>
      </c>
      <c r="U779" s="110" t="str">
        <f t="shared" si="615"/>
        <v/>
      </c>
      <c r="V779" s="110" t="str">
        <f t="shared" ref="V779:W779" si="616">V777&amp;"     "</f>
        <v>Nuevo     </v>
      </c>
      <c r="W779" s="112" t="str">
        <f t="shared" si="616"/>
        <v>Activa     </v>
      </c>
    </row>
    <row r="780" ht="49.5" customHeight="1">
      <c r="A780" s="110" t="s">
        <v>63</v>
      </c>
      <c r="B780" s="110" t="s">
        <v>3040</v>
      </c>
      <c r="C780" s="110" t="s">
        <v>3046</v>
      </c>
      <c r="D780" s="110" t="s">
        <v>3046</v>
      </c>
      <c r="E780" s="111" t="s">
        <v>3047</v>
      </c>
      <c r="F780" s="114" t="str">
        <f>"     "&amp;F777</f>
        <v>     Short Dama Liso Fucsia</v>
      </c>
      <c r="G780" s="110" t="s">
        <v>2787</v>
      </c>
      <c r="H780" s="113">
        <v>10.0</v>
      </c>
      <c r="I780" s="110" t="s">
        <v>70</v>
      </c>
      <c r="J780" s="112">
        <f>J777</f>
        <v>7190</v>
      </c>
      <c r="K780" s="110" t="str">
        <f>K777&amp;"     "</f>
        <v>$     </v>
      </c>
      <c r="L780" s="110" t="str">
        <f t="shared" ref="L780:U780" si="617">L777</f>
        <v/>
      </c>
      <c r="M780" s="110" t="str">
        <f t="shared" si="617"/>
        <v/>
      </c>
      <c r="N780" s="110" t="str">
        <f t="shared" si="617"/>
        <v/>
      </c>
      <c r="O780" s="110" t="str">
        <f t="shared" si="617"/>
        <v/>
      </c>
      <c r="P780" s="110" t="str">
        <f t="shared" si="617"/>
        <v/>
      </c>
      <c r="Q780" s="110" t="str">
        <f t="shared" si="617"/>
        <v/>
      </c>
      <c r="R780" s="110" t="str">
        <f t="shared" si="617"/>
        <v/>
      </c>
      <c r="S780" s="110" t="str">
        <f t="shared" si="617"/>
        <v/>
      </c>
      <c r="T780" s="110" t="str">
        <f t="shared" si="617"/>
        <v/>
      </c>
      <c r="U780" s="110" t="str">
        <f t="shared" si="617"/>
        <v/>
      </c>
      <c r="V780" s="110" t="str">
        <f t="shared" ref="V780:W780" si="618">V777&amp;"     "</f>
        <v>Nuevo     </v>
      </c>
      <c r="W780" s="112" t="str">
        <f t="shared" si="618"/>
        <v>Activa     </v>
      </c>
    </row>
    <row r="781" ht="49.5" customHeight="1">
      <c r="A781" s="110" t="s">
        <v>63</v>
      </c>
      <c r="B781" s="110" t="s">
        <v>3040</v>
      </c>
      <c r="C781" s="110" t="s">
        <v>3048</v>
      </c>
      <c r="D781" s="110" t="s">
        <v>3048</v>
      </c>
      <c r="E781" s="111" t="s">
        <v>3049</v>
      </c>
      <c r="F781" s="114" t="str">
        <f>"     "&amp;F777</f>
        <v>     Short Dama Liso Fucsia</v>
      </c>
      <c r="G781" s="110" t="s">
        <v>2790</v>
      </c>
      <c r="H781" s="113">
        <v>10.0</v>
      </c>
      <c r="I781" s="110" t="s">
        <v>70</v>
      </c>
      <c r="J781" s="112">
        <f>J777</f>
        <v>7190</v>
      </c>
      <c r="K781" s="110" t="str">
        <f>K777&amp;"     "</f>
        <v>$     </v>
      </c>
      <c r="L781" s="110" t="str">
        <f t="shared" ref="L781:U781" si="619">L777</f>
        <v/>
      </c>
      <c r="M781" s="110" t="str">
        <f t="shared" si="619"/>
        <v/>
      </c>
      <c r="N781" s="110" t="str">
        <f t="shared" si="619"/>
        <v/>
      </c>
      <c r="O781" s="110" t="str">
        <f t="shared" si="619"/>
        <v/>
      </c>
      <c r="P781" s="110" t="str">
        <f t="shared" si="619"/>
        <v/>
      </c>
      <c r="Q781" s="110" t="str">
        <f t="shared" si="619"/>
        <v/>
      </c>
      <c r="R781" s="110" t="str">
        <f t="shared" si="619"/>
        <v/>
      </c>
      <c r="S781" s="110" t="str">
        <f t="shared" si="619"/>
        <v/>
      </c>
      <c r="T781" s="110" t="str">
        <f t="shared" si="619"/>
        <v/>
      </c>
      <c r="U781" s="110" t="str">
        <f t="shared" si="619"/>
        <v/>
      </c>
      <c r="V781" s="110" t="str">
        <f t="shared" ref="V781:W781" si="620">V777&amp;"     "</f>
        <v>Nuevo     </v>
      </c>
      <c r="W781" s="112" t="str">
        <f t="shared" si="620"/>
        <v>Activa     </v>
      </c>
    </row>
    <row r="782" ht="49.5" customHeight="1">
      <c r="A782" s="110" t="s">
        <v>63</v>
      </c>
      <c r="B782" s="110" t="s">
        <v>3050</v>
      </c>
      <c r="C782" s="110"/>
      <c r="D782" s="110"/>
      <c r="E782" s="112" t="s">
        <v>63</v>
      </c>
      <c r="F782" s="111" t="s">
        <v>2206</v>
      </c>
      <c r="G782" s="110" t="s">
        <v>70</v>
      </c>
      <c r="H782" s="110" t="s">
        <v>666</v>
      </c>
      <c r="I782" s="110" t="s">
        <v>70</v>
      </c>
      <c r="J782" s="112">
        <v>7690.0</v>
      </c>
      <c r="K782" s="113" t="s">
        <v>71</v>
      </c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 t="s">
        <v>72</v>
      </c>
      <c r="W782" s="112" t="s">
        <v>73</v>
      </c>
    </row>
    <row r="783" ht="49.5" customHeight="1">
      <c r="A783" s="110" t="s">
        <v>63</v>
      </c>
      <c r="B783" s="110" t="s">
        <v>3050</v>
      </c>
      <c r="C783" s="110" t="s">
        <v>3051</v>
      </c>
      <c r="D783" s="110" t="s">
        <v>3051</v>
      </c>
      <c r="E783" s="111" t="s">
        <v>3052</v>
      </c>
      <c r="F783" s="114" t="str">
        <f>"     "&amp;F782</f>
        <v>     Short Futbol Liso Blanco</v>
      </c>
      <c r="G783" s="110" t="s">
        <v>2802</v>
      </c>
      <c r="H783" s="113">
        <v>10.0</v>
      </c>
      <c r="I783" s="110" t="s">
        <v>70</v>
      </c>
      <c r="J783" s="112">
        <f>J782</f>
        <v>7690</v>
      </c>
      <c r="K783" s="110" t="str">
        <f>K782&amp;"     "</f>
        <v>$     </v>
      </c>
      <c r="L783" s="110" t="str">
        <f t="shared" ref="L783:U783" si="621">L782</f>
        <v/>
      </c>
      <c r="M783" s="110" t="str">
        <f t="shared" si="621"/>
        <v/>
      </c>
      <c r="N783" s="110" t="str">
        <f t="shared" si="621"/>
        <v/>
      </c>
      <c r="O783" s="110" t="str">
        <f t="shared" si="621"/>
        <v/>
      </c>
      <c r="P783" s="110" t="str">
        <f t="shared" si="621"/>
        <v/>
      </c>
      <c r="Q783" s="110" t="str">
        <f t="shared" si="621"/>
        <v/>
      </c>
      <c r="R783" s="110" t="str">
        <f t="shared" si="621"/>
        <v/>
      </c>
      <c r="S783" s="110" t="str">
        <f t="shared" si="621"/>
        <v/>
      </c>
      <c r="T783" s="110" t="str">
        <f t="shared" si="621"/>
        <v/>
      </c>
      <c r="U783" s="110" t="str">
        <f t="shared" si="621"/>
        <v/>
      </c>
      <c r="V783" s="110" t="str">
        <f t="shared" ref="V783:W783" si="622">V782&amp;"     "</f>
        <v>Nuevo     </v>
      </c>
      <c r="W783" s="112" t="str">
        <f t="shared" si="622"/>
        <v>Activa     </v>
      </c>
    </row>
    <row r="784" ht="49.5" customHeight="1">
      <c r="A784" s="110" t="s">
        <v>63</v>
      </c>
      <c r="B784" s="110" t="s">
        <v>3050</v>
      </c>
      <c r="C784" s="110" t="s">
        <v>3053</v>
      </c>
      <c r="D784" s="110" t="s">
        <v>3053</v>
      </c>
      <c r="E784" s="111" t="s">
        <v>3054</v>
      </c>
      <c r="F784" s="114" t="str">
        <f>"     "&amp;F782</f>
        <v>     Short Futbol Liso Blanco</v>
      </c>
      <c r="G784" s="110" t="s">
        <v>2805</v>
      </c>
      <c r="H784" s="113">
        <v>10.0</v>
      </c>
      <c r="I784" s="110" t="s">
        <v>70</v>
      </c>
      <c r="J784" s="112">
        <f>J782</f>
        <v>7690</v>
      </c>
      <c r="K784" s="110" t="str">
        <f>K782&amp;"     "</f>
        <v>$     </v>
      </c>
      <c r="L784" s="110" t="str">
        <f t="shared" ref="L784:U784" si="623">L782</f>
        <v/>
      </c>
      <c r="M784" s="110" t="str">
        <f t="shared" si="623"/>
        <v/>
      </c>
      <c r="N784" s="110" t="str">
        <f t="shared" si="623"/>
        <v/>
      </c>
      <c r="O784" s="110" t="str">
        <f t="shared" si="623"/>
        <v/>
      </c>
      <c r="P784" s="110" t="str">
        <f t="shared" si="623"/>
        <v/>
      </c>
      <c r="Q784" s="110" t="str">
        <f t="shared" si="623"/>
        <v/>
      </c>
      <c r="R784" s="110" t="str">
        <f t="shared" si="623"/>
        <v/>
      </c>
      <c r="S784" s="110" t="str">
        <f t="shared" si="623"/>
        <v/>
      </c>
      <c r="T784" s="110" t="str">
        <f t="shared" si="623"/>
        <v/>
      </c>
      <c r="U784" s="110" t="str">
        <f t="shared" si="623"/>
        <v/>
      </c>
      <c r="V784" s="110" t="str">
        <f t="shared" ref="V784:W784" si="624">V782&amp;"     "</f>
        <v>Nuevo     </v>
      </c>
      <c r="W784" s="112" t="str">
        <f t="shared" si="624"/>
        <v>Activa     </v>
      </c>
    </row>
    <row r="785" ht="49.5" customHeight="1">
      <c r="A785" s="110" t="s">
        <v>63</v>
      </c>
      <c r="B785" s="110" t="s">
        <v>3050</v>
      </c>
      <c r="C785" s="110" t="s">
        <v>3055</v>
      </c>
      <c r="D785" s="110" t="s">
        <v>3055</v>
      </c>
      <c r="E785" s="111" t="s">
        <v>3056</v>
      </c>
      <c r="F785" s="114" t="str">
        <f>"     "&amp;F782</f>
        <v>     Short Futbol Liso Blanco</v>
      </c>
      <c r="G785" s="110" t="s">
        <v>2808</v>
      </c>
      <c r="H785" s="113">
        <v>10.0</v>
      </c>
      <c r="I785" s="110" t="s">
        <v>70</v>
      </c>
      <c r="J785" s="112">
        <f>J782</f>
        <v>7690</v>
      </c>
      <c r="K785" s="110" t="str">
        <f>K782&amp;"     "</f>
        <v>$     </v>
      </c>
      <c r="L785" s="110" t="str">
        <f t="shared" ref="L785:U785" si="625">L782</f>
        <v/>
      </c>
      <c r="M785" s="110" t="str">
        <f t="shared" si="625"/>
        <v/>
      </c>
      <c r="N785" s="110" t="str">
        <f t="shared" si="625"/>
        <v/>
      </c>
      <c r="O785" s="110" t="str">
        <f t="shared" si="625"/>
        <v/>
      </c>
      <c r="P785" s="110" t="str">
        <f t="shared" si="625"/>
        <v/>
      </c>
      <c r="Q785" s="110" t="str">
        <f t="shared" si="625"/>
        <v/>
      </c>
      <c r="R785" s="110" t="str">
        <f t="shared" si="625"/>
        <v/>
      </c>
      <c r="S785" s="110" t="str">
        <f t="shared" si="625"/>
        <v/>
      </c>
      <c r="T785" s="110" t="str">
        <f t="shared" si="625"/>
        <v/>
      </c>
      <c r="U785" s="110" t="str">
        <f t="shared" si="625"/>
        <v/>
      </c>
      <c r="V785" s="110" t="str">
        <f t="shared" ref="V785:W785" si="626">V782&amp;"     "</f>
        <v>Nuevo     </v>
      </c>
      <c r="W785" s="112" t="str">
        <f t="shared" si="626"/>
        <v>Activa     </v>
      </c>
    </row>
    <row r="786" ht="49.5" customHeight="1">
      <c r="A786" s="110" t="s">
        <v>63</v>
      </c>
      <c r="B786" s="110" t="s">
        <v>3050</v>
      </c>
      <c r="C786" s="110" t="s">
        <v>3057</v>
      </c>
      <c r="D786" s="110" t="s">
        <v>3057</v>
      </c>
      <c r="E786" s="111" t="s">
        <v>3058</v>
      </c>
      <c r="F786" s="114" t="str">
        <f>"     "&amp;F782</f>
        <v>     Short Futbol Liso Blanco</v>
      </c>
      <c r="G786" s="110" t="s">
        <v>2811</v>
      </c>
      <c r="H786" s="113">
        <v>10.0</v>
      </c>
      <c r="I786" s="110" t="s">
        <v>70</v>
      </c>
      <c r="J786" s="112">
        <f>J782</f>
        <v>7690</v>
      </c>
      <c r="K786" s="110" t="str">
        <f>K782&amp;"     "</f>
        <v>$     </v>
      </c>
      <c r="L786" s="110" t="str">
        <f t="shared" ref="L786:U786" si="627">L782</f>
        <v/>
      </c>
      <c r="M786" s="110" t="str">
        <f t="shared" si="627"/>
        <v/>
      </c>
      <c r="N786" s="110" t="str">
        <f t="shared" si="627"/>
        <v/>
      </c>
      <c r="O786" s="110" t="str">
        <f t="shared" si="627"/>
        <v/>
      </c>
      <c r="P786" s="110" t="str">
        <f t="shared" si="627"/>
        <v/>
      </c>
      <c r="Q786" s="110" t="str">
        <f t="shared" si="627"/>
        <v/>
      </c>
      <c r="R786" s="110" t="str">
        <f t="shared" si="627"/>
        <v/>
      </c>
      <c r="S786" s="110" t="str">
        <f t="shared" si="627"/>
        <v/>
      </c>
      <c r="T786" s="110" t="str">
        <f t="shared" si="627"/>
        <v/>
      </c>
      <c r="U786" s="110" t="str">
        <f t="shared" si="627"/>
        <v/>
      </c>
      <c r="V786" s="110" t="str">
        <f t="shared" ref="V786:W786" si="628">V782&amp;"     "</f>
        <v>Nuevo     </v>
      </c>
      <c r="W786" s="112" t="str">
        <f t="shared" si="628"/>
        <v>Activa     </v>
      </c>
    </row>
    <row r="787" ht="49.5" customHeight="1">
      <c r="A787" s="110" t="s">
        <v>63</v>
      </c>
      <c r="B787" s="110" t="s">
        <v>3059</v>
      </c>
      <c r="C787" s="110"/>
      <c r="D787" s="110"/>
      <c r="E787" s="112" t="s">
        <v>63</v>
      </c>
      <c r="F787" s="111" t="s">
        <v>3060</v>
      </c>
      <c r="G787" s="110" t="s">
        <v>70</v>
      </c>
      <c r="H787" s="110" t="s">
        <v>321</v>
      </c>
      <c r="I787" s="110" t="s">
        <v>70</v>
      </c>
      <c r="J787" s="112">
        <v>255690.0</v>
      </c>
      <c r="K787" s="113" t="s">
        <v>71</v>
      </c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 t="s">
        <v>72</v>
      </c>
      <c r="W787" s="112" t="s">
        <v>73</v>
      </c>
    </row>
    <row r="788" ht="49.5" customHeight="1">
      <c r="A788" s="110" t="s">
        <v>63</v>
      </c>
      <c r="B788" s="110" t="s">
        <v>3059</v>
      </c>
      <c r="C788" s="110" t="s">
        <v>3061</v>
      </c>
      <c r="D788" s="110" t="s">
        <v>3061</v>
      </c>
      <c r="E788" s="111" t="s">
        <v>2762</v>
      </c>
      <c r="F788" s="114" t="str">
        <f>"     "&amp;F787</f>
        <v>     Short Futbol Niño X 50 Unid</v>
      </c>
      <c r="G788" s="110" t="s">
        <v>3062</v>
      </c>
      <c r="H788" s="113">
        <v>10.0</v>
      </c>
      <c r="I788" s="110" t="s">
        <v>70</v>
      </c>
      <c r="J788" s="112">
        <f>J787</f>
        <v>255690</v>
      </c>
      <c r="K788" s="110" t="str">
        <f>K787&amp;"     "</f>
        <v>$     </v>
      </c>
      <c r="L788" s="110" t="str">
        <f t="shared" ref="L788:U788" si="629">L787</f>
        <v/>
      </c>
      <c r="M788" s="110" t="str">
        <f t="shared" si="629"/>
        <v/>
      </c>
      <c r="N788" s="110" t="str">
        <f t="shared" si="629"/>
        <v/>
      </c>
      <c r="O788" s="110" t="str">
        <f t="shared" si="629"/>
        <v/>
      </c>
      <c r="P788" s="110" t="str">
        <f t="shared" si="629"/>
        <v/>
      </c>
      <c r="Q788" s="110" t="str">
        <f t="shared" si="629"/>
        <v/>
      </c>
      <c r="R788" s="110" t="str">
        <f t="shared" si="629"/>
        <v/>
      </c>
      <c r="S788" s="110" t="str">
        <f t="shared" si="629"/>
        <v/>
      </c>
      <c r="T788" s="110" t="str">
        <f t="shared" si="629"/>
        <v/>
      </c>
      <c r="U788" s="110" t="str">
        <f t="shared" si="629"/>
        <v/>
      </c>
      <c r="V788" s="110" t="str">
        <f t="shared" ref="V788:W788" si="630">V787&amp;"     "</f>
        <v>Nuevo     </v>
      </c>
      <c r="W788" s="112" t="str">
        <f t="shared" si="630"/>
        <v>Activa     </v>
      </c>
    </row>
    <row r="789" ht="49.5" customHeight="1">
      <c r="A789" s="110" t="s">
        <v>63</v>
      </c>
      <c r="B789" s="110" t="s">
        <v>3059</v>
      </c>
      <c r="C789" s="110" t="s">
        <v>3063</v>
      </c>
      <c r="D789" s="110" t="s">
        <v>3063</v>
      </c>
      <c r="E789" s="111" t="s">
        <v>2765</v>
      </c>
      <c r="F789" s="114" t="str">
        <f>"     "&amp;F787</f>
        <v>     Short Futbol Niño X 50 Unid</v>
      </c>
      <c r="G789" s="110" t="s">
        <v>3064</v>
      </c>
      <c r="H789" s="113">
        <v>10.0</v>
      </c>
      <c r="I789" s="110" t="s">
        <v>70</v>
      </c>
      <c r="J789" s="112">
        <f>J787</f>
        <v>255690</v>
      </c>
      <c r="K789" s="110" t="str">
        <f>K787&amp;"     "</f>
        <v>$     </v>
      </c>
      <c r="L789" s="110" t="str">
        <f t="shared" ref="L789:U789" si="631">L787</f>
        <v/>
      </c>
      <c r="M789" s="110" t="str">
        <f t="shared" si="631"/>
        <v/>
      </c>
      <c r="N789" s="110" t="str">
        <f t="shared" si="631"/>
        <v/>
      </c>
      <c r="O789" s="110" t="str">
        <f t="shared" si="631"/>
        <v/>
      </c>
      <c r="P789" s="110" t="str">
        <f t="shared" si="631"/>
        <v/>
      </c>
      <c r="Q789" s="110" t="str">
        <f t="shared" si="631"/>
        <v/>
      </c>
      <c r="R789" s="110" t="str">
        <f t="shared" si="631"/>
        <v/>
      </c>
      <c r="S789" s="110" t="str">
        <f t="shared" si="631"/>
        <v/>
      </c>
      <c r="T789" s="110" t="str">
        <f t="shared" si="631"/>
        <v/>
      </c>
      <c r="U789" s="110" t="str">
        <f t="shared" si="631"/>
        <v/>
      </c>
      <c r="V789" s="110" t="str">
        <f t="shared" ref="V789:W789" si="632">V787&amp;"     "</f>
        <v>Nuevo     </v>
      </c>
      <c r="W789" s="112" t="str">
        <f t="shared" si="632"/>
        <v>Activa     </v>
      </c>
    </row>
    <row r="790" ht="49.5" customHeight="1">
      <c r="A790" s="110" t="s">
        <v>63</v>
      </c>
      <c r="B790" s="110" t="s">
        <v>3059</v>
      </c>
      <c r="C790" s="110" t="s">
        <v>3065</v>
      </c>
      <c r="D790" s="110" t="s">
        <v>3065</v>
      </c>
      <c r="E790" s="111" t="s">
        <v>2768</v>
      </c>
      <c r="F790" s="114" t="str">
        <f>"     "&amp;F787</f>
        <v>     Short Futbol Niño X 50 Unid</v>
      </c>
      <c r="G790" s="110" t="s">
        <v>3066</v>
      </c>
      <c r="H790" s="113">
        <v>10.0</v>
      </c>
      <c r="I790" s="110" t="s">
        <v>70</v>
      </c>
      <c r="J790" s="112">
        <f>J787</f>
        <v>255690</v>
      </c>
      <c r="K790" s="110" t="str">
        <f>K787&amp;"     "</f>
        <v>$     </v>
      </c>
      <c r="L790" s="110" t="str">
        <f t="shared" ref="L790:U790" si="633">L787</f>
        <v/>
      </c>
      <c r="M790" s="110" t="str">
        <f t="shared" si="633"/>
        <v/>
      </c>
      <c r="N790" s="110" t="str">
        <f t="shared" si="633"/>
        <v/>
      </c>
      <c r="O790" s="110" t="str">
        <f t="shared" si="633"/>
        <v/>
      </c>
      <c r="P790" s="110" t="str">
        <f t="shared" si="633"/>
        <v/>
      </c>
      <c r="Q790" s="110" t="str">
        <f t="shared" si="633"/>
        <v/>
      </c>
      <c r="R790" s="110" t="str">
        <f t="shared" si="633"/>
        <v/>
      </c>
      <c r="S790" s="110" t="str">
        <f t="shared" si="633"/>
        <v/>
      </c>
      <c r="T790" s="110" t="str">
        <f t="shared" si="633"/>
        <v/>
      </c>
      <c r="U790" s="110" t="str">
        <f t="shared" si="633"/>
        <v/>
      </c>
      <c r="V790" s="110" t="str">
        <f t="shared" ref="V790:W790" si="634">V787&amp;"     "</f>
        <v>Nuevo     </v>
      </c>
      <c r="W790" s="112" t="str">
        <f t="shared" si="634"/>
        <v>Activa     </v>
      </c>
    </row>
    <row r="791" ht="49.5" customHeight="1">
      <c r="A791" s="110" t="s">
        <v>3067</v>
      </c>
      <c r="B791" s="110" t="s">
        <v>3068</v>
      </c>
      <c r="C791" s="110" t="s">
        <v>3069</v>
      </c>
      <c r="D791" s="110"/>
      <c r="E791" s="111" t="s">
        <v>3070</v>
      </c>
      <c r="F791" s="111" t="s">
        <v>3071</v>
      </c>
      <c r="G791" s="110" t="s">
        <v>90</v>
      </c>
      <c r="H791" s="113">
        <v>30.0</v>
      </c>
      <c r="I791" s="110" t="s">
        <v>70</v>
      </c>
      <c r="J791" s="112">
        <v>10790.0</v>
      </c>
      <c r="K791" s="113" t="s">
        <v>71</v>
      </c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 t="s">
        <v>72</v>
      </c>
      <c r="W791" s="112" t="s">
        <v>73</v>
      </c>
    </row>
    <row r="792" ht="49.5" customHeight="1">
      <c r="A792" s="110" t="s">
        <v>3072</v>
      </c>
      <c r="B792" s="110" t="s">
        <v>3073</v>
      </c>
      <c r="C792" s="110" t="s">
        <v>3074</v>
      </c>
      <c r="D792" s="110"/>
      <c r="E792" s="111" t="s">
        <v>3075</v>
      </c>
      <c r="F792" s="111" t="s">
        <v>3076</v>
      </c>
      <c r="G792" s="110" t="s">
        <v>3076</v>
      </c>
      <c r="H792" s="113">
        <v>30.0</v>
      </c>
      <c r="I792" s="110" t="s">
        <v>70</v>
      </c>
      <c r="J792" s="112">
        <v>5490.0</v>
      </c>
      <c r="K792" s="113" t="s">
        <v>71</v>
      </c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 t="s">
        <v>72</v>
      </c>
      <c r="W792" s="112" t="s">
        <v>73</v>
      </c>
    </row>
    <row r="793" ht="49.5" customHeight="1">
      <c r="A793" s="110" t="s">
        <v>3077</v>
      </c>
      <c r="B793" s="110" t="s">
        <v>3078</v>
      </c>
      <c r="C793" s="110" t="s">
        <v>3079</v>
      </c>
      <c r="D793" s="110"/>
      <c r="E793" s="111" t="s">
        <v>3080</v>
      </c>
      <c r="F793" s="111" t="s">
        <v>3081</v>
      </c>
      <c r="G793" s="110" t="s">
        <v>3081</v>
      </c>
      <c r="H793" s="113">
        <v>30.0</v>
      </c>
      <c r="I793" s="110" t="s">
        <v>70</v>
      </c>
      <c r="J793" s="112">
        <v>30790.0</v>
      </c>
      <c r="K793" s="113" t="s">
        <v>71</v>
      </c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 t="s">
        <v>72</v>
      </c>
      <c r="W793" s="112" t="s">
        <v>73</v>
      </c>
    </row>
    <row r="794" ht="49.5" customHeight="1">
      <c r="A794" s="110" t="s">
        <v>3082</v>
      </c>
      <c r="B794" s="110" t="s">
        <v>3083</v>
      </c>
      <c r="C794" s="110" t="s">
        <v>3084</v>
      </c>
      <c r="D794" s="110"/>
      <c r="E794" s="111" t="s">
        <v>3085</v>
      </c>
      <c r="F794" s="111" t="s">
        <v>3086</v>
      </c>
      <c r="G794" s="110" t="s">
        <v>3086</v>
      </c>
      <c r="H794" s="113">
        <v>30.0</v>
      </c>
      <c r="I794" s="110" t="s">
        <v>70</v>
      </c>
      <c r="J794" s="112">
        <v>5890.0</v>
      </c>
      <c r="K794" s="113" t="s">
        <v>71</v>
      </c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 t="s">
        <v>72</v>
      </c>
      <c r="W794" s="112" t="s">
        <v>73</v>
      </c>
    </row>
    <row r="795" ht="49.5" customHeight="1">
      <c r="A795" s="110" t="s">
        <v>63</v>
      </c>
      <c r="B795" s="110" t="s">
        <v>3087</v>
      </c>
      <c r="C795" s="110"/>
      <c r="D795" s="110"/>
      <c r="E795" s="112" t="s">
        <v>63</v>
      </c>
      <c r="F795" s="111" t="s">
        <v>3088</v>
      </c>
      <c r="G795" s="110" t="s">
        <v>70</v>
      </c>
      <c r="H795" s="110" t="s">
        <v>3089</v>
      </c>
      <c r="I795" s="110" t="s">
        <v>70</v>
      </c>
      <c r="J795" s="112">
        <v>6990.0</v>
      </c>
      <c r="K795" s="113" t="s">
        <v>71</v>
      </c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 t="s">
        <v>72</v>
      </c>
      <c r="W795" s="112" t="s">
        <v>73</v>
      </c>
    </row>
    <row r="796" ht="49.5" customHeight="1">
      <c r="A796" s="110" t="s">
        <v>63</v>
      </c>
      <c r="B796" s="110" t="s">
        <v>3087</v>
      </c>
      <c r="C796" s="110" t="s">
        <v>3090</v>
      </c>
      <c r="D796" s="110" t="s">
        <v>3090</v>
      </c>
      <c r="E796" s="111" t="s">
        <v>2180</v>
      </c>
      <c r="F796" s="114" t="str">
        <f>"     "&amp;F795</f>
        <v>     Short Futbol Liso  Marino</v>
      </c>
      <c r="G796" s="110" t="s">
        <v>2796</v>
      </c>
      <c r="H796" s="113">
        <v>10.0</v>
      </c>
      <c r="I796" s="110" t="s">
        <v>70</v>
      </c>
      <c r="J796" s="112">
        <f>J795</f>
        <v>6990</v>
      </c>
      <c r="K796" s="110" t="str">
        <f>K795&amp;"     "</f>
        <v>$     </v>
      </c>
      <c r="L796" s="110" t="str">
        <f t="shared" ref="L796:U796" si="635">L795</f>
        <v/>
      </c>
      <c r="M796" s="110" t="str">
        <f t="shared" si="635"/>
        <v/>
      </c>
      <c r="N796" s="110" t="str">
        <f t="shared" si="635"/>
        <v/>
      </c>
      <c r="O796" s="110" t="str">
        <f t="shared" si="635"/>
        <v/>
      </c>
      <c r="P796" s="110" t="str">
        <f t="shared" si="635"/>
        <v/>
      </c>
      <c r="Q796" s="110" t="str">
        <f t="shared" si="635"/>
        <v/>
      </c>
      <c r="R796" s="110" t="str">
        <f t="shared" si="635"/>
        <v/>
      </c>
      <c r="S796" s="110" t="str">
        <f t="shared" si="635"/>
        <v/>
      </c>
      <c r="T796" s="110" t="str">
        <f t="shared" si="635"/>
        <v/>
      </c>
      <c r="U796" s="110" t="str">
        <f t="shared" si="635"/>
        <v/>
      </c>
      <c r="V796" s="110" t="str">
        <f t="shared" ref="V796:W796" si="636">V795&amp;"     "</f>
        <v>Nuevo     </v>
      </c>
      <c r="W796" s="112" t="str">
        <f t="shared" si="636"/>
        <v>Activa     </v>
      </c>
    </row>
    <row r="797" ht="49.5" customHeight="1">
      <c r="A797" s="110" t="s">
        <v>63</v>
      </c>
      <c r="B797" s="110" t="s">
        <v>3087</v>
      </c>
      <c r="C797" s="110" t="s">
        <v>3091</v>
      </c>
      <c r="D797" s="110" t="s">
        <v>3091</v>
      </c>
      <c r="E797" s="111" t="s">
        <v>2189</v>
      </c>
      <c r="F797" s="114" t="str">
        <f>"     "&amp;F795</f>
        <v>     Short Futbol Liso  Marino</v>
      </c>
      <c r="G797" s="110" t="s">
        <v>2799</v>
      </c>
      <c r="H797" s="113">
        <v>0.0</v>
      </c>
      <c r="I797" s="110" t="s">
        <v>70</v>
      </c>
      <c r="J797" s="112">
        <f>J795</f>
        <v>6990</v>
      </c>
      <c r="K797" s="110" t="str">
        <f>K795&amp;"     "</f>
        <v>$     </v>
      </c>
      <c r="L797" s="110" t="str">
        <f t="shared" ref="L797:U797" si="637">L795</f>
        <v/>
      </c>
      <c r="M797" s="110" t="str">
        <f t="shared" si="637"/>
        <v/>
      </c>
      <c r="N797" s="110" t="str">
        <f t="shared" si="637"/>
        <v/>
      </c>
      <c r="O797" s="110" t="str">
        <f t="shared" si="637"/>
        <v/>
      </c>
      <c r="P797" s="110" t="str">
        <f t="shared" si="637"/>
        <v/>
      </c>
      <c r="Q797" s="110" t="str">
        <f t="shared" si="637"/>
        <v/>
      </c>
      <c r="R797" s="110" t="str">
        <f t="shared" si="637"/>
        <v/>
      </c>
      <c r="S797" s="110" t="str">
        <f t="shared" si="637"/>
        <v/>
      </c>
      <c r="T797" s="110" t="str">
        <f t="shared" si="637"/>
        <v/>
      </c>
      <c r="U797" s="110" t="str">
        <f t="shared" si="637"/>
        <v/>
      </c>
      <c r="V797" s="110" t="str">
        <f t="shared" ref="V797:W797" si="638">V795&amp;"     "</f>
        <v>Nuevo     </v>
      </c>
      <c r="W797" s="112" t="str">
        <f t="shared" si="638"/>
        <v>Activa     </v>
      </c>
    </row>
    <row r="798" ht="49.5" customHeight="1">
      <c r="A798" s="110" t="s">
        <v>63</v>
      </c>
      <c r="B798" s="110" t="s">
        <v>3092</v>
      </c>
      <c r="C798" s="110"/>
      <c r="D798" s="110"/>
      <c r="E798" s="112" t="s">
        <v>63</v>
      </c>
      <c r="F798" s="111" t="s">
        <v>3093</v>
      </c>
      <c r="G798" s="110" t="s">
        <v>70</v>
      </c>
      <c r="H798" s="110" t="s">
        <v>321</v>
      </c>
      <c r="I798" s="110" t="s">
        <v>70</v>
      </c>
      <c r="J798" s="112">
        <v>439090.0</v>
      </c>
      <c r="K798" s="113" t="s">
        <v>71</v>
      </c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 t="s">
        <v>72</v>
      </c>
      <c r="W798" s="112" t="s">
        <v>73</v>
      </c>
    </row>
    <row r="799" ht="49.5" customHeight="1">
      <c r="A799" s="110" t="s">
        <v>63</v>
      </c>
      <c r="B799" s="110" t="s">
        <v>3092</v>
      </c>
      <c r="C799" s="110" t="s">
        <v>3094</v>
      </c>
      <c r="D799" s="110" t="s">
        <v>3094</v>
      </c>
      <c r="E799" s="111" t="s">
        <v>2765</v>
      </c>
      <c r="F799" s="114" t="str">
        <f>"     "&amp;F798</f>
        <v>     Short Futbol Niño X 100 Unid</v>
      </c>
      <c r="G799" s="110" t="s">
        <v>3062</v>
      </c>
      <c r="H799" s="113">
        <v>10.0</v>
      </c>
      <c r="I799" s="110" t="s">
        <v>70</v>
      </c>
      <c r="J799" s="112">
        <f>J798</f>
        <v>439090</v>
      </c>
      <c r="K799" s="110" t="str">
        <f>K798&amp;"     "</f>
        <v>$     </v>
      </c>
      <c r="L799" s="110" t="str">
        <f t="shared" ref="L799:U799" si="639">L798</f>
        <v/>
      </c>
      <c r="M799" s="110" t="str">
        <f t="shared" si="639"/>
        <v/>
      </c>
      <c r="N799" s="110" t="str">
        <f t="shared" si="639"/>
        <v/>
      </c>
      <c r="O799" s="110" t="str">
        <f t="shared" si="639"/>
        <v/>
      </c>
      <c r="P799" s="110" t="str">
        <f t="shared" si="639"/>
        <v/>
      </c>
      <c r="Q799" s="110" t="str">
        <f t="shared" si="639"/>
        <v/>
      </c>
      <c r="R799" s="110" t="str">
        <f t="shared" si="639"/>
        <v/>
      </c>
      <c r="S799" s="110" t="str">
        <f t="shared" si="639"/>
        <v/>
      </c>
      <c r="T799" s="110" t="str">
        <f t="shared" si="639"/>
        <v/>
      </c>
      <c r="U799" s="110" t="str">
        <f t="shared" si="639"/>
        <v/>
      </c>
      <c r="V799" s="110" t="str">
        <f t="shared" ref="V799:W799" si="640">V798&amp;"     "</f>
        <v>Nuevo     </v>
      </c>
      <c r="W799" s="112" t="str">
        <f t="shared" si="640"/>
        <v>Activa     </v>
      </c>
    </row>
    <row r="800" ht="49.5" customHeight="1">
      <c r="A800" s="110" t="s">
        <v>63</v>
      </c>
      <c r="B800" s="110" t="s">
        <v>3092</v>
      </c>
      <c r="C800" s="110" t="s">
        <v>3095</v>
      </c>
      <c r="D800" s="110" t="s">
        <v>3095</v>
      </c>
      <c r="E800" s="111" t="s">
        <v>2768</v>
      </c>
      <c r="F800" s="114" t="str">
        <f>"     "&amp;F798</f>
        <v>     Short Futbol Niño X 100 Unid</v>
      </c>
      <c r="G800" s="110" t="s">
        <v>3064</v>
      </c>
      <c r="H800" s="113">
        <v>10.0</v>
      </c>
      <c r="I800" s="110" t="s">
        <v>70</v>
      </c>
      <c r="J800" s="112">
        <f>J798</f>
        <v>439090</v>
      </c>
      <c r="K800" s="110" t="str">
        <f>K798&amp;"     "</f>
        <v>$     </v>
      </c>
      <c r="L800" s="110" t="str">
        <f t="shared" ref="L800:U800" si="641">L798</f>
        <v/>
      </c>
      <c r="M800" s="110" t="str">
        <f t="shared" si="641"/>
        <v/>
      </c>
      <c r="N800" s="110" t="str">
        <f t="shared" si="641"/>
        <v/>
      </c>
      <c r="O800" s="110" t="str">
        <f t="shared" si="641"/>
        <v/>
      </c>
      <c r="P800" s="110" t="str">
        <f t="shared" si="641"/>
        <v/>
      </c>
      <c r="Q800" s="110" t="str">
        <f t="shared" si="641"/>
        <v/>
      </c>
      <c r="R800" s="110" t="str">
        <f t="shared" si="641"/>
        <v/>
      </c>
      <c r="S800" s="110" t="str">
        <f t="shared" si="641"/>
        <v/>
      </c>
      <c r="T800" s="110" t="str">
        <f t="shared" si="641"/>
        <v/>
      </c>
      <c r="U800" s="110" t="str">
        <f t="shared" si="641"/>
        <v/>
      </c>
      <c r="V800" s="110" t="str">
        <f t="shared" ref="V800:W800" si="642">V798&amp;"     "</f>
        <v>Nuevo     </v>
      </c>
      <c r="W800" s="112" t="str">
        <f t="shared" si="642"/>
        <v>Activa     </v>
      </c>
    </row>
    <row r="801" ht="49.5" customHeight="1">
      <c r="A801" s="110" t="s">
        <v>63</v>
      </c>
      <c r="B801" s="110" t="s">
        <v>3092</v>
      </c>
      <c r="C801" s="110" t="s">
        <v>3096</v>
      </c>
      <c r="D801" s="110" t="s">
        <v>3096</v>
      </c>
      <c r="E801" s="111" t="s">
        <v>2771</v>
      </c>
      <c r="F801" s="114" t="str">
        <f>"     "&amp;F798</f>
        <v>     Short Futbol Niño X 100 Unid</v>
      </c>
      <c r="G801" s="110" t="s">
        <v>3066</v>
      </c>
      <c r="H801" s="113">
        <v>10.0</v>
      </c>
      <c r="I801" s="110" t="s">
        <v>70</v>
      </c>
      <c r="J801" s="112">
        <f>J798</f>
        <v>439090</v>
      </c>
      <c r="K801" s="110" t="str">
        <f>K798&amp;"     "</f>
        <v>$     </v>
      </c>
      <c r="L801" s="110" t="str">
        <f t="shared" ref="L801:U801" si="643">L798</f>
        <v/>
      </c>
      <c r="M801" s="110" t="str">
        <f t="shared" si="643"/>
        <v/>
      </c>
      <c r="N801" s="110" t="str">
        <f t="shared" si="643"/>
        <v/>
      </c>
      <c r="O801" s="110" t="str">
        <f t="shared" si="643"/>
        <v/>
      </c>
      <c r="P801" s="110" t="str">
        <f t="shared" si="643"/>
        <v/>
      </c>
      <c r="Q801" s="110" t="str">
        <f t="shared" si="643"/>
        <v/>
      </c>
      <c r="R801" s="110" t="str">
        <f t="shared" si="643"/>
        <v/>
      </c>
      <c r="S801" s="110" t="str">
        <f t="shared" si="643"/>
        <v/>
      </c>
      <c r="T801" s="110" t="str">
        <f t="shared" si="643"/>
        <v/>
      </c>
      <c r="U801" s="110" t="str">
        <f t="shared" si="643"/>
        <v/>
      </c>
      <c r="V801" s="110" t="str">
        <f t="shared" ref="V801:W801" si="644">V798&amp;"     "</f>
        <v>Nuevo     </v>
      </c>
      <c r="W801" s="112" t="str">
        <f t="shared" si="644"/>
        <v>Activa     </v>
      </c>
    </row>
    <row r="802" ht="49.5" customHeight="1">
      <c r="A802" s="110" t="s">
        <v>63</v>
      </c>
      <c r="B802" s="110" t="s">
        <v>3097</v>
      </c>
      <c r="C802" s="110"/>
      <c r="D802" s="110"/>
      <c r="E802" s="112" t="s">
        <v>63</v>
      </c>
      <c r="F802" s="111" t="s">
        <v>3098</v>
      </c>
      <c r="G802" s="110" t="s">
        <v>70</v>
      </c>
      <c r="H802" s="110" t="s">
        <v>1934</v>
      </c>
      <c r="I802" s="110" t="s">
        <v>70</v>
      </c>
      <c r="J802" s="112">
        <v>255690.0</v>
      </c>
      <c r="K802" s="113" t="s">
        <v>71</v>
      </c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 t="s">
        <v>72</v>
      </c>
      <c r="W802" s="112" t="s">
        <v>73</v>
      </c>
    </row>
    <row r="803" ht="49.5" customHeight="1">
      <c r="A803" s="110" t="s">
        <v>63</v>
      </c>
      <c r="B803" s="110" t="s">
        <v>3097</v>
      </c>
      <c r="C803" s="110" t="s">
        <v>3099</v>
      </c>
      <c r="D803" s="110" t="s">
        <v>3099</v>
      </c>
      <c r="E803" s="111" t="s">
        <v>3100</v>
      </c>
      <c r="F803" s="114" t="str">
        <f>"     "&amp;F802</f>
        <v>     Short Futbol Liso X 50 Unid</v>
      </c>
      <c r="G803" s="110" t="s">
        <v>2799</v>
      </c>
      <c r="H803" s="113">
        <v>10.0</v>
      </c>
      <c r="I803" s="110" t="s">
        <v>70</v>
      </c>
      <c r="J803" s="112">
        <f>J802</f>
        <v>255690</v>
      </c>
      <c r="K803" s="110" t="str">
        <f>K802&amp;"     "</f>
        <v>$     </v>
      </c>
      <c r="L803" s="110" t="str">
        <f t="shared" ref="L803:U803" si="645">L802</f>
        <v/>
      </c>
      <c r="M803" s="110" t="str">
        <f t="shared" si="645"/>
        <v/>
      </c>
      <c r="N803" s="110" t="str">
        <f t="shared" si="645"/>
        <v/>
      </c>
      <c r="O803" s="110" t="str">
        <f t="shared" si="645"/>
        <v/>
      </c>
      <c r="P803" s="110" t="str">
        <f t="shared" si="645"/>
        <v/>
      </c>
      <c r="Q803" s="110" t="str">
        <f t="shared" si="645"/>
        <v/>
      </c>
      <c r="R803" s="110" t="str">
        <f t="shared" si="645"/>
        <v/>
      </c>
      <c r="S803" s="110" t="str">
        <f t="shared" si="645"/>
        <v/>
      </c>
      <c r="T803" s="110" t="str">
        <f t="shared" si="645"/>
        <v/>
      </c>
      <c r="U803" s="110" t="str">
        <f t="shared" si="645"/>
        <v/>
      </c>
      <c r="V803" s="110" t="str">
        <f t="shared" ref="V803:W803" si="646">V802&amp;"     "</f>
        <v>Nuevo     </v>
      </c>
      <c r="W803" s="112" t="str">
        <f t="shared" si="646"/>
        <v>Activa     </v>
      </c>
    </row>
    <row r="804" ht="49.5" customHeight="1">
      <c r="A804" s="110" t="s">
        <v>63</v>
      </c>
      <c r="B804" s="110" t="s">
        <v>3097</v>
      </c>
      <c r="C804" s="110" t="s">
        <v>3101</v>
      </c>
      <c r="D804" s="110" t="s">
        <v>3101</v>
      </c>
      <c r="E804" s="111" t="s">
        <v>2798</v>
      </c>
      <c r="F804" s="114" t="str">
        <f>"     "&amp;F802</f>
        <v>     Short Futbol Liso X 50 Unid</v>
      </c>
      <c r="G804" s="110" t="s">
        <v>2796</v>
      </c>
      <c r="H804" s="113">
        <v>10.0</v>
      </c>
      <c r="I804" s="110" t="s">
        <v>70</v>
      </c>
      <c r="J804" s="112">
        <f>J802</f>
        <v>255690</v>
      </c>
      <c r="K804" s="110" t="str">
        <f>K802&amp;"     "</f>
        <v>$     </v>
      </c>
      <c r="L804" s="110" t="str">
        <f t="shared" ref="L804:U804" si="647">L802</f>
        <v/>
      </c>
      <c r="M804" s="110" t="str">
        <f t="shared" si="647"/>
        <v/>
      </c>
      <c r="N804" s="110" t="str">
        <f t="shared" si="647"/>
        <v/>
      </c>
      <c r="O804" s="110" t="str">
        <f t="shared" si="647"/>
        <v/>
      </c>
      <c r="P804" s="110" t="str">
        <f t="shared" si="647"/>
        <v/>
      </c>
      <c r="Q804" s="110" t="str">
        <f t="shared" si="647"/>
        <v/>
      </c>
      <c r="R804" s="110" t="str">
        <f t="shared" si="647"/>
        <v/>
      </c>
      <c r="S804" s="110" t="str">
        <f t="shared" si="647"/>
        <v/>
      </c>
      <c r="T804" s="110" t="str">
        <f t="shared" si="647"/>
        <v/>
      </c>
      <c r="U804" s="110" t="str">
        <f t="shared" si="647"/>
        <v/>
      </c>
      <c r="V804" s="110" t="str">
        <f t="shared" ref="V804:W804" si="648">V802&amp;"     "</f>
        <v>Nuevo     </v>
      </c>
      <c r="W804" s="112" t="str">
        <f t="shared" si="648"/>
        <v>Activa     </v>
      </c>
    </row>
    <row r="805" ht="49.5" customHeight="1">
      <c r="A805" s="110" t="s">
        <v>63</v>
      </c>
      <c r="B805" s="110" t="s">
        <v>3097</v>
      </c>
      <c r="C805" s="110" t="s">
        <v>3102</v>
      </c>
      <c r="D805" s="110" t="s">
        <v>3102</v>
      </c>
      <c r="E805" s="111" t="s">
        <v>2795</v>
      </c>
      <c r="F805" s="114" t="str">
        <f>"     "&amp;F802</f>
        <v>     Short Futbol Liso X 50 Unid</v>
      </c>
      <c r="G805" s="110" t="s">
        <v>2802</v>
      </c>
      <c r="H805" s="113">
        <v>10.0</v>
      </c>
      <c r="I805" s="110" t="s">
        <v>70</v>
      </c>
      <c r="J805" s="112">
        <f>J802</f>
        <v>255690</v>
      </c>
      <c r="K805" s="110" t="str">
        <f>K802&amp;"     "</f>
        <v>$     </v>
      </c>
      <c r="L805" s="110" t="str">
        <f t="shared" ref="L805:U805" si="649">L802</f>
        <v/>
      </c>
      <c r="M805" s="110" t="str">
        <f t="shared" si="649"/>
        <v/>
      </c>
      <c r="N805" s="110" t="str">
        <f t="shared" si="649"/>
        <v/>
      </c>
      <c r="O805" s="110" t="str">
        <f t="shared" si="649"/>
        <v/>
      </c>
      <c r="P805" s="110" t="str">
        <f t="shared" si="649"/>
        <v/>
      </c>
      <c r="Q805" s="110" t="str">
        <f t="shared" si="649"/>
        <v/>
      </c>
      <c r="R805" s="110" t="str">
        <f t="shared" si="649"/>
        <v/>
      </c>
      <c r="S805" s="110" t="str">
        <f t="shared" si="649"/>
        <v/>
      </c>
      <c r="T805" s="110" t="str">
        <f t="shared" si="649"/>
        <v/>
      </c>
      <c r="U805" s="110" t="str">
        <f t="shared" si="649"/>
        <v/>
      </c>
      <c r="V805" s="110" t="str">
        <f t="shared" ref="V805:W805" si="650">V802&amp;"     "</f>
        <v>Nuevo     </v>
      </c>
      <c r="W805" s="112" t="str">
        <f t="shared" si="650"/>
        <v>Activa     </v>
      </c>
    </row>
    <row r="806" ht="49.5" customHeight="1">
      <c r="A806" s="110" t="s">
        <v>63</v>
      </c>
      <c r="B806" s="110" t="s">
        <v>3097</v>
      </c>
      <c r="C806" s="110" t="s">
        <v>3103</v>
      </c>
      <c r="D806" s="110" t="s">
        <v>3103</v>
      </c>
      <c r="E806" s="111" t="s">
        <v>2801</v>
      </c>
      <c r="F806" s="114" t="str">
        <f>"     "&amp;F802</f>
        <v>     Short Futbol Liso X 50 Unid</v>
      </c>
      <c r="G806" s="110" t="s">
        <v>2805</v>
      </c>
      <c r="H806" s="113">
        <v>10.0</v>
      </c>
      <c r="I806" s="110" t="s">
        <v>70</v>
      </c>
      <c r="J806" s="112">
        <f>J802</f>
        <v>255690</v>
      </c>
      <c r="K806" s="110" t="str">
        <f>K802&amp;"     "</f>
        <v>$     </v>
      </c>
      <c r="L806" s="110" t="str">
        <f t="shared" ref="L806:U806" si="651">L802</f>
        <v/>
      </c>
      <c r="M806" s="110" t="str">
        <f t="shared" si="651"/>
        <v/>
      </c>
      <c r="N806" s="110" t="str">
        <f t="shared" si="651"/>
        <v/>
      </c>
      <c r="O806" s="110" t="str">
        <f t="shared" si="651"/>
        <v/>
      </c>
      <c r="P806" s="110" t="str">
        <f t="shared" si="651"/>
        <v/>
      </c>
      <c r="Q806" s="110" t="str">
        <f t="shared" si="651"/>
        <v/>
      </c>
      <c r="R806" s="110" t="str">
        <f t="shared" si="651"/>
        <v/>
      </c>
      <c r="S806" s="110" t="str">
        <f t="shared" si="651"/>
        <v/>
      </c>
      <c r="T806" s="110" t="str">
        <f t="shared" si="651"/>
        <v/>
      </c>
      <c r="U806" s="110" t="str">
        <f t="shared" si="651"/>
        <v/>
      </c>
      <c r="V806" s="110" t="str">
        <f t="shared" ref="V806:W806" si="652">V802&amp;"     "</f>
        <v>Nuevo     </v>
      </c>
      <c r="W806" s="112" t="str">
        <f t="shared" si="652"/>
        <v>Activa     </v>
      </c>
    </row>
    <row r="807" ht="49.5" customHeight="1">
      <c r="A807" s="110" t="s">
        <v>63</v>
      </c>
      <c r="B807" s="110" t="s">
        <v>3097</v>
      </c>
      <c r="C807" s="110" t="s">
        <v>3104</v>
      </c>
      <c r="D807" s="110" t="s">
        <v>3104</v>
      </c>
      <c r="E807" s="111" t="s">
        <v>2804</v>
      </c>
      <c r="F807" s="114" t="str">
        <f>"     "&amp;F802</f>
        <v>     Short Futbol Liso X 50 Unid</v>
      </c>
      <c r="G807" s="110" t="s">
        <v>2808</v>
      </c>
      <c r="H807" s="113">
        <v>10.0</v>
      </c>
      <c r="I807" s="110" t="s">
        <v>70</v>
      </c>
      <c r="J807" s="112">
        <f>J802</f>
        <v>255690</v>
      </c>
      <c r="K807" s="110" t="str">
        <f>K802&amp;"     "</f>
        <v>$     </v>
      </c>
      <c r="L807" s="110" t="str">
        <f t="shared" ref="L807:U807" si="653">L802</f>
        <v/>
      </c>
      <c r="M807" s="110" t="str">
        <f t="shared" si="653"/>
        <v/>
      </c>
      <c r="N807" s="110" t="str">
        <f t="shared" si="653"/>
        <v/>
      </c>
      <c r="O807" s="110" t="str">
        <f t="shared" si="653"/>
        <v/>
      </c>
      <c r="P807" s="110" t="str">
        <f t="shared" si="653"/>
        <v/>
      </c>
      <c r="Q807" s="110" t="str">
        <f t="shared" si="653"/>
        <v/>
      </c>
      <c r="R807" s="110" t="str">
        <f t="shared" si="653"/>
        <v/>
      </c>
      <c r="S807" s="110" t="str">
        <f t="shared" si="653"/>
        <v/>
      </c>
      <c r="T807" s="110" t="str">
        <f t="shared" si="653"/>
        <v/>
      </c>
      <c r="U807" s="110" t="str">
        <f t="shared" si="653"/>
        <v/>
      </c>
      <c r="V807" s="110" t="str">
        <f t="shared" ref="V807:W807" si="654">V802&amp;"     "</f>
        <v>Nuevo     </v>
      </c>
      <c r="W807" s="112" t="str">
        <f t="shared" si="654"/>
        <v>Activa     </v>
      </c>
    </row>
    <row r="808" ht="49.5" customHeight="1">
      <c r="A808" s="110" t="s">
        <v>63</v>
      </c>
      <c r="B808" s="110" t="s">
        <v>3097</v>
      </c>
      <c r="C808" s="110" t="s">
        <v>3105</v>
      </c>
      <c r="D808" s="110" t="s">
        <v>3105</v>
      </c>
      <c r="E808" s="111" t="s">
        <v>2807</v>
      </c>
      <c r="F808" s="114" t="str">
        <f>"     "&amp;F802</f>
        <v>     Short Futbol Liso X 50 Unid</v>
      </c>
      <c r="G808" s="110" t="s">
        <v>2811</v>
      </c>
      <c r="H808" s="113">
        <v>10.0</v>
      </c>
      <c r="I808" s="110" t="s">
        <v>70</v>
      </c>
      <c r="J808" s="112">
        <f>J802</f>
        <v>255690</v>
      </c>
      <c r="K808" s="110" t="str">
        <f>K802&amp;"     "</f>
        <v>$     </v>
      </c>
      <c r="L808" s="110" t="str">
        <f t="shared" ref="L808:U808" si="655">L802</f>
        <v/>
      </c>
      <c r="M808" s="110" t="str">
        <f t="shared" si="655"/>
        <v/>
      </c>
      <c r="N808" s="110" t="str">
        <f t="shared" si="655"/>
        <v/>
      </c>
      <c r="O808" s="110" t="str">
        <f t="shared" si="655"/>
        <v/>
      </c>
      <c r="P808" s="110" t="str">
        <f t="shared" si="655"/>
        <v/>
      </c>
      <c r="Q808" s="110" t="str">
        <f t="shared" si="655"/>
        <v/>
      </c>
      <c r="R808" s="110" t="str">
        <f t="shared" si="655"/>
        <v/>
      </c>
      <c r="S808" s="110" t="str">
        <f t="shared" si="655"/>
        <v/>
      </c>
      <c r="T808" s="110" t="str">
        <f t="shared" si="655"/>
        <v/>
      </c>
      <c r="U808" s="110" t="str">
        <f t="shared" si="655"/>
        <v/>
      </c>
      <c r="V808" s="110" t="str">
        <f t="shared" ref="V808:W808" si="656">V802&amp;"     "</f>
        <v>Nuevo     </v>
      </c>
      <c r="W808" s="112" t="str">
        <f t="shared" si="656"/>
        <v>Activa     </v>
      </c>
    </row>
    <row r="809" ht="49.5" customHeight="1">
      <c r="A809" s="110" t="s">
        <v>63</v>
      </c>
      <c r="B809" s="110" t="s">
        <v>3097</v>
      </c>
      <c r="C809" s="110" t="s">
        <v>3106</v>
      </c>
      <c r="D809" s="110" t="s">
        <v>3106</v>
      </c>
      <c r="E809" s="111" t="s">
        <v>2810</v>
      </c>
      <c r="F809" s="114" t="str">
        <f>"     "&amp;F802</f>
        <v>     Short Futbol Liso X 50 Unid</v>
      </c>
      <c r="G809" s="110" t="s">
        <v>2814</v>
      </c>
      <c r="H809" s="113">
        <v>10.0</v>
      </c>
      <c r="I809" s="110" t="s">
        <v>70</v>
      </c>
      <c r="J809" s="112">
        <f>J802</f>
        <v>255690</v>
      </c>
      <c r="K809" s="110" t="str">
        <f>K802&amp;"     "</f>
        <v>$     </v>
      </c>
      <c r="L809" s="110" t="str">
        <f t="shared" ref="L809:U809" si="657">L802</f>
        <v/>
      </c>
      <c r="M809" s="110" t="str">
        <f t="shared" si="657"/>
        <v/>
      </c>
      <c r="N809" s="110" t="str">
        <f t="shared" si="657"/>
        <v/>
      </c>
      <c r="O809" s="110" t="str">
        <f t="shared" si="657"/>
        <v/>
      </c>
      <c r="P809" s="110" t="str">
        <f t="shared" si="657"/>
        <v/>
      </c>
      <c r="Q809" s="110" t="str">
        <f t="shared" si="657"/>
        <v/>
      </c>
      <c r="R809" s="110" t="str">
        <f t="shared" si="657"/>
        <v/>
      </c>
      <c r="S809" s="110" t="str">
        <f t="shared" si="657"/>
        <v/>
      </c>
      <c r="T809" s="110" t="str">
        <f t="shared" si="657"/>
        <v/>
      </c>
      <c r="U809" s="110" t="str">
        <f t="shared" si="657"/>
        <v/>
      </c>
      <c r="V809" s="110" t="str">
        <f t="shared" ref="V809:W809" si="658">V802&amp;"     "</f>
        <v>Nuevo     </v>
      </c>
      <c r="W809" s="112" t="str">
        <f t="shared" si="658"/>
        <v>Activa     </v>
      </c>
    </row>
    <row r="810" ht="49.5" customHeight="1">
      <c r="A810" s="110" t="s">
        <v>63</v>
      </c>
      <c r="B810" s="110" t="s">
        <v>3097</v>
      </c>
      <c r="C810" s="110" t="s">
        <v>3107</v>
      </c>
      <c r="D810" s="110" t="s">
        <v>3107</v>
      </c>
      <c r="E810" s="111" t="s">
        <v>2813</v>
      </c>
      <c r="F810" s="114" t="str">
        <f>"     "&amp;F802</f>
        <v>     Short Futbol Liso X 50 Unid</v>
      </c>
      <c r="G810" s="110" t="s">
        <v>2817</v>
      </c>
      <c r="H810" s="113">
        <v>10.0</v>
      </c>
      <c r="I810" s="110" t="s">
        <v>70</v>
      </c>
      <c r="J810" s="112">
        <f>J802</f>
        <v>255690</v>
      </c>
      <c r="K810" s="110" t="str">
        <f>K802&amp;"     "</f>
        <v>$     </v>
      </c>
      <c r="L810" s="110" t="str">
        <f t="shared" ref="L810:U810" si="659">L802</f>
        <v/>
      </c>
      <c r="M810" s="110" t="str">
        <f t="shared" si="659"/>
        <v/>
      </c>
      <c r="N810" s="110" t="str">
        <f t="shared" si="659"/>
        <v/>
      </c>
      <c r="O810" s="110" t="str">
        <f t="shared" si="659"/>
        <v/>
      </c>
      <c r="P810" s="110" t="str">
        <f t="shared" si="659"/>
        <v/>
      </c>
      <c r="Q810" s="110" t="str">
        <f t="shared" si="659"/>
        <v/>
      </c>
      <c r="R810" s="110" t="str">
        <f t="shared" si="659"/>
        <v/>
      </c>
      <c r="S810" s="110" t="str">
        <f t="shared" si="659"/>
        <v/>
      </c>
      <c r="T810" s="110" t="str">
        <f t="shared" si="659"/>
        <v/>
      </c>
      <c r="U810" s="110" t="str">
        <f t="shared" si="659"/>
        <v/>
      </c>
      <c r="V810" s="110" t="str">
        <f t="shared" ref="V810:W810" si="660">V802&amp;"     "</f>
        <v>Nuevo     </v>
      </c>
      <c r="W810" s="112" t="str">
        <f t="shared" si="660"/>
        <v>Activa     </v>
      </c>
    </row>
    <row r="811" ht="49.5" customHeight="1">
      <c r="A811" s="110" t="s">
        <v>63</v>
      </c>
      <c r="B811" s="110" t="s">
        <v>3097</v>
      </c>
      <c r="C811" s="110" t="s">
        <v>3108</v>
      </c>
      <c r="D811" s="110" t="s">
        <v>3108</v>
      </c>
      <c r="E811" s="111" t="s">
        <v>2816</v>
      </c>
      <c r="F811" s="114" t="str">
        <f>"     "&amp;F802</f>
        <v>     Short Futbol Liso X 50 Unid</v>
      </c>
      <c r="G811" s="110" t="s">
        <v>2820</v>
      </c>
      <c r="H811" s="113">
        <v>10.0</v>
      </c>
      <c r="I811" s="110" t="s">
        <v>70</v>
      </c>
      <c r="J811" s="112">
        <f>J802</f>
        <v>255690</v>
      </c>
      <c r="K811" s="110" t="str">
        <f>K802&amp;"     "</f>
        <v>$     </v>
      </c>
      <c r="L811" s="110" t="str">
        <f t="shared" ref="L811:U811" si="661">L802</f>
        <v/>
      </c>
      <c r="M811" s="110" t="str">
        <f t="shared" si="661"/>
        <v/>
      </c>
      <c r="N811" s="110" t="str">
        <f t="shared" si="661"/>
        <v/>
      </c>
      <c r="O811" s="110" t="str">
        <f t="shared" si="661"/>
        <v/>
      </c>
      <c r="P811" s="110" t="str">
        <f t="shared" si="661"/>
        <v/>
      </c>
      <c r="Q811" s="110" t="str">
        <f t="shared" si="661"/>
        <v/>
      </c>
      <c r="R811" s="110" t="str">
        <f t="shared" si="661"/>
        <v/>
      </c>
      <c r="S811" s="110" t="str">
        <f t="shared" si="661"/>
        <v/>
      </c>
      <c r="T811" s="110" t="str">
        <f t="shared" si="661"/>
        <v/>
      </c>
      <c r="U811" s="110" t="str">
        <f t="shared" si="661"/>
        <v/>
      </c>
      <c r="V811" s="110" t="str">
        <f t="shared" ref="V811:W811" si="662">V802&amp;"     "</f>
        <v>Nuevo     </v>
      </c>
      <c r="W811" s="112" t="str">
        <f t="shared" si="662"/>
        <v>Activa     </v>
      </c>
    </row>
    <row r="812" ht="49.5" customHeight="1">
      <c r="A812" s="110" t="s">
        <v>63</v>
      </c>
      <c r="B812" s="110" t="s">
        <v>3097</v>
      </c>
      <c r="C812" s="110" t="s">
        <v>3109</v>
      </c>
      <c r="D812" s="110" t="s">
        <v>3109</v>
      </c>
      <c r="E812" s="111" t="s">
        <v>2819</v>
      </c>
      <c r="F812" s="114" t="str">
        <f>"     "&amp;F802</f>
        <v>     Short Futbol Liso X 50 Unid</v>
      </c>
      <c r="G812" s="110" t="s">
        <v>2823</v>
      </c>
      <c r="H812" s="113">
        <v>10.0</v>
      </c>
      <c r="I812" s="110" t="s">
        <v>70</v>
      </c>
      <c r="J812" s="112">
        <f>J802</f>
        <v>255690</v>
      </c>
      <c r="K812" s="110" t="str">
        <f>K802&amp;"     "</f>
        <v>$     </v>
      </c>
      <c r="L812" s="110" t="str">
        <f t="shared" ref="L812:U812" si="663">L802</f>
        <v/>
      </c>
      <c r="M812" s="110" t="str">
        <f t="shared" si="663"/>
        <v/>
      </c>
      <c r="N812" s="110" t="str">
        <f t="shared" si="663"/>
        <v/>
      </c>
      <c r="O812" s="110" t="str">
        <f t="shared" si="663"/>
        <v/>
      </c>
      <c r="P812" s="110" t="str">
        <f t="shared" si="663"/>
        <v/>
      </c>
      <c r="Q812" s="110" t="str">
        <f t="shared" si="663"/>
        <v/>
      </c>
      <c r="R812" s="110" t="str">
        <f t="shared" si="663"/>
        <v/>
      </c>
      <c r="S812" s="110" t="str">
        <f t="shared" si="663"/>
        <v/>
      </c>
      <c r="T812" s="110" t="str">
        <f t="shared" si="663"/>
        <v/>
      </c>
      <c r="U812" s="110" t="str">
        <f t="shared" si="663"/>
        <v/>
      </c>
      <c r="V812" s="110" t="str">
        <f t="shared" ref="V812:W812" si="664">V802&amp;"     "</f>
        <v>Nuevo     </v>
      </c>
      <c r="W812" s="112" t="str">
        <f t="shared" si="664"/>
        <v>Activa     </v>
      </c>
    </row>
    <row r="813" ht="49.5" customHeight="1">
      <c r="A813" s="110" t="s">
        <v>3110</v>
      </c>
      <c r="B813" s="110" t="s">
        <v>3111</v>
      </c>
      <c r="C813" s="110" t="s">
        <v>3112</v>
      </c>
      <c r="D813" s="110"/>
      <c r="E813" s="111" t="s">
        <v>3113</v>
      </c>
      <c r="F813" s="111" t="s">
        <v>3114</v>
      </c>
      <c r="G813" s="110" t="s">
        <v>90</v>
      </c>
      <c r="H813" s="113">
        <v>30.0</v>
      </c>
      <c r="I813" s="110" t="s">
        <v>70</v>
      </c>
      <c r="J813" s="112">
        <v>17090.0</v>
      </c>
      <c r="K813" s="113" t="s">
        <v>71</v>
      </c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 t="s">
        <v>72</v>
      </c>
      <c r="W813" s="112" t="s">
        <v>73</v>
      </c>
    </row>
    <row r="814" ht="49.5" customHeight="1">
      <c r="A814" s="110" t="s">
        <v>3115</v>
      </c>
      <c r="B814" s="110" t="s">
        <v>3116</v>
      </c>
      <c r="C814" s="110" t="s">
        <v>3117</v>
      </c>
      <c r="D814" s="110"/>
      <c r="E814" s="111" t="s">
        <v>3118</v>
      </c>
      <c r="F814" s="111" t="s">
        <v>3119</v>
      </c>
      <c r="G814" s="110" t="s">
        <v>79</v>
      </c>
      <c r="H814" s="113">
        <v>30.0</v>
      </c>
      <c r="I814" s="110" t="s">
        <v>70</v>
      </c>
      <c r="J814" s="112">
        <v>34090.0</v>
      </c>
      <c r="K814" s="113" t="s">
        <v>71</v>
      </c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 t="s">
        <v>72</v>
      </c>
      <c r="W814" s="112" t="s">
        <v>73</v>
      </c>
    </row>
    <row r="815" ht="49.5" customHeight="1">
      <c r="A815" s="110" t="s">
        <v>3120</v>
      </c>
      <c r="B815" s="110" t="s">
        <v>3121</v>
      </c>
      <c r="C815" s="110" t="s">
        <v>3122</v>
      </c>
      <c r="D815" s="110"/>
      <c r="E815" s="111" t="s">
        <v>3123</v>
      </c>
      <c r="F815" s="111" t="s">
        <v>3124</v>
      </c>
      <c r="G815" s="110" t="s">
        <v>144</v>
      </c>
      <c r="H815" s="113">
        <v>30.0</v>
      </c>
      <c r="I815" s="110" t="s">
        <v>70</v>
      </c>
      <c r="J815" s="112">
        <v>17090.0</v>
      </c>
      <c r="K815" s="113" t="s">
        <v>71</v>
      </c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 t="s">
        <v>72</v>
      </c>
      <c r="W815" s="112" t="s">
        <v>73</v>
      </c>
    </row>
    <row r="816" ht="49.5" customHeight="1">
      <c r="A816" s="110" t="s">
        <v>3125</v>
      </c>
      <c r="B816" s="110" t="s">
        <v>3126</v>
      </c>
      <c r="C816" s="110" t="s">
        <v>3127</v>
      </c>
      <c r="D816" s="110"/>
      <c r="E816" s="111" t="s">
        <v>3128</v>
      </c>
      <c r="F816" s="111" t="s">
        <v>3129</v>
      </c>
      <c r="G816" s="110" t="s">
        <v>90</v>
      </c>
      <c r="H816" s="113">
        <v>30.0</v>
      </c>
      <c r="I816" s="110" t="s">
        <v>70</v>
      </c>
      <c r="J816" s="112">
        <v>16690.0</v>
      </c>
      <c r="K816" s="113" t="s">
        <v>71</v>
      </c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 t="s">
        <v>72</v>
      </c>
      <c r="W816" s="112" t="s">
        <v>73</v>
      </c>
    </row>
    <row r="817" ht="49.5" customHeight="1">
      <c r="A817" s="110" t="s">
        <v>3130</v>
      </c>
      <c r="B817" s="110" t="s">
        <v>3131</v>
      </c>
      <c r="C817" s="110" t="s">
        <v>3132</v>
      </c>
      <c r="D817" s="110"/>
      <c r="E817" s="111" t="s">
        <v>3133</v>
      </c>
      <c r="F817" s="111" t="s">
        <v>3134</v>
      </c>
      <c r="G817" s="110" t="s">
        <v>90</v>
      </c>
      <c r="H817" s="113">
        <v>30.0</v>
      </c>
      <c r="I817" s="110" t="s">
        <v>70</v>
      </c>
      <c r="J817" s="112">
        <v>17090.0</v>
      </c>
      <c r="K817" s="113" t="s">
        <v>71</v>
      </c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 t="s">
        <v>72</v>
      </c>
      <c r="W817" s="112" t="s">
        <v>73</v>
      </c>
    </row>
    <row r="818" ht="49.5" customHeight="1">
      <c r="A818" s="110" t="s">
        <v>3135</v>
      </c>
      <c r="B818" s="110" t="s">
        <v>3136</v>
      </c>
      <c r="C818" s="110" t="s">
        <v>3137</v>
      </c>
      <c r="D818" s="110"/>
      <c r="E818" s="111" t="s">
        <v>1063</v>
      </c>
      <c r="F818" s="111" t="s">
        <v>3138</v>
      </c>
      <c r="G818" s="110" t="s">
        <v>271</v>
      </c>
      <c r="H818" s="113">
        <v>30.0</v>
      </c>
      <c r="I818" s="110" t="s">
        <v>70</v>
      </c>
      <c r="J818" s="112">
        <v>28590.0</v>
      </c>
      <c r="K818" s="113" t="s">
        <v>71</v>
      </c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 t="s">
        <v>72</v>
      </c>
      <c r="W818" s="112" t="s">
        <v>73</v>
      </c>
    </row>
    <row r="819" ht="49.5" customHeight="1">
      <c r="A819" s="110" t="s">
        <v>3139</v>
      </c>
      <c r="B819" s="110" t="s">
        <v>3140</v>
      </c>
      <c r="C819" s="110" t="s">
        <v>3141</v>
      </c>
      <c r="D819" s="110"/>
      <c r="E819" s="111" t="s">
        <v>3142</v>
      </c>
      <c r="F819" s="111" t="s">
        <v>3143</v>
      </c>
      <c r="G819" s="110" t="s">
        <v>165</v>
      </c>
      <c r="H819" s="113">
        <v>30.0</v>
      </c>
      <c r="I819" s="110" t="s">
        <v>70</v>
      </c>
      <c r="J819" s="112">
        <v>16690.0</v>
      </c>
      <c r="K819" s="113" t="s">
        <v>71</v>
      </c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 t="s">
        <v>72</v>
      </c>
      <c r="W819" s="112" t="s">
        <v>73</v>
      </c>
    </row>
    <row r="820" ht="49.5" customHeight="1">
      <c r="A820" s="110" t="s">
        <v>3144</v>
      </c>
      <c r="B820" s="110" t="s">
        <v>3145</v>
      </c>
      <c r="C820" s="110" t="s">
        <v>3146</v>
      </c>
      <c r="D820" s="110"/>
      <c r="E820" s="111" t="s">
        <v>3147</v>
      </c>
      <c r="F820" s="111" t="s">
        <v>3148</v>
      </c>
      <c r="G820" s="110" t="s">
        <v>213</v>
      </c>
      <c r="H820" s="113">
        <v>30.0</v>
      </c>
      <c r="I820" s="110" t="s">
        <v>70</v>
      </c>
      <c r="J820" s="112">
        <v>6190.0</v>
      </c>
      <c r="K820" s="113" t="s">
        <v>71</v>
      </c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 t="s">
        <v>72</v>
      </c>
      <c r="W820" s="112" t="s">
        <v>73</v>
      </c>
    </row>
    <row r="821" ht="49.5" customHeight="1">
      <c r="A821" s="110" t="s">
        <v>3149</v>
      </c>
      <c r="B821" s="110" t="s">
        <v>3150</v>
      </c>
      <c r="C821" s="110" t="s">
        <v>3151</v>
      </c>
      <c r="D821" s="110"/>
      <c r="E821" s="111" t="s">
        <v>3152</v>
      </c>
      <c r="F821" s="111" t="s">
        <v>3153</v>
      </c>
      <c r="G821" s="110" t="s">
        <v>213</v>
      </c>
      <c r="H821" s="113">
        <v>30.0</v>
      </c>
      <c r="I821" s="110" t="s">
        <v>70</v>
      </c>
      <c r="J821" s="112">
        <v>6190.0</v>
      </c>
      <c r="K821" s="113" t="s">
        <v>71</v>
      </c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 t="s">
        <v>72</v>
      </c>
      <c r="W821" s="112" t="s">
        <v>73</v>
      </c>
    </row>
    <row r="822" ht="49.5" customHeight="1">
      <c r="A822" s="110" t="s">
        <v>3154</v>
      </c>
      <c r="B822" s="110" t="s">
        <v>3155</v>
      </c>
      <c r="C822" s="110" t="s">
        <v>3156</v>
      </c>
      <c r="D822" s="110"/>
      <c r="E822" s="111" t="s">
        <v>3157</v>
      </c>
      <c r="F822" s="111" t="s">
        <v>3158</v>
      </c>
      <c r="G822" s="110" t="s">
        <v>213</v>
      </c>
      <c r="H822" s="113">
        <v>30.0</v>
      </c>
      <c r="I822" s="110" t="s">
        <v>70</v>
      </c>
      <c r="J822" s="112">
        <v>6190.0</v>
      </c>
      <c r="K822" s="113" t="s">
        <v>71</v>
      </c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 t="s">
        <v>72</v>
      </c>
      <c r="W822" s="112" t="s">
        <v>73</v>
      </c>
    </row>
    <row r="823" ht="49.5" customHeight="1">
      <c r="A823" s="110" t="s">
        <v>3159</v>
      </c>
      <c r="B823" s="110" t="s">
        <v>3160</v>
      </c>
      <c r="C823" s="110" t="s">
        <v>3161</v>
      </c>
      <c r="D823" s="110"/>
      <c r="E823" s="111" t="s">
        <v>3162</v>
      </c>
      <c r="F823" s="111" t="s">
        <v>3163</v>
      </c>
      <c r="G823" s="110" t="s">
        <v>766</v>
      </c>
      <c r="H823" s="113">
        <v>30.0</v>
      </c>
      <c r="I823" s="110" t="s">
        <v>70</v>
      </c>
      <c r="J823" s="112">
        <v>5390.0</v>
      </c>
      <c r="K823" s="113" t="s">
        <v>71</v>
      </c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 t="s">
        <v>72</v>
      </c>
      <c r="W823" s="112" t="s">
        <v>73</v>
      </c>
    </row>
    <row r="824" ht="49.5" customHeight="1">
      <c r="A824" s="110" t="s">
        <v>3164</v>
      </c>
      <c r="B824" s="110" t="s">
        <v>3165</v>
      </c>
      <c r="C824" s="110" t="s">
        <v>3166</v>
      </c>
      <c r="D824" s="110"/>
      <c r="E824" s="111" t="s">
        <v>3167</v>
      </c>
      <c r="F824" s="111" t="s">
        <v>3168</v>
      </c>
      <c r="G824" s="110" t="s">
        <v>138</v>
      </c>
      <c r="H824" s="113">
        <v>30.0</v>
      </c>
      <c r="I824" s="110" t="s">
        <v>70</v>
      </c>
      <c r="J824" s="112">
        <v>13290.0</v>
      </c>
      <c r="K824" s="113" t="s">
        <v>71</v>
      </c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 t="s">
        <v>72</v>
      </c>
      <c r="W824" s="112" t="s">
        <v>73</v>
      </c>
    </row>
    <row r="825" ht="49.5" customHeight="1">
      <c r="A825" s="110" t="s">
        <v>3169</v>
      </c>
      <c r="B825" s="110" t="s">
        <v>3170</v>
      </c>
      <c r="C825" s="110" t="s">
        <v>3171</v>
      </c>
      <c r="D825" s="110"/>
      <c r="E825" s="111" t="s">
        <v>3172</v>
      </c>
      <c r="F825" s="111" t="s">
        <v>3173</v>
      </c>
      <c r="G825" s="110" t="s">
        <v>213</v>
      </c>
      <c r="H825" s="113">
        <v>10.0</v>
      </c>
      <c r="I825" s="110" t="s">
        <v>70</v>
      </c>
      <c r="J825" s="112">
        <v>6190.0</v>
      </c>
      <c r="K825" s="113" t="s">
        <v>71</v>
      </c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 t="s">
        <v>72</v>
      </c>
      <c r="W825" s="112" t="s">
        <v>73</v>
      </c>
    </row>
    <row r="826" ht="49.5" customHeight="1">
      <c r="A826" s="110" t="s">
        <v>3174</v>
      </c>
      <c r="B826" s="110" t="s">
        <v>3175</v>
      </c>
      <c r="C826" s="110" t="s">
        <v>3176</v>
      </c>
      <c r="D826" s="110"/>
      <c r="E826" s="111" t="s">
        <v>3177</v>
      </c>
      <c r="F826" s="111" t="s">
        <v>3178</v>
      </c>
      <c r="G826" s="110" t="s">
        <v>752</v>
      </c>
      <c r="H826" s="113">
        <v>30.0</v>
      </c>
      <c r="I826" s="110" t="s">
        <v>70</v>
      </c>
      <c r="J826" s="112">
        <v>5390.0</v>
      </c>
      <c r="K826" s="113" t="s">
        <v>71</v>
      </c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 t="s">
        <v>72</v>
      </c>
      <c r="W826" s="112" t="s">
        <v>73</v>
      </c>
    </row>
    <row r="827" ht="49.5" customHeight="1">
      <c r="A827" s="110" t="s">
        <v>3179</v>
      </c>
      <c r="B827" s="110" t="s">
        <v>3180</v>
      </c>
      <c r="C827" s="110" t="s">
        <v>3181</v>
      </c>
      <c r="D827" s="110"/>
      <c r="E827" s="111" t="s">
        <v>3182</v>
      </c>
      <c r="F827" s="111" t="s">
        <v>3183</v>
      </c>
      <c r="G827" s="110" t="s">
        <v>766</v>
      </c>
      <c r="H827" s="113">
        <v>30.0</v>
      </c>
      <c r="I827" s="110" t="s">
        <v>70</v>
      </c>
      <c r="J827" s="112">
        <v>6090.0</v>
      </c>
      <c r="K827" s="113" t="s">
        <v>71</v>
      </c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 t="s">
        <v>72</v>
      </c>
      <c r="W827" s="112" t="s">
        <v>73</v>
      </c>
    </row>
    <row r="828" ht="49.5" customHeight="1">
      <c r="A828" s="110" t="s">
        <v>3184</v>
      </c>
      <c r="B828" s="110" t="s">
        <v>3185</v>
      </c>
      <c r="C828" s="110" t="s">
        <v>3186</v>
      </c>
      <c r="D828" s="110"/>
      <c r="E828" s="111" t="s">
        <v>3187</v>
      </c>
      <c r="F828" s="111" t="s">
        <v>3188</v>
      </c>
      <c r="G828" s="110" t="s">
        <v>213</v>
      </c>
      <c r="H828" s="113">
        <v>30.0</v>
      </c>
      <c r="I828" s="110" t="s">
        <v>70</v>
      </c>
      <c r="J828" s="112">
        <v>6190.0</v>
      </c>
      <c r="K828" s="113" t="s">
        <v>71</v>
      </c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 t="s">
        <v>72</v>
      </c>
      <c r="W828" s="112" t="s">
        <v>73</v>
      </c>
    </row>
    <row r="829" ht="49.5" customHeight="1">
      <c r="A829" s="110" t="s">
        <v>3189</v>
      </c>
      <c r="B829" s="110" t="s">
        <v>3190</v>
      </c>
      <c r="C829" s="110" t="s">
        <v>3191</v>
      </c>
      <c r="D829" s="110"/>
      <c r="E829" s="111" t="s">
        <v>3192</v>
      </c>
      <c r="F829" s="111" t="s">
        <v>3193</v>
      </c>
      <c r="G829" s="110" t="s">
        <v>766</v>
      </c>
      <c r="H829" s="113">
        <v>30.0</v>
      </c>
      <c r="I829" s="110" t="s">
        <v>70</v>
      </c>
      <c r="J829" s="112">
        <v>6690.0</v>
      </c>
      <c r="K829" s="113" t="s">
        <v>71</v>
      </c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 t="s">
        <v>72</v>
      </c>
      <c r="W829" s="112" t="s">
        <v>73</v>
      </c>
    </row>
    <row r="830" ht="49.5" customHeight="1">
      <c r="A830" s="110" t="s">
        <v>3194</v>
      </c>
      <c r="B830" s="110" t="s">
        <v>3195</v>
      </c>
      <c r="C830" s="110" t="s">
        <v>3196</v>
      </c>
      <c r="D830" s="110"/>
      <c r="E830" s="111" t="s">
        <v>3197</v>
      </c>
      <c r="F830" s="111" t="s">
        <v>3198</v>
      </c>
      <c r="G830" s="110" t="s">
        <v>213</v>
      </c>
      <c r="H830" s="113">
        <v>30.0</v>
      </c>
      <c r="I830" s="110" t="s">
        <v>70</v>
      </c>
      <c r="J830" s="112">
        <v>6190.0</v>
      </c>
      <c r="K830" s="113" t="s">
        <v>71</v>
      </c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 t="s">
        <v>72</v>
      </c>
      <c r="W830" s="112" t="s">
        <v>73</v>
      </c>
    </row>
    <row r="831" ht="49.5" customHeight="1">
      <c r="A831" s="110" t="s">
        <v>3199</v>
      </c>
      <c r="B831" s="110" t="s">
        <v>3200</v>
      </c>
      <c r="C831" s="110" t="s">
        <v>3201</v>
      </c>
      <c r="D831" s="110"/>
      <c r="E831" s="111" t="s">
        <v>3202</v>
      </c>
      <c r="F831" s="111" t="s">
        <v>3203</v>
      </c>
      <c r="G831" s="110" t="s">
        <v>213</v>
      </c>
      <c r="H831" s="113">
        <v>30.0</v>
      </c>
      <c r="I831" s="110" t="s">
        <v>70</v>
      </c>
      <c r="J831" s="112">
        <v>5990.0</v>
      </c>
      <c r="K831" s="113" t="s">
        <v>71</v>
      </c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 t="s">
        <v>72</v>
      </c>
      <c r="W831" s="112" t="s">
        <v>73</v>
      </c>
    </row>
    <row r="832" ht="49.5" customHeight="1">
      <c r="A832" s="110" t="s">
        <v>3204</v>
      </c>
      <c r="B832" s="110" t="s">
        <v>3205</v>
      </c>
      <c r="C832" s="110" t="s">
        <v>3206</v>
      </c>
      <c r="D832" s="110"/>
      <c r="E832" s="111" t="s">
        <v>3207</v>
      </c>
      <c r="F832" s="111" t="s">
        <v>3208</v>
      </c>
      <c r="G832" s="110" t="s">
        <v>213</v>
      </c>
      <c r="H832" s="113">
        <v>30.0</v>
      </c>
      <c r="I832" s="110" t="s">
        <v>70</v>
      </c>
      <c r="J832" s="112">
        <v>6190.0</v>
      </c>
      <c r="K832" s="113" t="s">
        <v>71</v>
      </c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 t="s">
        <v>72</v>
      </c>
      <c r="W832" s="112" t="s">
        <v>73</v>
      </c>
    </row>
    <row r="833" ht="49.5" customHeight="1">
      <c r="A833" s="110" t="s">
        <v>3209</v>
      </c>
      <c r="B833" s="110" t="s">
        <v>3210</v>
      </c>
      <c r="C833" s="110" t="s">
        <v>3211</v>
      </c>
      <c r="D833" s="110"/>
      <c r="E833" s="111" t="s">
        <v>3212</v>
      </c>
      <c r="F833" s="111" t="s">
        <v>3213</v>
      </c>
      <c r="G833" s="110" t="s">
        <v>213</v>
      </c>
      <c r="H833" s="113">
        <v>30.0</v>
      </c>
      <c r="I833" s="110" t="s">
        <v>70</v>
      </c>
      <c r="J833" s="112">
        <v>6190.0</v>
      </c>
      <c r="K833" s="113" t="s">
        <v>71</v>
      </c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 t="s">
        <v>72</v>
      </c>
      <c r="W833" s="112" t="s">
        <v>73</v>
      </c>
    </row>
    <row r="834" ht="49.5" customHeight="1">
      <c r="A834" s="110" t="s">
        <v>3214</v>
      </c>
      <c r="B834" s="110" t="s">
        <v>3215</v>
      </c>
      <c r="C834" s="110" t="s">
        <v>3216</v>
      </c>
      <c r="D834" s="110"/>
      <c r="E834" s="111" t="s">
        <v>3217</v>
      </c>
      <c r="F834" s="111" t="s">
        <v>3218</v>
      </c>
      <c r="G834" s="110" t="s">
        <v>213</v>
      </c>
      <c r="H834" s="113">
        <v>30.0</v>
      </c>
      <c r="I834" s="110" t="s">
        <v>70</v>
      </c>
      <c r="J834" s="112">
        <v>6190.0</v>
      </c>
      <c r="K834" s="113" t="s">
        <v>71</v>
      </c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 t="s">
        <v>72</v>
      </c>
      <c r="W834" s="112" t="s">
        <v>73</v>
      </c>
    </row>
    <row r="835" ht="49.5" customHeight="1">
      <c r="A835" s="110" t="s">
        <v>3219</v>
      </c>
      <c r="B835" s="110" t="s">
        <v>3220</v>
      </c>
      <c r="C835" s="110" t="s">
        <v>3221</v>
      </c>
      <c r="D835" s="110"/>
      <c r="E835" s="111" t="s">
        <v>3222</v>
      </c>
      <c r="F835" s="111" t="s">
        <v>3223</v>
      </c>
      <c r="G835" s="110" t="s">
        <v>1546</v>
      </c>
      <c r="H835" s="113">
        <v>30.0</v>
      </c>
      <c r="I835" s="110" t="s">
        <v>70</v>
      </c>
      <c r="J835" s="112">
        <v>18190.0</v>
      </c>
      <c r="K835" s="113" t="s">
        <v>71</v>
      </c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 t="s">
        <v>72</v>
      </c>
      <c r="W835" s="112" t="s">
        <v>73</v>
      </c>
    </row>
    <row r="836" ht="49.5" customHeight="1">
      <c r="A836" s="110" t="s">
        <v>3224</v>
      </c>
      <c r="B836" s="110" t="s">
        <v>3225</v>
      </c>
      <c r="C836" s="110" t="s">
        <v>3226</v>
      </c>
      <c r="D836" s="110"/>
      <c r="E836" s="111" t="s">
        <v>3227</v>
      </c>
      <c r="F836" s="111" t="s">
        <v>3228</v>
      </c>
      <c r="G836" s="110" t="s">
        <v>213</v>
      </c>
      <c r="H836" s="113">
        <v>30.0</v>
      </c>
      <c r="I836" s="110" t="s">
        <v>70</v>
      </c>
      <c r="J836" s="112">
        <v>6190.0</v>
      </c>
      <c r="K836" s="113" t="s">
        <v>71</v>
      </c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 t="s">
        <v>72</v>
      </c>
      <c r="W836" s="112" t="s">
        <v>73</v>
      </c>
    </row>
    <row r="837" ht="49.5" customHeight="1">
      <c r="A837" s="110" t="s">
        <v>3229</v>
      </c>
      <c r="B837" s="110" t="s">
        <v>3230</v>
      </c>
      <c r="C837" s="110" t="s">
        <v>3231</v>
      </c>
      <c r="D837" s="110"/>
      <c r="E837" s="111" t="s">
        <v>3232</v>
      </c>
      <c r="F837" s="111" t="s">
        <v>3233</v>
      </c>
      <c r="G837" s="110" t="s">
        <v>766</v>
      </c>
      <c r="H837" s="113">
        <v>30.0</v>
      </c>
      <c r="I837" s="110" t="s">
        <v>70</v>
      </c>
      <c r="J837" s="112">
        <v>6690.0</v>
      </c>
      <c r="K837" s="113" t="s">
        <v>71</v>
      </c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 t="s">
        <v>72</v>
      </c>
      <c r="W837" s="112" t="s">
        <v>73</v>
      </c>
    </row>
    <row r="838" ht="49.5" customHeight="1">
      <c r="A838" s="110" t="s">
        <v>3234</v>
      </c>
      <c r="B838" s="110" t="s">
        <v>3235</v>
      </c>
      <c r="C838" s="110" t="s">
        <v>3236</v>
      </c>
      <c r="D838" s="110"/>
      <c r="E838" s="111" t="s">
        <v>3237</v>
      </c>
      <c r="F838" s="111" t="s">
        <v>3238</v>
      </c>
      <c r="G838" s="110" t="s">
        <v>752</v>
      </c>
      <c r="H838" s="113">
        <v>30.0</v>
      </c>
      <c r="I838" s="110" t="s">
        <v>70</v>
      </c>
      <c r="J838" s="112">
        <v>5390.0</v>
      </c>
      <c r="K838" s="113" t="s">
        <v>71</v>
      </c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 t="s">
        <v>72</v>
      </c>
      <c r="W838" s="112" t="s">
        <v>73</v>
      </c>
    </row>
    <row r="839" ht="49.5" customHeight="1">
      <c r="A839" s="110" t="s">
        <v>3239</v>
      </c>
      <c r="B839" s="110" t="s">
        <v>3240</v>
      </c>
      <c r="C839" s="110" t="s">
        <v>3241</v>
      </c>
      <c r="D839" s="110"/>
      <c r="E839" s="111" t="s">
        <v>3242</v>
      </c>
      <c r="F839" s="111" t="s">
        <v>3243</v>
      </c>
      <c r="G839" s="110" t="s">
        <v>766</v>
      </c>
      <c r="H839" s="113">
        <v>30.0</v>
      </c>
      <c r="I839" s="110" t="s">
        <v>70</v>
      </c>
      <c r="J839" s="112">
        <v>6090.0</v>
      </c>
      <c r="K839" s="113" t="s">
        <v>71</v>
      </c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 t="s">
        <v>72</v>
      </c>
      <c r="W839" s="112" t="s">
        <v>73</v>
      </c>
    </row>
    <row r="840" ht="49.5" customHeight="1">
      <c r="A840" s="110" t="s">
        <v>3244</v>
      </c>
      <c r="B840" s="110" t="s">
        <v>3245</v>
      </c>
      <c r="C840" s="110" t="s">
        <v>3246</v>
      </c>
      <c r="D840" s="110"/>
      <c r="E840" s="111" t="s">
        <v>3247</v>
      </c>
      <c r="F840" s="111" t="s">
        <v>3248</v>
      </c>
      <c r="G840" s="110" t="s">
        <v>213</v>
      </c>
      <c r="H840" s="113">
        <v>30.0</v>
      </c>
      <c r="I840" s="110" t="s">
        <v>70</v>
      </c>
      <c r="J840" s="112">
        <v>6190.0</v>
      </c>
      <c r="K840" s="113" t="s">
        <v>71</v>
      </c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 t="s">
        <v>72</v>
      </c>
      <c r="W840" s="112" t="s">
        <v>73</v>
      </c>
    </row>
    <row r="841" ht="49.5" customHeight="1">
      <c r="A841" s="110" t="s">
        <v>3249</v>
      </c>
      <c r="B841" s="110" t="s">
        <v>3250</v>
      </c>
      <c r="C841" s="110" t="s">
        <v>3251</v>
      </c>
      <c r="D841" s="110"/>
      <c r="E841" s="111" t="s">
        <v>3252</v>
      </c>
      <c r="F841" s="111" t="s">
        <v>3253</v>
      </c>
      <c r="G841" s="110" t="s">
        <v>752</v>
      </c>
      <c r="H841" s="113">
        <v>30.0</v>
      </c>
      <c r="I841" s="110" t="s">
        <v>70</v>
      </c>
      <c r="J841" s="112">
        <v>5390.0</v>
      </c>
      <c r="K841" s="113" t="s">
        <v>71</v>
      </c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 t="s">
        <v>72</v>
      </c>
      <c r="W841" s="112" t="s">
        <v>73</v>
      </c>
    </row>
    <row r="842" ht="49.5" customHeight="1">
      <c r="A842" s="110" t="s">
        <v>3254</v>
      </c>
      <c r="B842" s="110" t="s">
        <v>3255</v>
      </c>
      <c r="C842" s="110" t="s">
        <v>3256</v>
      </c>
      <c r="D842" s="110"/>
      <c r="E842" s="111" t="s">
        <v>3257</v>
      </c>
      <c r="F842" s="111" t="s">
        <v>3258</v>
      </c>
      <c r="G842" s="110" t="s">
        <v>213</v>
      </c>
      <c r="H842" s="113">
        <v>30.0</v>
      </c>
      <c r="I842" s="110" t="s">
        <v>70</v>
      </c>
      <c r="J842" s="112">
        <v>5990.0</v>
      </c>
      <c r="K842" s="113" t="s">
        <v>71</v>
      </c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 t="s">
        <v>72</v>
      </c>
      <c r="W842" s="112" t="s">
        <v>73</v>
      </c>
    </row>
    <row r="843" ht="49.5" customHeight="1">
      <c r="A843" s="110" t="s">
        <v>3259</v>
      </c>
      <c r="B843" s="110" t="s">
        <v>3260</v>
      </c>
      <c r="C843" s="110" t="s">
        <v>3261</v>
      </c>
      <c r="D843" s="110"/>
      <c r="E843" s="111" t="s">
        <v>3262</v>
      </c>
      <c r="F843" s="111" t="s">
        <v>3263</v>
      </c>
      <c r="G843" s="110" t="s">
        <v>213</v>
      </c>
      <c r="H843" s="113">
        <v>30.0</v>
      </c>
      <c r="I843" s="110" t="s">
        <v>70</v>
      </c>
      <c r="J843" s="112">
        <v>6190.0</v>
      </c>
      <c r="K843" s="113" t="s">
        <v>71</v>
      </c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 t="s">
        <v>72</v>
      </c>
      <c r="W843" s="112" t="s">
        <v>73</v>
      </c>
    </row>
    <row r="844" ht="49.5" customHeight="1">
      <c r="A844" s="110" t="s">
        <v>3264</v>
      </c>
      <c r="B844" s="110" t="s">
        <v>3265</v>
      </c>
      <c r="C844" s="110" t="s">
        <v>3266</v>
      </c>
      <c r="D844" s="110"/>
      <c r="E844" s="111" t="s">
        <v>3267</v>
      </c>
      <c r="F844" s="111" t="s">
        <v>3268</v>
      </c>
      <c r="G844" s="110" t="s">
        <v>766</v>
      </c>
      <c r="H844" s="113">
        <v>30.0</v>
      </c>
      <c r="I844" s="110" t="s">
        <v>70</v>
      </c>
      <c r="J844" s="112">
        <v>6090.0</v>
      </c>
      <c r="K844" s="113" t="s">
        <v>71</v>
      </c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 t="s">
        <v>72</v>
      </c>
      <c r="W844" s="112" t="s">
        <v>73</v>
      </c>
    </row>
    <row r="845" ht="49.5" customHeight="1">
      <c r="A845" s="110" t="s">
        <v>3269</v>
      </c>
      <c r="B845" s="110" t="s">
        <v>3270</v>
      </c>
      <c r="C845" s="110" t="s">
        <v>3271</v>
      </c>
      <c r="D845" s="110"/>
      <c r="E845" s="111" t="s">
        <v>3272</v>
      </c>
      <c r="F845" s="111" t="s">
        <v>3273</v>
      </c>
      <c r="G845" s="110" t="s">
        <v>213</v>
      </c>
      <c r="H845" s="113">
        <v>30.0</v>
      </c>
      <c r="I845" s="110" t="s">
        <v>70</v>
      </c>
      <c r="J845" s="112">
        <v>6190.0</v>
      </c>
      <c r="K845" s="113" t="s">
        <v>71</v>
      </c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 t="s">
        <v>72</v>
      </c>
      <c r="W845" s="112" t="s">
        <v>73</v>
      </c>
    </row>
    <row r="846" ht="49.5" customHeight="1">
      <c r="A846" s="110" t="s">
        <v>3274</v>
      </c>
      <c r="B846" s="110" t="s">
        <v>3275</v>
      </c>
      <c r="C846" s="110" t="s">
        <v>3276</v>
      </c>
      <c r="D846" s="110"/>
      <c r="E846" s="111" t="s">
        <v>3277</v>
      </c>
      <c r="F846" s="111" t="s">
        <v>3278</v>
      </c>
      <c r="G846" s="110" t="s">
        <v>213</v>
      </c>
      <c r="H846" s="113">
        <v>30.0</v>
      </c>
      <c r="I846" s="110" t="s">
        <v>70</v>
      </c>
      <c r="J846" s="112">
        <v>6190.0</v>
      </c>
      <c r="K846" s="113" t="s">
        <v>71</v>
      </c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 t="s">
        <v>72</v>
      </c>
      <c r="W846" s="112" t="s">
        <v>73</v>
      </c>
    </row>
    <row r="847" ht="49.5" customHeight="1">
      <c r="A847" s="110" t="s">
        <v>3279</v>
      </c>
      <c r="B847" s="110" t="s">
        <v>3280</v>
      </c>
      <c r="C847" s="110" t="s">
        <v>3281</v>
      </c>
      <c r="D847" s="110"/>
      <c r="E847" s="111" t="s">
        <v>3282</v>
      </c>
      <c r="F847" s="111" t="s">
        <v>3283</v>
      </c>
      <c r="G847" s="110" t="s">
        <v>144</v>
      </c>
      <c r="H847" s="113">
        <v>30.0</v>
      </c>
      <c r="I847" s="110" t="s">
        <v>70</v>
      </c>
      <c r="J847" s="112">
        <v>14190.0</v>
      </c>
      <c r="K847" s="113" t="s">
        <v>71</v>
      </c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 t="s">
        <v>72</v>
      </c>
      <c r="W847" s="112" t="s">
        <v>73</v>
      </c>
    </row>
    <row r="848" ht="49.5" customHeight="1">
      <c r="A848" s="110" t="s">
        <v>3284</v>
      </c>
      <c r="B848" s="110" t="s">
        <v>3285</v>
      </c>
      <c r="C848" s="110" t="s">
        <v>3286</v>
      </c>
      <c r="D848" s="110"/>
      <c r="E848" s="111" t="s">
        <v>3287</v>
      </c>
      <c r="F848" s="111" t="s">
        <v>3288</v>
      </c>
      <c r="G848" s="110" t="s">
        <v>213</v>
      </c>
      <c r="H848" s="113">
        <v>30.0</v>
      </c>
      <c r="I848" s="110" t="s">
        <v>70</v>
      </c>
      <c r="J848" s="112">
        <v>5990.0</v>
      </c>
      <c r="K848" s="113" t="s">
        <v>71</v>
      </c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 t="s">
        <v>72</v>
      </c>
      <c r="W848" s="112" t="s">
        <v>73</v>
      </c>
    </row>
    <row r="849" ht="49.5" customHeight="1">
      <c r="A849" s="110" t="s">
        <v>3289</v>
      </c>
      <c r="B849" s="110" t="s">
        <v>3290</v>
      </c>
      <c r="C849" s="110" t="s">
        <v>3291</v>
      </c>
      <c r="D849" s="110"/>
      <c r="E849" s="111" t="s">
        <v>3292</v>
      </c>
      <c r="F849" s="111" t="s">
        <v>3293</v>
      </c>
      <c r="G849" s="110" t="s">
        <v>213</v>
      </c>
      <c r="H849" s="113">
        <v>30.0</v>
      </c>
      <c r="I849" s="110" t="s">
        <v>70</v>
      </c>
      <c r="J849" s="112">
        <v>6190.0</v>
      </c>
      <c r="K849" s="113" t="s">
        <v>71</v>
      </c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 t="s">
        <v>72</v>
      </c>
      <c r="W849" s="112" t="s">
        <v>73</v>
      </c>
    </row>
    <row r="850" ht="49.5" customHeight="1">
      <c r="A850" s="110" t="s">
        <v>3294</v>
      </c>
      <c r="B850" s="110" t="s">
        <v>3295</v>
      </c>
      <c r="C850" s="110" t="s">
        <v>3296</v>
      </c>
      <c r="D850" s="110"/>
      <c r="E850" s="111" t="s">
        <v>3297</v>
      </c>
      <c r="F850" s="111" t="s">
        <v>3298</v>
      </c>
      <c r="G850" s="110" t="s">
        <v>766</v>
      </c>
      <c r="H850" s="113">
        <v>30.0</v>
      </c>
      <c r="I850" s="110" t="s">
        <v>70</v>
      </c>
      <c r="J850" s="112">
        <v>5390.0</v>
      </c>
      <c r="K850" s="113" t="s">
        <v>71</v>
      </c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 t="s">
        <v>72</v>
      </c>
      <c r="W850" s="112" t="s">
        <v>73</v>
      </c>
    </row>
    <row r="851" ht="49.5" customHeight="1">
      <c r="A851" s="110" t="s">
        <v>3299</v>
      </c>
      <c r="B851" s="110" t="s">
        <v>3300</v>
      </c>
      <c r="C851" s="110" t="s">
        <v>3301</v>
      </c>
      <c r="D851" s="110"/>
      <c r="E851" s="111" t="s">
        <v>3302</v>
      </c>
      <c r="F851" s="111" t="s">
        <v>3303</v>
      </c>
      <c r="G851" s="110" t="s">
        <v>766</v>
      </c>
      <c r="H851" s="113">
        <v>30.0</v>
      </c>
      <c r="I851" s="110" t="s">
        <v>70</v>
      </c>
      <c r="J851" s="112">
        <v>6690.0</v>
      </c>
      <c r="K851" s="113" t="s">
        <v>71</v>
      </c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 t="s">
        <v>72</v>
      </c>
      <c r="W851" s="112" t="s">
        <v>73</v>
      </c>
    </row>
    <row r="852" ht="49.5" customHeight="1">
      <c r="A852" s="110" t="s">
        <v>3304</v>
      </c>
      <c r="B852" s="110" t="s">
        <v>3305</v>
      </c>
      <c r="C852" s="110" t="s">
        <v>3306</v>
      </c>
      <c r="D852" s="110"/>
      <c r="E852" s="111" t="s">
        <v>3307</v>
      </c>
      <c r="F852" s="111" t="s">
        <v>3308</v>
      </c>
      <c r="G852" s="110" t="s">
        <v>213</v>
      </c>
      <c r="H852" s="113">
        <v>30.0</v>
      </c>
      <c r="I852" s="110" t="s">
        <v>70</v>
      </c>
      <c r="J852" s="112">
        <v>6490.0</v>
      </c>
      <c r="K852" s="113" t="s">
        <v>71</v>
      </c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 t="s">
        <v>72</v>
      </c>
      <c r="W852" s="112" t="s">
        <v>73</v>
      </c>
    </row>
    <row r="853" ht="49.5" customHeight="1">
      <c r="A853" s="110" t="s">
        <v>3309</v>
      </c>
      <c r="B853" s="110" t="s">
        <v>3310</v>
      </c>
      <c r="C853" s="110" t="s">
        <v>3311</v>
      </c>
      <c r="D853" s="110"/>
      <c r="E853" s="111" t="s">
        <v>3312</v>
      </c>
      <c r="F853" s="111" t="s">
        <v>3313</v>
      </c>
      <c r="G853" s="110" t="s">
        <v>766</v>
      </c>
      <c r="H853" s="113">
        <v>30.0</v>
      </c>
      <c r="I853" s="110" t="s">
        <v>70</v>
      </c>
      <c r="J853" s="112">
        <v>6090.0</v>
      </c>
      <c r="K853" s="113" t="s">
        <v>71</v>
      </c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 t="s">
        <v>72</v>
      </c>
      <c r="W853" s="112" t="s">
        <v>73</v>
      </c>
    </row>
    <row r="854" ht="49.5" customHeight="1">
      <c r="A854" s="110" t="s">
        <v>3314</v>
      </c>
      <c r="B854" s="110" t="s">
        <v>3315</v>
      </c>
      <c r="C854" s="110" t="s">
        <v>3316</v>
      </c>
      <c r="D854" s="110"/>
      <c r="E854" s="111" t="s">
        <v>3317</v>
      </c>
      <c r="F854" s="111" t="s">
        <v>3318</v>
      </c>
      <c r="G854" s="110" t="s">
        <v>213</v>
      </c>
      <c r="H854" s="113">
        <v>30.0</v>
      </c>
      <c r="I854" s="110" t="s">
        <v>70</v>
      </c>
      <c r="J854" s="112">
        <v>6490.0</v>
      </c>
      <c r="K854" s="113" t="s">
        <v>71</v>
      </c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 t="s">
        <v>72</v>
      </c>
      <c r="W854" s="112" t="s">
        <v>73</v>
      </c>
    </row>
    <row r="855" ht="49.5" customHeight="1">
      <c r="A855" s="110" t="s">
        <v>3319</v>
      </c>
      <c r="B855" s="110" t="s">
        <v>3320</v>
      </c>
      <c r="C855" s="110" t="s">
        <v>3321</v>
      </c>
      <c r="D855" s="110"/>
      <c r="E855" s="111" t="s">
        <v>3322</v>
      </c>
      <c r="F855" s="111" t="s">
        <v>3323</v>
      </c>
      <c r="G855" s="110" t="s">
        <v>213</v>
      </c>
      <c r="H855" s="113">
        <v>30.0</v>
      </c>
      <c r="I855" s="110" t="s">
        <v>70</v>
      </c>
      <c r="J855" s="112">
        <v>6190.0</v>
      </c>
      <c r="K855" s="113" t="s">
        <v>71</v>
      </c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 t="s">
        <v>72</v>
      </c>
      <c r="W855" s="112" t="s">
        <v>73</v>
      </c>
    </row>
    <row r="856" ht="49.5" customHeight="1">
      <c r="A856" s="110" t="s">
        <v>3324</v>
      </c>
      <c r="B856" s="110" t="s">
        <v>3325</v>
      </c>
      <c r="C856" s="110" t="s">
        <v>3326</v>
      </c>
      <c r="D856" s="110"/>
      <c r="E856" s="111" t="s">
        <v>3327</v>
      </c>
      <c r="F856" s="111" t="s">
        <v>3328</v>
      </c>
      <c r="G856" s="110" t="s">
        <v>213</v>
      </c>
      <c r="H856" s="113">
        <v>30.0</v>
      </c>
      <c r="I856" s="110" t="s">
        <v>70</v>
      </c>
      <c r="J856" s="112">
        <v>6490.0</v>
      </c>
      <c r="K856" s="113" t="s">
        <v>71</v>
      </c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 t="s">
        <v>72</v>
      </c>
      <c r="W856" s="112" t="s">
        <v>73</v>
      </c>
    </row>
    <row r="857" ht="49.5" customHeight="1">
      <c r="A857" s="110" t="s">
        <v>3329</v>
      </c>
      <c r="B857" s="110" t="s">
        <v>3330</v>
      </c>
      <c r="C857" s="110" t="s">
        <v>3331</v>
      </c>
      <c r="D857" s="110"/>
      <c r="E857" s="111" t="s">
        <v>3332</v>
      </c>
      <c r="F857" s="111" t="s">
        <v>3333</v>
      </c>
      <c r="G857" s="110" t="s">
        <v>213</v>
      </c>
      <c r="H857" s="113">
        <v>30.0</v>
      </c>
      <c r="I857" s="110" t="s">
        <v>70</v>
      </c>
      <c r="J857" s="112">
        <v>5990.0</v>
      </c>
      <c r="K857" s="113" t="s">
        <v>71</v>
      </c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 t="s">
        <v>72</v>
      </c>
      <c r="W857" s="112" t="s">
        <v>73</v>
      </c>
    </row>
    <row r="858" ht="49.5" customHeight="1">
      <c r="A858" s="110" t="s">
        <v>3334</v>
      </c>
      <c r="B858" s="110" t="s">
        <v>3335</v>
      </c>
      <c r="C858" s="110" t="s">
        <v>3336</v>
      </c>
      <c r="D858" s="110"/>
      <c r="E858" s="111" t="s">
        <v>3337</v>
      </c>
      <c r="F858" s="111" t="s">
        <v>3338</v>
      </c>
      <c r="G858" s="110" t="s">
        <v>752</v>
      </c>
      <c r="H858" s="113">
        <v>30.0</v>
      </c>
      <c r="I858" s="110" t="s">
        <v>70</v>
      </c>
      <c r="J858" s="112">
        <v>5390.0</v>
      </c>
      <c r="K858" s="113" t="s">
        <v>71</v>
      </c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 t="s">
        <v>72</v>
      </c>
      <c r="W858" s="112" t="s">
        <v>73</v>
      </c>
    </row>
    <row r="859" ht="49.5" customHeight="1">
      <c r="A859" s="110" t="s">
        <v>3339</v>
      </c>
      <c r="B859" s="110" t="s">
        <v>3340</v>
      </c>
      <c r="C859" s="110" t="s">
        <v>3341</v>
      </c>
      <c r="D859" s="110"/>
      <c r="E859" s="111" t="s">
        <v>3342</v>
      </c>
      <c r="F859" s="111" t="s">
        <v>3343</v>
      </c>
      <c r="G859" s="110" t="s">
        <v>213</v>
      </c>
      <c r="H859" s="113">
        <v>30.0</v>
      </c>
      <c r="I859" s="110" t="s">
        <v>70</v>
      </c>
      <c r="J859" s="112">
        <v>6190.0</v>
      </c>
      <c r="K859" s="113" t="s">
        <v>71</v>
      </c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 t="s">
        <v>72</v>
      </c>
      <c r="W859" s="112" t="s">
        <v>73</v>
      </c>
    </row>
    <row r="860" ht="49.5" customHeight="1">
      <c r="A860" s="110" t="s">
        <v>3344</v>
      </c>
      <c r="B860" s="110" t="s">
        <v>3345</v>
      </c>
      <c r="C860" s="110" t="s">
        <v>3346</v>
      </c>
      <c r="D860" s="110"/>
      <c r="E860" s="111" t="s">
        <v>3347</v>
      </c>
      <c r="F860" s="111" t="s">
        <v>3348</v>
      </c>
      <c r="G860" s="110" t="s">
        <v>752</v>
      </c>
      <c r="H860" s="113">
        <v>30.0</v>
      </c>
      <c r="I860" s="110" t="s">
        <v>70</v>
      </c>
      <c r="J860" s="112">
        <v>5390.0</v>
      </c>
      <c r="K860" s="113" t="s">
        <v>71</v>
      </c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 t="s">
        <v>72</v>
      </c>
      <c r="W860" s="112" t="s">
        <v>73</v>
      </c>
    </row>
    <row r="861" ht="49.5" customHeight="1">
      <c r="A861" s="110" t="s">
        <v>3349</v>
      </c>
      <c r="B861" s="110" t="s">
        <v>3350</v>
      </c>
      <c r="C861" s="110" t="s">
        <v>3351</v>
      </c>
      <c r="D861" s="110"/>
      <c r="E861" s="111" t="s">
        <v>3352</v>
      </c>
      <c r="F861" s="111" t="s">
        <v>3353</v>
      </c>
      <c r="G861" s="110" t="s">
        <v>213</v>
      </c>
      <c r="H861" s="113">
        <v>30.0</v>
      </c>
      <c r="I861" s="110" t="s">
        <v>70</v>
      </c>
      <c r="J861" s="112" t="s">
        <v>63</v>
      </c>
      <c r="K861" s="113" t="s">
        <v>71</v>
      </c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 t="s">
        <v>72</v>
      </c>
      <c r="W861" s="112" t="s">
        <v>73</v>
      </c>
    </row>
    <row r="862" ht="49.5" customHeight="1">
      <c r="A862" s="110" t="s">
        <v>3354</v>
      </c>
      <c r="B862" s="110" t="s">
        <v>3355</v>
      </c>
      <c r="C862" s="110" t="s">
        <v>3356</v>
      </c>
      <c r="D862" s="110"/>
      <c r="E862" s="111" t="s">
        <v>3357</v>
      </c>
      <c r="F862" s="111" t="s">
        <v>3358</v>
      </c>
      <c r="G862" s="110" t="s">
        <v>752</v>
      </c>
      <c r="H862" s="113">
        <v>30.0</v>
      </c>
      <c r="I862" s="110" t="s">
        <v>70</v>
      </c>
      <c r="J862" s="112">
        <v>5390.0</v>
      </c>
      <c r="K862" s="113" t="s">
        <v>71</v>
      </c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 t="s">
        <v>72</v>
      </c>
      <c r="W862" s="112" t="s">
        <v>73</v>
      </c>
    </row>
    <row r="863" ht="49.5" customHeight="1">
      <c r="A863" s="110" t="s">
        <v>3359</v>
      </c>
      <c r="B863" s="110" t="s">
        <v>3360</v>
      </c>
      <c r="C863" s="110" t="s">
        <v>3361</v>
      </c>
      <c r="D863" s="110"/>
      <c r="E863" s="111" t="s">
        <v>3362</v>
      </c>
      <c r="F863" s="111" t="s">
        <v>3363</v>
      </c>
      <c r="G863" s="110" t="s">
        <v>752</v>
      </c>
      <c r="H863" s="113">
        <v>30.0</v>
      </c>
      <c r="I863" s="110" t="s">
        <v>70</v>
      </c>
      <c r="J863" s="112">
        <v>5390.0</v>
      </c>
      <c r="K863" s="113" t="s">
        <v>71</v>
      </c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 t="s">
        <v>72</v>
      </c>
      <c r="W863" s="112" t="s">
        <v>73</v>
      </c>
    </row>
    <row r="864" ht="49.5" customHeight="1">
      <c r="A864" s="110" t="s">
        <v>3364</v>
      </c>
      <c r="B864" s="110" t="s">
        <v>3365</v>
      </c>
      <c r="C864" s="110" t="s">
        <v>3366</v>
      </c>
      <c r="D864" s="110"/>
      <c r="E864" s="111" t="s">
        <v>3367</v>
      </c>
      <c r="F864" s="111" t="s">
        <v>3368</v>
      </c>
      <c r="G864" s="110" t="s">
        <v>766</v>
      </c>
      <c r="H864" s="113">
        <v>30.0</v>
      </c>
      <c r="I864" s="110" t="s">
        <v>70</v>
      </c>
      <c r="J864" s="112">
        <v>6090.0</v>
      </c>
      <c r="K864" s="113" t="s">
        <v>71</v>
      </c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 t="s">
        <v>72</v>
      </c>
      <c r="W864" s="112" t="s">
        <v>73</v>
      </c>
    </row>
    <row r="865" ht="49.5" customHeight="1">
      <c r="A865" s="110" t="s">
        <v>3369</v>
      </c>
      <c r="B865" s="110" t="s">
        <v>3370</v>
      </c>
      <c r="C865" s="110" t="s">
        <v>3371</v>
      </c>
      <c r="D865" s="110"/>
      <c r="E865" s="111" t="s">
        <v>3372</v>
      </c>
      <c r="F865" s="111" t="s">
        <v>3373</v>
      </c>
      <c r="G865" s="110" t="s">
        <v>752</v>
      </c>
      <c r="H865" s="113">
        <v>30.0</v>
      </c>
      <c r="I865" s="110" t="s">
        <v>70</v>
      </c>
      <c r="J865" s="112">
        <v>5390.0</v>
      </c>
      <c r="K865" s="113" t="s">
        <v>71</v>
      </c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 t="s">
        <v>72</v>
      </c>
      <c r="W865" s="112" t="s">
        <v>73</v>
      </c>
    </row>
    <row r="866" ht="49.5" customHeight="1">
      <c r="A866" s="110" t="s">
        <v>3374</v>
      </c>
      <c r="B866" s="110" t="s">
        <v>3375</v>
      </c>
      <c r="C866" s="110" t="s">
        <v>3376</v>
      </c>
      <c r="D866" s="110"/>
      <c r="E866" s="111" t="s">
        <v>3377</v>
      </c>
      <c r="F866" s="111" t="s">
        <v>3378</v>
      </c>
      <c r="G866" s="110" t="s">
        <v>213</v>
      </c>
      <c r="H866" s="113">
        <v>30.0</v>
      </c>
      <c r="I866" s="110" t="s">
        <v>70</v>
      </c>
      <c r="J866" s="112">
        <v>6190.0</v>
      </c>
      <c r="K866" s="113" t="s">
        <v>71</v>
      </c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 t="s">
        <v>72</v>
      </c>
      <c r="W866" s="112" t="s">
        <v>73</v>
      </c>
    </row>
    <row r="867" ht="49.5" customHeight="1">
      <c r="A867" s="110" t="s">
        <v>3379</v>
      </c>
      <c r="B867" s="110" t="s">
        <v>3380</v>
      </c>
      <c r="C867" s="110" t="s">
        <v>3381</v>
      </c>
      <c r="D867" s="110"/>
      <c r="E867" s="111" t="s">
        <v>3382</v>
      </c>
      <c r="F867" s="111" t="s">
        <v>3383</v>
      </c>
      <c r="G867" s="110" t="s">
        <v>766</v>
      </c>
      <c r="H867" s="113">
        <v>30.0</v>
      </c>
      <c r="I867" s="110" t="s">
        <v>70</v>
      </c>
      <c r="J867" s="112">
        <v>6090.0</v>
      </c>
      <c r="K867" s="113" t="s">
        <v>71</v>
      </c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 t="s">
        <v>72</v>
      </c>
      <c r="W867" s="112" t="s">
        <v>73</v>
      </c>
    </row>
    <row r="868" ht="49.5" customHeight="1">
      <c r="A868" s="110" t="s">
        <v>3384</v>
      </c>
      <c r="B868" s="110" t="s">
        <v>3385</v>
      </c>
      <c r="C868" s="110" t="s">
        <v>3386</v>
      </c>
      <c r="D868" s="110"/>
      <c r="E868" s="111" t="s">
        <v>3387</v>
      </c>
      <c r="F868" s="111" t="s">
        <v>3388</v>
      </c>
      <c r="G868" s="110" t="s">
        <v>766</v>
      </c>
      <c r="H868" s="113">
        <v>30.0</v>
      </c>
      <c r="I868" s="110" t="s">
        <v>70</v>
      </c>
      <c r="J868" s="112">
        <v>5390.0</v>
      </c>
      <c r="K868" s="113" t="s">
        <v>71</v>
      </c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 t="s">
        <v>72</v>
      </c>
      <c r="W868" s="112" t="s">
        <v>73</v>
      </c>
    </row>
    <row r="869" ht="49.5" customHeight="1">
      <c r="A869" s="110" t="s">
        <v>3389</v>
      </c>
      <c r="B869" s="110" t="s">
        <v>3390</v>
      </c>
      <c r="C869" s="110" t="s">
        <v>3391</v>
      </c>
      <c r="D869" s="110"/>
      <c r="E869" s="111" t="s">
        <v>3392</v>
      </c>
      <c r="F869" s="111" t="s">
        <v>3393</v>
      </c>
      <c r="G869" s="110" t="s">
        <v>766</v>
      </c>
      <c r="H869" s="113">
        <v>30.0</v>
      </c>
      <c r="I869" s="110" t="s">
        <v>70</v>
      </c>
      <c r="J869" s="112">
        <v>5390.0</v>
      </c>
      <c r="K869" s="113" t="s">
        <v>71</v>
      </c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 t="s">
        <v>72</v>
      </c>
      <c r="W869" s="112" t="s">
        <v>73</v>
      </c>
    </row>
    <row r="870" ht="49.5" customHeight="1">
      <c r="A870" s="110" t="s">
        <v>3394</v>
      </c>
      <c r="B870" s="110" t="s">
        <v>3395</v>
      </c>
      <c r="C870" s="110" t="s">
        <v>3396</v>
      </c>
      <c r="D870" s="110"/>
      <c r="E870" s="111" t="s">
        <v>3397</v>
      </c>
      <c r="F870" s="111" t="s">
        <v>3398</v>
      </c>
      <c r="G870" s="110" t="s">
        <v>766</v>
      </c>
      <c r="H870" s="113">
        <v>30.0</v>
      </c>
      <c r="I870" s="110" t="s">
        <v>70</v>
      </c>
      <c r="J870" s="112">
        <v>5390.0</v>
      </c>
      <c r="K870" s="113" t="s">
        <v>71</v>
      </c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 t="s">
        <v>72</v>
      </c>
      <c r="W870" s="112" t="s">
        <v>73</v>
      </c>
    </row>
    <row r="871" ht="49.5" customHeight="1">
      <c r="A871" s="110" t="s">
        <v>3399</v>
      </c>
      <c r="B871" s="110" t="s">
        <v>3400</v>
      </c>
      <c r="C871" s="110" t="s">
        <v>3401</v>
      </c>
      <c r="D871" s="110"/>
      <c r="E871" s="111" t="s">
        <v>3402</v>
      </c>
      <c r="F871" s="111" t="s">
        <v>3403</v>
      </c>
      <c r="G871" s="110" t="s">
        <v>213</v>
      </c>
      <c r="H871" s="113">
        <v>30.0</v>
      </c>
      <c r="I871" s="110" t="s">
        <v>70</v>
      </c>
      <c r="J871" s="112">
        <v>6190.0</v>
      </c>
      <c r="K871" s="113" t="s">
        <v>71</v>
      </c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 t="s">
        <v>72</v>
      </c>
      <c r="W871" s="112" t="s">
        <v>73</v>
      </c>
    </row>
    <row r="872" ht="49.5" customHeight="1">
      <c r="A872" s="110" t="s">
        <v>3404</v>
      </c>
      <c r="B872" s="110" t="s">
        <v>3405</v>
      </c>
      <c r="C872" s="110" t="s">
        <v>3406</v>
      </c>
      <c r="D872" s="110"/>
      <c r="E872" s="111" t="s">
        <v>3407</v>
      </c>
      <c r="F872" s="111" t="s">
        <v>3408</v>
      </c>
      <c r="G872" s="110" t="s">
        <v>213</v>
      </c>
      <c r="H872" s="113">
        <v>30.0</v>
      </c>
      <c r="I872" s="110" t="s">
        <v>70</v>
      </c>
      <c r="J872" s="112">
        <v>6490.0</v>
      </c>
      <c r="K872" s="113" t="s">
        <v>71</v>
      </c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 t="s">
        <v>72</v>
      </c>
      <c r="W872" s="112" t="s">
        <v>73</v>
      </c>
    </row>
    <row r="873" ht="49.5" customHeight="1">
      <c r="A873" s="110" t="s">
        <v>3409</v>
      </c>
      <c r="B873" s="110" t="s">
        <v>3410</v>
      </c>
      <c r="C873" s="110" t="s">
        <v>3411</v>
      </c>
      <c r="D873" s="110"/>
      <c r="E873" s="111" t="s">
        <v>3412</v>
      </c>
      <c r="F873" s="111" t="s">
        <v>3413</v>
      </c>
      <c r="G873" s="110" t="s">
        <v>766</v>
      </c>
      <c r="H873" s="113">
        <v>30.0</v>
      </c>
      <c r="I873" s="110" t="s">
        <v>70</v>
      </c>
      <c r="J873" s="112">
        <v>6690.0</v>
      </c>
      <c r="K873" s="113" t="s">
        <v>71</v>
      </c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 t="s">
        <v>72</v>
      </c>
      <c r="W873" s="112" t="s">
        <v>73</v>
      </c>
    </row>
    <row r="874" ht="49.5" customHeight="1">
      <c r="A874" s="110" t="s">
        <v>3414</v>
      </c>
      <c r="B874" s="110" t="s">
        <v>3415</v>
      </c>
      <c r="C874" s="110" t="s">
        <v>3416</v>
      </c>
      <c r="D874" s="110"/>
      <c r="E874" s="111" t="s">
        <v>3417</v>
      </c>
      <c r="F874" s="111" t="s">
        <v>3418</v>
      </c>
      <c r="G874" s="110" t="s">
        <v>766</v>
      </c>
      <c r="H874" s="113">
        <v>10.0</v>
      </c>
      <c r="I874" s="110" t="s">
        <v>70</v>
      </c>
      <c r="J874" s="112">
        <v>6090.0</v>
      </c>
      <c r="K874" s="113" t="s">
        <v>71</v>
      </c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 t="s">
        <v>72</v>
      </c>
      <c r="W874" s="112" t="s">
        <v>73</v>
      </c>
    </row>
    <row r="875" ht="49.5" customHeight="1">
      <c r="A875" s="110" t="s">
        <v>3419</v>
      </c>
      <c r="B875" s="110" t="s">
        <v>3420</v>
      </c>
      <c r="C875" s="110" t="s">
        <v>3421</v>
      </c>
      <c r="D875" s="110"/>
      <c r="E875" s="111" t="s">
        <v>3422</v>
      </c>
      <c r="F875" s="111" t="s">
        <v>3423</v>
      </c>
      <c r="G875" s="110" t="s">
        <v>766</v>
      </c>
      <c r="H875" s="113">
        <v>30.0</v>
      </c>
      <c r="I875" s="110" t="s">
        <v>70</v>
      </c>
      <c r="J875" s="112">
        <v>6090.0</v>
      </c>
      <c r="K875" s="113" t="s">
        <v>71</v>
      </c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 t="s">
        <v>72</v>
      </c>
      <c r="W875" s="112" t="s">
        <v>73</v>
      </c>
    </row>
    <row r="876" ht="49.5" customHeight="1">
      <c r="A876" s="110" t="s">
        <v>3424</v>
      </c>
      <c r="B876" s="110" t="s">
        <v>3425</v>
      </c>
      <c r="C876" s="110" t="s">
        <v>3426</v>
      </c>
      <c r="D876" s="110"/>
      <c r="E876" s="111" t="s">
        <v>3427</v>
      </c>
      <c r="F876" s="111" t="s">
        <v>3428</v>
      </c>
      <c r="G876" s="110" t="s">
        <v>213</v>
      </c>
      <c r="H876" s="113">
        <v>30.0</v>
      </c>
      <c r="I876" s="110" t="s">
        <v>70</v>
      </c>
      <c r="J876" s="112">
        <v>6190.0</v>
      </c>
      <c r="K876" s="113" t="s">
        <v>71</v>
      </c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 t="s">
        <v>72</v>
      </c>
      <c r="W876" s="112" t="s">
        <v>73</v>
      </c>
    </row>
    <row r="877" ht="49.5" customHeight="1">
      <c r="A877" s="110" t="s">
        <v>3429</v>
      </c>
      <c r="B877" s="110" t="s">
        <v>3430</v>
      </c>
      <c r="C877" s="110" t="s">
        <v>3431</v>
      </c>
      <c r="D877" s="110"/>
      <c r="E877" s="111" t="s">
        <v>3432</v>
      </c>
      <c r="F877" s="111" t="s">
        <v>3433</v>
      </c>
      <c r="G877" s="110" t="s">
        <v>144</v>
      </c>
      <c r="H877" s="113">
        <v>30.0</v>
      </c>
      <c r="I877" s="110" t="s">
        <v>70</v>
      </c>
      <c r="J877" s="112">
        <v>6790.0</v>
      </c>
      <c r="K877" s="113" t="s">
        <v>71</v>
      </c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 t="s">
        <v>72</v>
      </c>
      <c r="W877" s="112" t="s">
        <v>73</v>
      </c>
    </row>
    <row r="878" ht="49.5" customHeight="1">
      <c r="A878" s="110" t="s">
        <v>3434</v>
      </c>
      <c r="B878" s="110" t="s">
        <v>3435</v>
      </c>
      <c r="C878" s="110" t="s">
        <v>3436</v>
      </c>
      <c r="D878" s="110"/>
      <c r="E878" s="111" t="s">
        <v>3437</v>
      </c>
      <c r="F878" s="111" t="s">
        <v>3438</v>
      </c>
      <c r="G878" s="110" t="s">
        <v>213</v>
      </c>
      <c r="H878" s="113">
        <v>30.0</v>
      </c>
      <c r="I878" s="110" t="s">
        <v>70</v>
      </c>
      <c r="J878" s="112">
        <v>6190.0</v>
      </c>
      <c r="K878" s="113" t="s">
        <v>71</v>
      </c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 t="s">
        <v>72</v>
      </c>
      <c r="W878" s="112" t="s">
        <v>73</v>
      </c>
    </row>
    <row r="879" ht="49.5" customHeight="1">
      <c r="A879" s="110" t="s">
        <v>3439</v>
      </c>
      <c r="B879" s="110" t="s">
        <v>3440</v>
      </c>
      <c r="C879" s="110" t="s">
        <v>3441</v>
      </c>
      <c r="D879" s="110"/>
      <c r="E879" s="111" t="s">
        <v>3442</v>
      </c>
      <c r="F879" s="111" t="s">
        <v>3443</v>
      </c>
      <c r="G879" s="110" t="s">
        <v>766</v>
      </c>
      <c r="H879" s="113">
        <v>30.0</v>
      </c>
      <c r="I879" s="110" t="s">
        <v>70</v>
      </c>
      <c r="J879" s="112">
        <v>5390.0</v>
      </c>
      <c r="K879" s="113" t="s">
        <v>71</v>
      </c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 t="s">
        <v>72</v>
      </c>
      <c r="W879" s="112" t="s">
        <v>73</v>
      </c>
    </row>
    <row r="880" ht="49.5" customHeight="1">
      <c r="A880" s="110" t="s">
        <v>3444</v>
      </c>
      <c r="B880" s="110" t="s">
        <v>3445</v>
      </c>
      <c r="C880" s="110" t="s">
        <v>3446</v>
      </c>
      <c r="D880" s="110"/>
      <c r="E880" s="111" t="s">
        <v>3447</v>
      </c>
      <c r="F880" s="111" t="s">
        <v>3448</v>
      </c>
      <c r="G880" s="110" t="s">
        <v>766</v>
      </c>
      <c r="H880" s="113">
        <v>30.0</v>
      </c>
      <c r="I880" s="110" t="s">
        <v>70</v>
      </c>
      <c r="J880" s="112">
        <v>6090.0</v>
      </c>
      <c r="K880" s="113" t="s">
        <v>71</v>
      </c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 t="s">
        <v>72</v>
      </c>
      <c r="W880" s="112" t="s">
        <v>73</v>
      </c>
    </row>
    <row r="881" ht="49.5" customHeight="1">
      <c r="A881" s="110" t="s">
        <v>3449</v>
      </c>
      <c r="B881" s="110" t="s">
        <v>3450</v>
      </c>
      <c r="C881" s="110" t="s">
        <v>3451</v>
      </c>
      <c r="D881" s="110"/>
      <c r="E881" s="111" t="s">
        <v>3452</v>
      </c>
      <c r="F881" s="111" t="s">
        <v>3453</v>
      </c>
      <c r="G881" s="110" t="s">
        <v>766</v>
      </c>
      <c r="H881" s="113">
        <v>30.0</v>
      </c>
      <c r="I881" s="110" t="s">
        <v>70</v>
      </c>
      <c r="J881" s="112">
        <v>6690.0</v>
      </c>
      <c r="K881" s="113" t="s">
        <v>71</v>
      </c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 t="s">
        <v>72</v>
      </c>
      <c r="W881" s="112" t="s">
        <v>73</v>
      </c>
    </row>
    <row r="882" ht="49.5" customHeight="1">
      <c r="A882" s="110" t="s">
        <v>3454</v>
      </c>
      <c r="B882" s="110" t="s">
        <v>3455</v>
      </c>
      <c r="C882" s="110" t="s">
        <v>3456</v>
      </c>
      <c r="D882" s="110"/>
      <c r="E882" s="111" t="s">
        <v>3457</v>
      </c>
      <c r="F882" s="111" t="s">
        <v>3458</v>
      </c>
      <c r="G882" s="110" t="s">
        <v>213</v>
      </c>
      <c r="H882" s="113">
        <v>30.0</v>
      </c>
      <c r="I882" s="110" t="s">
        <v>70</v>
      </c>
      <c r="J882" s="112">
        <v>5990.0</v>
      </c>
      <c r="K882" s="113" t="s">
        <v>71</v>
      </c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 t="s">
        <v>72</v>
      </c>
      <c r="W882" s="112" t="s">
        <v>73</v>
      </c>
    </row>
    <row r="883" ht="49.5" customHeight="1">
      <c r="A883" s="110" t="s">
        <v>3459</v>
      </c>
      <c r="B883" s="110" t="s">
        <v>3460</v>
      </c>
      <c r="C883" s="110" t="s">
        <v>3461</v>
      </c>
      <c r="D883" s="110"/>
      <c r="E883" s="111" t="s">
        <v>3462</v>
      </c>
      <c r="F883" s="111" t="s">
        <v>3463</v>
      </c>
      <c r="G883" s="110" t="s">
        <v>766</v>
      </c>
      <c r="H883" s="113">
        <v>30.0</v>
      </c>
      <c r="I883" s="110" t="s">
        <v>70</v>
      </c>
      <c r="J883" s="112">
        <v>6690.0</v>
      </c>
      <c r="K883" s="113" t="s">
        <v>71</v>
      </c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 t="s">
        <v>72</v>
      </c>
      <c r="W883" s="112" t="s">
        <v>73</v>
      </c>
    </row>
    <row r="884" ht="49.5" customHeight="1">
      <c r="A884" s="110" t="s">
        <v>3464</v>
      </c>
      <c r="B884" s="110" t="s">
        <v>3465</v>
      </c>
      <c r="C884" s="110" t="s">
        <v>3466</v>
      </c>
      <c r="D884" s="110"/>
      <c r="E884" s="111" t="s">
        <v>3467</v>
      </c>
      <c r="F884" s="111" t="s">
        <v>3468</v>
      </c>
      <c r="G884" s="110" t="s">
        <v>213</v>
      </c>
      <c r="H884" s="113">
        <v>30.0</v>
      </c>
      <c r="I884" s="110" t="s">
        <v>70</v>
      </c>
      <c r="J884" s="112">
        <v>6190.0</v>
      </c>
      <c r="K884" s="113" t="s">
        <v>71</v>
      </c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 t="s">
        <v>72</v>
      </c>
      <c r="W884" s="112" t="s">
        <v>73</v>
      </c>
    </row>
    <row r="885" ht="49.5" customHeight="1">
      <c r="A885" s="110" t="s">
        <v>3469</v>
      </c>
      <c r="B885" s="110" t="s">
        <v>3470</v>
      </c>
      <c r="C885" s="110" t="s">
        <v>3471</v>
      </c>
      <c r="D885" s="110"/>
      <c r="E885" s="111" t="s">
        <v>3472</v>
      </c>
      <c r="F885" s="111" t="s">
        <v>3473</v>
      </c>
      <c r="G885" s="110" t="s">
        <v>144</v>
      </c>
      <c r="H885" s="113">
        <v>30.0</v>
      </c>
      <c r="I885" s="110" t="s">
        <v>70</v>
      </c>
      <c r="J885" s="112">
        <v>29690.0</v>
      </c>
      <c r="K885" s="113" t="s">
        <v>71</v>
      </c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 t="s">
        <v>72</v>
      </c>
      <c r="W885" s="112" t="s">
        <v>73</v>
      </c>
    </row>
    <row r="886" ht="49.5" customHeight="1">
      <c r="A886" s="110" t="s">
        <v>3474</v>
      </c>
      <c r="B886" s="110" t="s">
        <v>3475</v>
      </c>
      <c r="C886" s="110" t="s">
        <v>3476</v>
      </c>
      <c r="D886" s="110"/>
      <c r="E886" s="111" t="s">
        <v>3477</v>
      </c>
      <c r="F886" s="111" t="s">
        <v>3478</v>
      </c>
      <c r="G886" s="110" t="s">
        <v>213</v>
      </c>
      <c r="H886" s="113">
        <v>30.0</v>
      </c>
      <c r="I886" s="110" t="s">
        <v>70</v>
      </c>
      <c r="J886" s="112">
        <v>5990.0</v>
      </c>
      <c r="K886" s="113" t="s">
        <v>71</v>
      </c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 t="s">
        <v>72</v>
      </c>
      <c r="W886" s="112" t="s">
        <v>73</v>
      </c>
    </row>
    <row r="887" ht="49.5" customHeight="1">
      <c r="A887" s="110" t="s">
        <v>3479</v>
      </c>
      <c r="B887" s="110" t="s">
        <v>3480</v>
      </c>
      <c r="C887" s="110" t="s">
        <v>3481</v>
      </c>
      <c r="D887" s="110"/>
      <c r="E887" s="111" t="s">
        <v>3482</v>
      </c>
      <c r="F887" s="111" t="s">
        <v>3483</v>
      </c>
      <c r="G887" s="110" t="s">
        <v>213</v>
      </c>
      <c r="H887" s="113">
        <v>30.0</v>
      </c>
      <c r="I887" s="110" t="s">
        <v>70</v>
      </c>
      <c r="J887" s="112">
        <v>6190.0</v>
      </c>
      <c r="K887" s="113" t="s">
        <v>71</v>
      </c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 t="s">
        <v>72</v>
      </c>
      <c r="W887" s="112" t="s">
        <v>73</v>
      </c>
    </row>
    <row r="888" ht="49.5" customHeight="1">
      <c r="A888" s="110" t="s">
        <v>3484</v>
      </c>
      <c r="B888" s="110" t="s">
        <v>3485</v>
      </c>
      <c r="C888" s="110" t="s">
        <v>3486</v>
      </c>
      <c r="D888" s="110"/>
      <c r="E888" s="111" t="s">
        <v>3487</v>
      </c>
      <c r="F888" s="111" t="s">
        <v>3488</v>
      </c>
      <c r="G888" s="110" t="s">
        <v>213</v>
      </c>
      <c r="H888" s="113">
        <v>30.0</v>
      </c>
      <c r="I888" s="110" t="s">
        <v>70</v>
      </c>
      <c r="J888" s="112">
        <v>6190.0</v>
      </c>
      <c r="K888" s="113" t="s">
        <v>71</v>
      </c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 t="s">
        <v>72</v>
      </c>
      <c r="W888" s="112" t="s">
        <v>73</v>
      </c>
    </row>
    <row r="889" ht="49.5" customHeight="1">
      <c r="A889" s="110" t="s">
        <v>3489</v>
      </c>
      <c r="B889" s="110" t="s">
        <v>3490</v>
      </c>
      <c r="C889" s="110" t="s">
        <v>3491</v>
      </c>
      <c r="D889" s="110"/>
      <c r="E889" s="111" t="s">
        <v>3492</v>
      </c>
      <c r="F889" s="111" t="s">
        <v>3493</v>
      </c>
      <c r="G889" s="110" t="s">
        <v>213</v>
      </c>
      <c r="H889" s="113">
        <v>30.0</v>
      </c>
      <c r="I889" s="110" t="s">
        <v>70</v>
      </c>
      <c r="J889" s="112">
        <v>5990.0</v>
      </c>
      <c r="K889" s="113" t="s">
        <v>71</v>
      </c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 t="s">
        <v>72</v>
      </c>
      <c r="W889" s="112" t="s">
        <v>73</v>
      </c>
    </row>
    <row r="890" ht="49.5" customHeight="1">
      <c r="A890" s="110" t="s">
        <v>3494</v>
      </c>
      <c r="B890" s="110" t="s">
        <v>3495</v>
      </c>
      <c r="C890" s="110" t="s">
        <v>3496</v>
      </c>
      <c r="D890" s="110"/>
      <c r="E890" s="111" t="s">
        <v>3497</v>
      </c>
      <c r="F890" s="111" t="s">
        <v>3498</v>
      </c>
      <c r="G890" s="110" t="s">
        <v>213</v>
      </c>
      <c r="H890" s="113">
        <v>30.0</v>
      </c>
      <c r="I890" s="110" t="s">
        <v>70</v>
      </c>
      <c r="J890" s="112">
        <v>6190.0</v>
      </c>
      <c r="K890" s="113" t="s">
        <v>71</v>
      </c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 t="s">
        <v>72</v>
      </c>
      <c r="W890" s="112" t="s">
        <v>73</v>
      </c>
    </row>
    <row r="891" ht="49.5" customHeight="1">
      <c r="A891" s="110" t="s">
        <v>3499</v>
      </c>
      <c r="B891" s="110" t="s">
        <v>3500</v>
      </c>
      <c r="C891" s="110" t="s">
        <v>3501</v>
      </c>
      <c r="D891" s="110"/>
      <c r="E891" s="111" t="s">
        <v>3502</v>
      </c>
      <c r="F891" s="111" t="s">
        <v>3503</v>
      </c>
      <c r="G891" s="110" t="s">
        <v>752</v>
      </c>
      <c r="H891" s="113">
        <v>30.0</v>
      </c>
      <c r="I891" s="110" t="s">
        <v>70</v>
      </c>
      <c r="J891" s="112">
        <v>5390.0</v>
      </c>
      <c r="K891" s="113" t="s">
        <v>71</v>
      </c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 t="s">
        <v>72</v>
      </c>
      <c r="W891" s="112" t="s">
        <v>73</v>
      </c>
    </row>
    <row r="892" ht="49.5" customHeight="1">
      <c r="A892" s="110" t="s">
        <v>3504</v>
      </c>
      <c r="B892" s="110" t="s">
        <v>3505</v>
      </c>
      <c r="C892" s="110" t="s">
        <v>3506</v>
      </c>
      <c r="D892" s="110"/>
      <c r="E892" s="111" t="s">
        <v>3507</v>
      </c>
      <c r="F892" s="111" t="s">
        <v>3508</v>
      </c>
      <c r="G892" s="110" t="s">
        <v>213</v>
      </c>
      <c r="H892" s="113">
        <v>30.0</v>
      </c>
      <c r="I892" s="110" t="s">
        <v>70</v>
      </c>
      <c r="J892" s="112">
        <v>6190.0</v>
      </c>
      <c r="K892" s="113" t="s">
        <v>71</v>
      </c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 t="s">
        <v>72</v>
      </c>
      <c r="W892" s="112" t="s">
        <v>73</v>
      </c>
    </row>
    <row r="893" ht="49.5" customHeight="1">
      <c r="A893" s="110" t="s">
        <v>3509</v>
      </c>
      <c r="B893" s="110" t="s">
        <v>3510</v>
      </c>
      <c r="C893" s="110" t="s">
        <v>3511</v>
      </c>
      <c r="D893" s="110"/>
      <c r="E893" s="111" t="s">
        <v>3512</v>
      </c>
      <c r="F893" s="111" t="s">
        <v>3513</v>
      </c>
      <c r="G893" s="110" t="s">
        <v>766</v>
      </c>
      <c r="H893" s="113">
        <v>30.0</v>
      </c>
      <c r="I893" s="110" t="s">
        <v>70</v>
      </c>
      <c r="J893" s="112">
        <v>6690.0</v>
      </c>
      <c r="K893" s="113" t="s">
        <v>71</v>
      </c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 t="s">
        <v>72</v>
      </c>
      <c r="W893" s="112" t="s">
        <v>73</v>
      </c>
    </row>
    <row r="894" ht="49.5" customHeight="1">
      <c r="A894" s="110" t="s">
        <v>3514</v>
      </c>
      <c r="B894" s="110" t="s">
        <v>3515</v>
      </c>
      <c r="C894" s="110" t="s">
        <v>3516</v>
      </c>
      <c r="D894" s="110"/>
      <c r="E894" s="111" t="s">
        <v>3517</v>
      </c>
      <c r="F894" s="111" t="s">
        <v>3518</v>
      </c>
      <c r="G894" s="110" t="s">
        <v>213</v>
      </c>
      <c r="H894" s="113">
        <v>30.0</v>
      </c>
      <c r="I894" s="110" t="s">
        <v>70</v>
      </c>
      <c r="J894" s="112">
        <v>5990.0</v>
      </c>
      <c r="K894" s="113" t="s">
        <v>71</v>
      </c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 t="s">
        <v>72</v>
      </c>
      <c r="W894" s="112" t="s">
        <v>73</v>
      </c>
    </row>
    <row r="895" ht="49.5" customHeight="1">
      <c r="A895" s="110" t="s">
        <v>3519</v>
      </c>
      <c r="B895" s="110" t="s">
        <v>3520</v>
      </c>
      <c r="C895" s="110" t="s">
        <v>3521</v>
      </c>
      <c r="D895" s="110"/>
      <c r="E895" s="111" t="s">
        <v>3522</v>
      </c>
      <c r="F895" s="111" t="s">
        <v>3523</v>
      </c>
      <c r="G895" s="110" t="s">
        <v>766</v>
      </c>
      <c r="H895" s="113">
        <v>30.0</v>
      </c>
      <c r="I895" s="110" t="s">
        <v>70</v>
      </c>
      <c r="J895" s="112">
        <v>6690.0</v>
      </c>
      <c r="K895" s="113" t="s">
        <v>71</v>
      </c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 t="s">
        <v>72</v>
      </c>
      <c r="W895" s="112" t="s">
        <v>73</v>
      </c>
    </row>
    <row r="896" ht="49.5" customHeight="1">
      <c r="A896" s="110" t="s">
        <v>3524</v>
      </c>
      <c r="B896" s="110" t="s">
        <v>3525</v>
      </c>
      <c r="C896" s="110" t="s">
        <v>3526</v>
      </c>
      <c r="D896" s="110"/>
      <c r="E896" s="111" t="s">
        <v>3527</v>
      </c>
      <c r="F896" s="111" t="s">
        <v>3528</v>
      </c>
      <c r="G896" s="110" t="s">
        <v>213</v>
      </c>
      <c r="H896" s="113">
        <v>30.0</v>
      </c>
      <c r="I896" s="110" t="s">
        <v>70</v>
      </c>
      <c r="J896" s="112">
        <v>5990.0</v>
      </c>
      <c r="K896" s="113" t="s">
        <v>71</v>
      </c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 t="s">
        <v>72</v>
      </c>
      <c r="W896" s="112" t="s">
        <v>73</v>
      </c>
    </row>
    <row r="897" ht="49.5" customHeight="1">
      <c r="A897" s="110" t="s">
        <v>3529</v>
      </c>
      <c r="B897" s="110" t="s">
        <v>3530</v>
      </c>
      <c r="C897" s="110" t="s">
        <v>3531</v>
      </c>
      <c r="D897" s="110"/>
      <c r="E897" s="111" t="s">
        <v>3532</v>
      </c>
      <c r="F897" s="111" t="s">
        <v>3533</v>
      </c>
      <c r="G897" s="110" t="s">
        <v>213</v>
      </c>
      <c r="H897" s="113">
        <v>30.0</v>
      </c>
      <c r="I897" s="110" t="s">
        <v>70</v>
      </c>
      <c r="J897" s="112">
        <v>6190.0</v>
      </c>
      <c r="K897" s="113" t="s">
        <v>71</v>
      </c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 t="s">
        <v>72</v>
      </c>
      <c r="W897" s="112" t="s">
        <v>73</v>
      </c>
    </row>
    <row r="898" ht="49.5" customHeight="1">
      <c r="A898" s="110" t="s">
        <v>3534</v>
      </c>
      <c r="B898" s="110" t="s">
        <v>3535</v>
      </c>
      <c r="C898" s="110" t="s">
        <v>3536</v>
      </c>
      <c r="D898" s="110"/>
      <c r="E898" s="111" t="s">
        <v>3537</v>
      </c>
      <c r="F898" s="111" t="s">
        <v>3538</v>
      </c>
      <c r="G898" s="110" t="s">
        <v>766</v>
      </c>
      <c r="H898" s="113">
        <v>30.0</v>
      </c>
      <c r="I898" s="110" t="s">
        <v>70</v>
      </c>
      <c r="J898" s="112">
        <v>6690.0</v>
      </c>
      <c r="K898" s="113" t="s">
        <v>71</v>
      </c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 t="s">
        <v>72</v>
      </c>
      <c r="W898" s="112" t="s">
        <v>73</v>
      </c>
    </row>
    <row r="899" ht="49.5" customHeight="1">
      <c r="A899" s="110" t="s">
        <v>3539</v>
      </c>
      <c r="B899" s="110" t="s">
        <v>3540</v>
      </c>
      <c r="C899" s="110" t="s">
        <v>3541</v>
      </c>
      <c r="D899" s="110"/>
      <c r="E899" s="111" t="s">
        <v>3542</v>
      </c>
      <c r="F899" s="111" t="s">
        <v>3543</v>
      </c>
      <c r="G899" s="110" t="s">
        <v>3543</v>
      </c>
      <c r="H899" s="113">
        <v>30.0</v>
      </c>
      <c r="I899" s="110" t="s">
        <v>70</v>
      </c>
      <c r="J899" s="112">
        <v>6190.0</v>
      </c>
      <c r="K899" s="113" t="s">
        <v>71</v>
      </c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 t="s">
        <v>72</v>
      </c>
      <c r="W899" s="112" t="s">
        <v>73</v>
      </c>
    </row>
    <row r="900" ht="49.5" customHeight="1">
      <c r="A900" s="110" t="s">
        <v>3544</v>
      </c>
      <c r="B900" s="110" t="s">
        <v>3545</v>
      </c>
      <c r="C900" s="110" t="s">
        <v>3546</v>
      </c>
      <c r="D900" s="110"/>
      <c r="E900" s="111" t="s">
        <v>3547</v>
      </c>
      <c r="F900" s="111" t="s">
        <v>3548</v>
      </c>
      <c r="G900" s="110" t="s">
        <v>3549</v>
      </c>
      <c r="H900" s="113">
        <v>30.0</v>
      </c>
      <c r="I900" s="110" t="s">
        <v>70</v>
      </c>
      <c r="J900" s="112">
        <v>126890.0</v>
      </c>
      <c r="K900" s="113" t="s">
        <v>71</v>
      </c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 t="s">
        <v>72</v>
      </c>
      <c r="W900" s="112" t="s">
        <v>73</v>
      </c>
    </row>
    <row r="901" ht="49.5" customHeight="1">
      <c r="A901" s="110" t="s">
        <v>3550</v>
      </c>
      <c r="B901" s="110" t="s">
        <v>3551</v>
      </c>
      <c r="C901" s="110" t="s">
        <v>3552</v>
      </c>
      <c r="D901" s="110"/>
      <c r="E901" s="111" t="s">
        <v>3553</v>
      </c>
      <c r="F901" s="111" t="s">
        <v>3554</v>
      </c>
      <c r="G901" s="110" t="s">
        <v>3555</v>
      </c>
      <c r="H901" s="113">
        <v>30.0</v>
      </c>
      <c r="I901" s="110" t="s">
        <v>70</v>
      </c>
      <c r="J901" s="112">
        <v>111790.0</v>
      </c>
      <c r="K901" s="113" t="s">
        <v>71</v>
      </c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 t="s">
        <v>72</v>
      </c>
      <c r="W901" s="112" t="s">
        <v>73</v>
      </c>
    </row>
    <row r="902" ht="49.5" customHeight="1">
      <c r="A902" s="110" t="s">
        <v>3556</v>
      </c>
      <c r="B902" s="110" t="s">
        <v>3557</v>
      </c>
      <c r="C902" s="110" t="s">
        <v>3558</v>
      </c>
      <c r="D902" s="110"/>
      <c r="E902" s="111" t="s">
        <v>3559</v>
      </c>
      <c r="F902" s="111" t="s">
        <v>3560</v>
      </c>
      <c r="G902" s="110" t="s">
        <v>752</v>
      </c>
      <c r="H902" s="113">
        <v>30.0</v>
      </c>
      <c r="I902" s="110" t="s">
        <v>70</v>
      </c>
      <c r="J902" s="112">
        <v>7190.0</v>
      </c>
      <c r="K902" s="113" t="s">
        <v>71</v>
      </c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 t="s">
        <v>72</v>
      </c>
      <c r="W902" s="112" t="s">
        <v>73</v>
      </c>
    </row>
    <row r="903" ht="49.5" customHeight="1">
      <c r="A903" s="110" t="s">
        <v>3561</v>
      </c>
      <c r="B903" s="110" t="s">
        <v>3562</v>
      </c>
      <c r="C903" s="110" t="s">
        <v>3563</v>
      </c>
      <c r="D903" s="110"/>
      <c r="E903" s="111" t="s">
        <v>3564</v>
      </c>
      <c r="F903" s="111" t="s">
        <v>3565</v>
      </c>
      <c r="G903" s="110" t="s">
        <v>3555</v>
      </c>
      <c r="H903" s="113">
        <v>30.0</v>
      </c>
      <c r="I903" s="110" t="s">
        <v>70</v>
      </c>
      <c r="J903" s="112">
        <v>126890.0</v>
      </c>
      <c r="K903" s="113" t="s">
        <v>71</v>
      </c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 t="s">
        <v>72</v>
      </c>
      <c r="W903" s="112" t="s">
        <v>73</v>
      </c>
    </row>
    <row r="904" ht="49.5" customHeight="1">
      <c r="A904" s="110" t="s">
        <v>3566</v>
      </c>
      <c r="B904" s="110" t="s">
        <v>3567</v>
      </c>
      <c r="C904" s="110" t="s">
        <v>3568</v>
      </c>
      <c r="D904" s="110"/>
      <c r="E904" s="111" t="s">
        <v>3569</v>
      </c>
      <c r="F904" s="111" t="s">
        <v>3570</v>
      </c>
      <c r="G904" s="110" t="s">
        <v>3571</v>
      </c>
      <c r="H904" s="113">
        <v>30.0</v>
      </c>
      <c r="I904" s="110" t="s">
        <v>70</v>
      </c>
      <c r="J904" s="112">
        <v>104190.0</v>
      </c>
      <c r="K904" s="113" t="s">
        <v>71</v>
      </c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 t="s">
        <v>72</v>
      </c>
      <c r="W904" s="112" t="s">
        <v>73</v>
      </c>
    </row>
    <row r="905" ht="49.5" customHeight="1">
      <c r="A905" s="110" t="s">
        <v>3572</v>
      </c>
      <c r="B905" s="110" t="s">
        <v>3573</v>
      </c>
      <c r="C905" s="110" t="s">
        <v>3574</v>
      </c>
      <c r="D905" s="110"/>
      <c r="E905" s="111" t="s">
        <v>3575</v>
      </c>
      <c r="F905" s="111" t="s">
        <v>3576</v>
      </c>
      <c r="G905" s="110" t="s">
        <v>3577</v>
      </c>
      <c r="H905" s="113">
        <v>30.0</v>
      </c>
      <c r="I905" s="110" t="s">
        <v>70</v>
      </c>
      <c r="J905" s="112">
        <v>126890.0</v>
      </c>
      <c r="K905" s="113" t="s">
        <v>71</v>
      </c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 t="s">
        <v>72</v>
      </c>
      <c r="W905" s="112" t="s">
        <v>73</v>
      </c>
    </row>
    <row r="906" ht="49.5" customHeight="1">
      <c r="A906" s="110" t="s">
        <v>3578</v>
      </c>
      <c r="B906" s="110" t="s">
        <v>3579</v>
      </c>
      <c r="C906" s="110" t="s">
        <v>3580</v>
      </c>
      <c r="D906" s="110"/>
      <c r="E906" s="111" t="s">
        <v>3581</v>
      </c>
      <c r="F906" s="111" t="s">
        <v>3582</v>
      </c>
      <c r="G906" s="110" t="s">
        <v>752</v>
      </c>
      <c r="H906" s="113">
        <v>30.0</v>
      </c>
      <c r="I906" s="110" t="s">
        <v>70</v>
      </c>
      <c r="J906" s="112">
        <v>7990.0</v>
      </c>
      <c r="K906" s="113" t="s">
        <v>71</v>
      </c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 t="s">
        <v>72</v>
      </c>
      <c r="W906" s="112" t="s">
        <v>73</v>
      </c>
    </row>
    <row r="907" ht="49.5" customHeight="1">
      <c r="A907" s="110" t="s">
        <v>3583</v>
      </c>
      <c r="B907" s="110" t="s">
        <v>3584</v>
      </c>
      <c r="C907" s="110" t="s">
        <v>3585</v>
      </c>
      <c r="D907" s="110"/>
      <c r="E907" s="111" t="s">
        <v>3586</v>
      </c>
      <c r="F907" s="111" t="s">
        <v>3587</v>
      </c>
      <c r="G907" s="110" t="s">
        <v>3577</v>
      </c>
      <c r="H907" s="113">
        <v>30.0</v>
      </c>
      <c r="I907" s="110" t="s">
        <v>70</v>
      </c>
      <c r="J907" s="112">
        <v>111790.0</v>
      </c>
      <c r="K907" s="113" t="s">
        <v>71</v>
      </c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 t="s">
        <v>72</v>
      </c>
      <c r="W907" s="112" t="s">
        <v>73</v>
      </c>
    </row>
    <row r="908" ht="49.5" customHeight="1">
      <c r="A908" s="110" t="s">
        <v>3588</v>
      </c>
      <c r="B908" s="110" t="s">
        <v>3589</v>
      </c>
      <c r="C908" s="110" t="s">
        <v>3590</v>
      </c>
      <c r="D908" s="110"/>
      <c r="E908" s="111" t="s">
        <v>3591</v>
      </c>
      <c r="F908" s="111" t="s">
        <v>3592</v>
      </c>
      <c r="G908" s="110" t="s">
        <v>480</v>
      </c>
      <c r="H908" s="113">
        <v>30.0</v>
      </c>
      <c r="I908" s="110" t="s">
        <v>70</v>
      </c>
      <c r="J908" s="112">
        <v>5690.0</v>
      </c>
      <c r="K908" s="113" t="s">
        <v>71</v>
      </c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 t="s">
        <v>72</v>
      </c>
      <c r="W908" s="112" t="s">
        <v>73</v>
      </c>
    </row>
    <row r="909" ht="49.5" customHeight="1">
      <c r="A909" s="110" t="s">
        <v>3593</v>
      </c>
      <c r="B909" s="110" t="s">
        <v>3594</v>
      </c>
      <c r="C909" s="110" t="s">
        <v>3595</v>
      </c>
      <c r="D909" s="110"/>
      <c r="E909" s="111" t="s">
        <v>3596</v>
      </c>
      <c r="F909" s="111" t="s">
        <v>3597</v>
      </c>
      <c r="G909" s="110" t="s">
        <v>766</v>
      </c>
      <c r="H909" s="113">
        <v>30.0</v>
      </c>
      <c r="I909" s="110" t="s">
        <v>70</v>
      </c>
      <c r="J909" s="112">
        <v>7190.0</v>
      </c>
      <c r="K909" s="113" t="s">
        <v>71</v>
      </c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 t="s">
        <v>72</v>
      </c>
      <c r="W909" s="112" t="s">
        <v>73</v>
      </c>
    </row>
    <row r="910" ht="49.5" customHeight="1">
      <c r="A910" s="110" t="s">
        <v>3598</v>
      </c>
      <c r="B910" s="110" t="s">
        <v>3599</v>
      </c>
      <c r="C910" s="110" t="s">
        <v>3600</v>
      </c>
      <c r="D910" s="110"/>
      <c r="E910" s="111" t="s">
        <v>3601</v>
      </c>
      <c r="F910" s="111" t="s">
        <v>3602</v>
      </c>
      <c r="G910" s="110" t="s">
        <v>508</v>
      </c>
      <c r="H910" s="113">
        <v>30.0</v>
      </c>
      <c r="I910" s="110" t="s">
        <v>70</v>
      </c>
      <c r="J910" s="112">
        <v>6790.0</v>
      </c>
      <c r="K910" s="113" t="s">
        <v>71</v>
      </c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 t="s">
        <v>72</v>
      </c>
      <c r="W910" s="112" t="s">
        <v>73</v>
      </c>
    </row>
    <row r="911" ht="49.5" customHeight="1">
      <c r="A911" s="110" t="s">
        <v>3603</v>
      </c>
      <c r="B911" s="110" t="s">
        <v>3604</v>
      </c>
      <c r="C911" s="110" t="s">
        <v>3605</v>
      </c>
      <c r="D911" s="110"/>
      <c r="E911" s="111" t="s">
        <v>3606</v>
      </c>
      <c r="F911" s="111" t="s">
        <v>3607</v>
      </c>
      <c r="G911" s="110" t="s">
        <v>213</v>
      </c>
      <c r="H911" s="113">
        <v>30.0</v>
      </c>
      <c r="I911" s="110" t="s">
        <v>70</v>
      </c>
      <c r="J911" s="112">
        <v>8290.0</v>
      </c>
      <c r="K911" s="113" t="s">
        <v>71</v>
      </c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 t="s">
        <v>72</v>
      </c>
      <c r="W911" s="112" t="s">
        <v>73</v>
      </c>
    </row>
    <row r="912" ht="49.5" customHeight="1">
      <c r="A912" s="110" t="s">
        <v>3608</v>
      </c>
      <c r="B912" s="110" t="s">
        <v>3609</v>
      </c>
      <c r="C912" s="110" t="s">
        <v>3610</v>
      </c>
      <c r="D912" s="110"/>
      <c r="E912" s="111" t="s">
        <v>3611</v>
      </c>
      <c r="F912" s="111" t="s">
        <v>3612</v>
      </c>
      <c r="G912" s="110" t="s">
        <v>144</v>
      </c>
      <c r="H912" s="113">
        <v>30.0</v>
      </c>
      <c r="I912" s="110" t="s">
        <v>70</v>
      </c>
      <c r="J912" s="112">
        <v>6790.0</v>
      </c>
      <c r="K912" s="113" t="s">
        <v>71</v>
      </c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 t="s">
        <v>72</v>
      </c>
      <c r="W912" s="112" t="s">
        <v>73</v>
      </c>
    </row>
    <row r="913" ht="49.5" customHeight="1">
      <c r="A913" s="110" t="s">
        <v>3613</v>
      </c>
      <c r="B913" s="110" t="s">
        <v>3614</v>
      </c>
      <c r="C913" s="110" t="s">
        <v>3615</v>
      </c>
      <c r="D913" s="110"/>
      <c r="E913" s="111" t="s">
        <v>1625</v>
      </c>
      <c r="F913" s="111" t="s">
        <v>3616</v>
      </c>
      <c r="G913" s="110" t="s">
        <v>138</v>
      </c>
      <c r="H913" s="113">
        <v>30.0</v>
      </c>
      <c r="I913" s="110" t="s">
        <v>70</v>
      </c>
      <c r="J913" s="112">
        <v>5890.0</v>
      </c>
      <c r="K913" s="113" t="s">
        <v>71</v>
      </c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 t="s">
        <v>72</v>
      </c>
      <c r="W913" s="112" t="s">
        <v>73</v>
      </c>
    </row>
    <row r="914" ht="49.5" customHeight="1">
      <c r="A914" s="110" t="s">
        <v>3617</v>
      </c>
      <c r="B914" s="110" t="s">
        <v>3618</v>
      </c>
      <c r="C914" s="110" t="s">
        <v>3619</v>
      </c>
      <c r="D914" s="110"/>
      <c r="E914" s="111" t="s">
        <v>3620</v>
      </c>
      <c r="F914" s="111" t="s">
        <v>3621</v>
      </c>
      <c r="G914" s="110" t="s">
        <v>3622</v>
      </c>
      <c r="H914" s="113">
        <v>30.0</v>
      </c>
      <c r="I914" s="110" t="s">
        <v>70</v>
      </c>
      <c r="J914" s="112">
        <v>41790.0</v>
      </c>
      <c r="K914" s="113" t="s">
        <v>71</v>
      </c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 t="s">
        <v>72</v>
      </c>
      <c r="W914" s="112" t="s">
        <v>73</v>
      </c>
    </row>
    <row r="915" ht="49.5" customHeight="1">
      <c r="A915" s="110" t="s">
        <v>3623</v>
      </c>
      <c r="B915" s="110" t="s">
        <v>3624</v>
      </c>
      <c r="C915" s="110" t="s">
        <v>3625</v>
      </c>
      <c r="D915" s="110"/>
      <c r="E915" s="111" t="s">
        <v>3626</v>
      </c>
      <c r="F915" s="111" t="s">
        <v>3627</v>
      </c>
      <c r="G915" s="110" t="s">
        <v>90</v>
      </c>
      <c r="H915" s="113">
        <v>30.0</v>
      </c>
      <c r="I915" s="110" t="s">
        <v>70</v>
      </c>
      <c r="J915" s="112">
        <v>6290.0</v>
      </c>
      <c r="K915" s="113" t="s">
        <v>71</v>
      </c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 t="s">
        <v>72</v>
      </c>
      <c r="W915" s="112" t="s">
        <v>73</v>
      </c>
    </row>
    <row r="916" ht="49.5" customHeight="1">
      <c r="A916" s="110" t="s">
        <v>3628</v>
      </c>
      <c r="B916" s="110" t="s">
        <v>3629</v>
      </c>
      <c r="C916" s="110" t="s">
        <v>3630</v>
      </c>
      <c r="D916" s="110"/>
      <c r="E916" s="111" t="s">
        <v>3631</v>
      </c>
      <c r="F916" s="111" t="s">
        <v>3632</v>
      </c>
      <c r="G916" s="110" t="s">
        <v>90</v>
      </c>
      <c r="H916" s="113">
        <v>30.0</v>
      </c>
      <c r="I916" s="110" t="s">
        <v>70</v>
      </c>
      <c r="J916" s="112">
        <v>6790.0</v>
      </c>
      <c r="K916" s="113" t="s">
        <v>71</v>
      </c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 t="s">
        <v>72</v>
      </c>
      <c r="W916" s="112" t="s">
        <v>73</v>
      </c>
    </row>
    <row r="917" ht="49.5" customHeight="1">
      <c r="A917" s="110" t="s">
        <v>3633</v>
      </c>
      <c r="B917" s="110" t="s">
        <v>3634</v>
      </c>
      <c r="C917" s="110" t="s">
        <v>3635</v>
      </c>
      <c r="D917" s="110"/>
      <c r="E917" s="111" t="s">
        <v>3636</v>
      </c>
      <c r="F917" s="111" t="s">
        <v>3637</v>
      </c>
      <c r="G917" s="110" t="s">
        <v>1758</v>
      </c>
      <c r="H917" s="113">
        <v>30.0</v>
      </c>
      <c r="I917" s="110" t="s">
        <v>70</v>
      </c>
      <c r="J917" s="112">
        <v>6790.0</v>
      </c>
      <c r="K917" s="113" t="s">
        <v>71</v>
      </c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 t="s">
        <v>72</v>
      </c>
      <c r="W917" s="112" t="s">
        <v>73</v>
      </c>
    </row>
    <row r="918" ht="49.5" customHeight="1">
      <c r="A918" s="110" t="s">
        <v>3638</v>
      </c>
      <c r="B918" s="110" t="s">
        <v>3639</v>
      </c>
      <c r="C918" s="110" t="s">
        <v>3640</v>
      </c>
      <c r="D918" s="110"/>
      <c r="E918" s="111" t="s">
        <v>3641</v>
      </c>
      <c r="F918" s="111" t="s">
        <v>3642</v>
      </c>
      <c r="G918" s="110" t="s">
        <v>3622</v>
      </c>
      <c r="H918" s="113">
        <v>30.0</v>
      </c>
      <c r="I918" s="110" t="s">
        <v>70</v>
      </c>
      <c r="J918" s="112">
        <v>42090.0</v>
      </c>
      <c r="K918" s="113" t="s">
        <v>71</v>
      </c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 t="s">
        <v>72</v>
      </c>
      <c r="W918" s="112" t="s">
        <v>73</v>
      </c>
    </row>
    <row r="919" ht="49.5" customHeight="1">
      <c r="A919" s="110" t="s">
        <v>3643</v>
      </c>
      <c r="B919" s="110" t="s">
        <v>3644</v>
      </c>
      <c r="C919" s="110" t="s">
        <v>3645</v>
      </c>
      <c r="D919" s="110"/>
      <c r="E919" s="111" t="s">
        <v>3646</v>
      </c>
      <c r="F919" s="111" t="s">
        <v>3647</v>
      </c>
      <c r="G919" s="110" t="s">
        <v>144</v>
      </c>
      <c r="H919" s="113">
        <v>30.0</v>
      </c>
      <c r="I919" s="110" t="s">
        <v>70</v>
      </c>
      <c r="J919" s="112">
        <v>6290.0</v>
      </c>
      <c r="K919" s="113" t="s">
        <v>71</v>
      </c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 t="s">
        <v>72</v>
      </c>
      <c r="W919" s="112" t="s">
        <v>73</v>
      </c>
    </row>
    <row r="920" ht="49.5" customHeight="1">
      <c r="A920" s="110" t="s">
        <v>3648</v>
      </c>
      <c r="B920" s="110" t="s">
        <v>3649</v>
      </c>
      <c r="C920" s="110" t="s">
        <v>3650</v>
      </c>
      <c r="D920" s="110"/>
      <c r="E920" s="111" t="s">
        <v>3651</v>
      </c>
      <c r="F920" s="111" t="s">
        <v>3652</v>
      </c>
      <c r="G920" s="110" t="s">
        <v>138</v>
      </c>
      <c r="H920" s="113">
        <v>30.0</v>
      </c>
      <c r="I920" s="110" t="s">
        <v>70</v>
      </c>
      <c r="J920" s="112">
        <v>5990.0</v>
      </c>
      <c r="K920" s="113" t="s">
        <v>71</v>
      </c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 t="s">
        <v>72</v>
      </c>
      <c r="W920" s="112" t="s">
        <v>73</v>
      </c>
    </row>
    <row r="921" ht="49.5" customHeight="1">
      <c r="A921" s="110" t="s">
        <v>3653</v>
      </c>
      <c r="B921" s="110" t="s">
        <v>3654</v>
      </c>
      <c r="C921" s="110" t="s">
        <v>3655</v>
      </c>
      <c r="D921" s="110"/>
      <c r="E921" s="111" t="s">
        <v>3656</v>
      </c>
      <c r="F921" s="111" t="s">
        <v>3657</v>
      </c>
      <c r="G921" s="110" t="s">
        <v>3622</v>
      </c>
      <c r="H921" s="113">
        <v>30.0</v>
      </c>
      <c r="I921" s="110" t="s">
        <v>70</v>
      </c>
      <c r="J921" s="112">
        <v>41790.0</v>
      </c>
      <c r="K921" s="113" t="s">
        <v>71</v>
      </c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 t="s">
        <v>72</v>
      </c>
      <c r="W921" s="112" t="s">
        <v>73</v>
      </c>
    </row>
    <row r="922" ht="49.5" customHeight="1">
      <c r="A922" s="110" t="s">
        <v>3658</v>
      </c>
      <c r="B922" s="110" t="s">
        <v>3659</v>
      </c>
      <c r="C922" s="110" t="s">
        <v>3660</v>
      </c>
      <c r="D922" s="110"/>
      <c r="E922" s="111" t="s">
        <v>3661</v>
      </c>
      <c r="F922" s="111" t="s">
        <v>3662</v>
      </c>
      <c r="G922" s="110" t="s">
        <v>165</v>
      </c>
      <c r="H922" s="113">
        <v>30.0</v>
      </c>
      <c r="I922" s="110" t="s">
        <v>70</v>
      </c>
      <c r="J922" s="112">
        <v>6790.0</v>
      </c>
      <c r="K922" s="113" t="s">
        <v>71</v>
      </c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 t="s">
        <v>72</v>
      </c>
      <c r="W922" s="112" t="s">
        <v>73</v>
      </c>
    </row>
    <row r="923" ht="49.5" customHeight="1">
      <c r="A923" s="110" t="s">
        <v>3663</v>
      </c>
      <c r="B923" s="110" t="s">
        <v>3664</v>
      </c>
      <c r="C923" s="110" t="s">
        <v>3665</v>
      </c>
      <c r="D923" s="110"/>
      <c r="E923" s="111" t="s">
        <v>3666</v>
      </c>
      <c r="F923" s="111" t="s">
        <v>3667</v>
      </c>
      <c r="G923" s="110" t="s">
        <v>3667</v>
      </c>
      <c r="H923" s="113">
        <v>30.0</v>
      </c>
      <c r="I923" s="110" t="s">
        <v>70</v>
      </c>
      <c r="J923" s="112">
        <v>67090.0</v>
      </c>
      <c r="K923" s="113" t="s">
        <v>71</v>
      </c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 t="s">
        <v>72</v>
      </c>
      <c r="W923" s="112" t="s">
        <v>73</v>
      </c>
    </row>
    <row r="924" ht="49.5" customHeight="1">
      <c r="A924" s="110" t="s">
        <v>171</v>
      </c>
      <c r="B924" s="110" t="s">
        <v>3668</v>
      </c>
      <c r="C924" s="110" t="s">
        <v>173</v>
      </c>
      <c r="D924" s="110"/>
      <c r="E924" s="111" t="s">
        <v>174</v>
      </c>
      <c r="F924" s="112" t="s">
        <v>3669</v>
      </c>
      <c r="G924" s="110" t="s">
        <v>70</v>
      </c>
      <c r="H924" s="113">
        <v>30.0</v>
      </c>
      <c r="I924" s="110" t="s">
        <v>70</v>
      </c>
      <c r="J924" s="112">
        <v>7790.0</v>
      </c>
      <c r="K924" s="113" t="s">
        <v>71</v>
      </c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0" t="s">
        <v>72</v>
      </c>
      <c r="W924" s="112" t="s">
        <v>73</v>
      </c>
    </row>
    <row r="925" ht="49.5" customHeight="1">
      <c r="A925" s="110" t="s">
        <v>996</v>
      </c>
      <c r="B925" s="110" t="s">
        <v>3670</v>
      </c>
      <c r="C925" s="110" t="s">
        <v>998</v>
      </c>
      <c r="D925" s="110"/>
      <c r="E925" s="111" t="s">
        <v>999</v>
      </c>
      <c r="F925" s="112" t="s">
        <v>3671</v>
      </c>
      <c r="G925" s="110" t="s">
        <v>70</v>
      </c>
      <c r="H925" s="113">
        <v>30.0</v>
      </c>
      <c r="I925" s="110" t="s">
        <v>70</v>
      </c>
      <c r="J925" s="112">
        <v>41590.0</v>
      </c>
      <c r="K925" s="113" t="s">
        <v>71</v>
      </c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0" t="s">
        <v>72</v>
      </c>
      <c r="W925" s="112" t="s">
        <v>73</v>
      </c>
    </row>
    <row r="926" ht="49.5" customHeight="1">
      <c r="A926" s="110" t="s">
        <v>1953</v>
      </c>
      <c r="B926" s="110" t="s">
        <v>3672</v>
      </c>
      <c r="C926" s="110" t="s">
        <v>1955</v>
      </c>
      <c r="D926" s="110"/>
      <c r="E926" s="111" t="s">
        <v>1956</v>
      </c>
      <c r="F926" s="112" t="s">
        <v>3673</v>
      </c>
      <c r="G926" s="110" t="s">
        <v>70</v>
      </c>
      <c r="H926" s="113">
        <v>30.0</v>
      </c>
      <c r="I926" s="110" t="s">
        <v>70</v>
      </c>
      <c r="J926" s="112">
        <v>14290.0</v>
      </c>
      <c r="K926" s="113" t="s">
        <v>71</v>
      </c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0" t="s">
        <v>72</v>
      </c>
      <c r="W926" s="112" t="s">
        <v>73</v>
      </c>
    </row>
    <row r="927" ht="49.5" customHeight="1">
      <c r="A927" s="110" t="s">
        <v>3674</v>
      </c>
      <c r="B927" s="110" t="s">
        <v>3675</v>
      </c>
      <c r="C927" s="110" t="s">
        <v>3676</v>
      </c>
      <c r="D927" s="110"/>
      <c r="E927" s="111" t="s">
        <v>3677</v>
      </c>
      <c r="F927" s="112" t="s">
        <v>3678</v>
      </c>
      <c r="G927" s="110" t="s">
        <v>70</v>
      </c>
      <c r="H927" s="113">
        <v>30.0</v>
      </c>
      <c r="I927" s="110" t="s">
        <v>70</v>
      </c>
      <c r="J927" s="112">
        <v>49290.0</v>
      </c>
      <c r="K927" s="113" t="s">
        <v>71</v>
      </c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0" t="s">
        <v>72</v>
      </c>
      <c r="W927" s="112" t="s">
        <v>73</v>
      </c>
    </row>
    <row r="928" ht="49.5" customHeight="1">
      <c r="A928" s="110" t="s">
        <v>1090</v>
      </c>
      <c r="B928" s="110" t="s">
        <v>3679</v>
      </c>
      <c r="C928" s="110" t="s">
        <v>1092</v>
      </c>
      <c r="D928" s="110"/>
      <c r="E928" s="111" t="s">
        <v>1093</v>
      </c>
      <c r="F928" s="112" t="s">
        <v>3680</v>
      </c>
      <c r="G928" s="110" t="s">
        <v>70</v>
      </c>
      <c r="H928" s="113">
        <v>10.0</v>
      </c>
      <c r="I928" s="110" t="s">
        <v>70</v>
      </c>
      <c r="J928" s="112">
        <v>26290.0</v>
      </c>
      <c r="K928" s="113" t="s">
        <v>71</v>
      </c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0" t="s">
        <v>72</v>
      </c>
      <c r="W928" s="112" t="s">
        <v>73</v>
      </c>
    </row>
    <row r="929" ht="49.5" customHeight="1">
      <c r="A929" s="110" t="s">
        <v>1879</v>
      </c>
      <c r="B929" s="110" t="s">
        <v>3681</v>
      </c>
      <c r="C929" s="110" t="s">
        <v>1881</v>
      </c>
      <c r="D929" s="110"/>
      <c r="E929" s="111" t="s">
        <v>1882</v>
      </c>
      <c r="F929" s="112" t="s">
        <v>3682</v>
      </c>
      <c r="G929" s="110" t="s">
        <v>70</v>
      </c>
      <c r="H929" s="113">
        <v>30.0</v>
      </c>
      <c r="I929" s="110" t="s">
        <v>70</v>
      </c>
      <c r="J929" s="112">
        <v>6690.0</v>
      </c>
      <c r="K929" s="113" t="s">
        <v>71</v>
      </c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0" t="s">
        <v>72</v>
      </c>
      <c r="W929" s="112" t="s">
        <v>73</v>
      </c>
    </row>
    <row r="930" ht="49.5" customHeight="1">
      <c r="A930" s="110" t="s">
        <v>160</v>
      </c>
      <c r="B930" s="110" t="s">
        <v>3683</v>
      </c>
      <c r="C930" s="110" t="s">
        <v>162</v>
      </c>
      <c r="D930" s="110"/>
      <c r="E930" s="111" t="s">
        <v>163</v>
      </c>
      <c r="F930" s="112" t="s">
        <v>3684</v>
      </c>
      <c r="G930" s="110" t="s">
        <v>70</v>
      </c>
      <c r="H930" s="113">
        <v>30.0</v>
      </c>
      <c r="I930" s="110" t="s">
        <v>70</v>
      </c>
      <c r="J930" s="112">
        <v>5790.0</v>
      </c>
      <c r="K930" s="113" t="s">
        <v>71</v>
      </c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0" t="s">
        <v>72</v>
      </c>
      <c r="W930" s="112" t="s">
        <v>73</v>
      </c>
    </row>
    <row r="931" ht="49.5" customHeight="1">
      <c r="A931" s="110" t="s">
        <v>1741</v>
      </c>
      <c r="B931" s="110" t="s">
        <v>3685</v>
      </c>
      <c r="C931" s="110" t="s">
        <v>1743</v>
      </c>
      <c r="D931" s="110"/>
      <c r="E931" s="111" t="s">
        <v>1744</v>
      </c>
      <c r="F931" s="112" t="s">
        <v>3686</v>
      </c>
      <c r="G931" s="110" t="s">
        <v>70</v>
      </c>
      <c r="H931" s="113">
        <v>30.0</v>
      </c>
      <c r="I931" s="110" t="s">
        <v>70</v>
      </c>
      <c r="J931" s="112">
        <v>7090.0</v>
      </c>
      <c r="K931" s="113" t="s">
        <v>71</v>
      </c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0" t="s">
        <v>72</v>
      </c>
      <c r="W931" s="112" t="s">
        <v>73</v>
      </c>
    </row>
    <row r="932" ht="49.5" customHeight="1">
      <c r="A932" s="110" t="s">
        <v>1275</v>
      </c>
      <c r="B932" s="110" t="s">
        <v>3687</v>
      </c>
      <c r="C932" s="110" t="s">
        <v>3688</v>
      </c>
      <c r="D932" s="110"/>
      <c r="E932" s="111" t="s">
        <v>3689</v>
      </c>
      <c r="F932" s="111" t="s">
        <v>1279</v>
      </c>
      <c r="G932" s="110" t="s">
        <v>3690</v>
      </c>
      <c r="H932" s="113">
        <v>30.0</v>
      </c>
      <c r="I932" s="110" t="s">
        <v>70</v>
      </c>
      <c r="J932" s="112">
        <v>8690.0</v>
      </c>
      <c r="K932" s="113" t="s">
        <v>71</v>
      </c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 t="s">
        <v>72</v>
      </c>
      <c r="W932" s="112" t="s">
        <v>73</v>
      </c>
    </row>
    <row r="933" ht="49.5" customHeight="1">
      <c r="A933" s="110" t="s">
        <v>3691</v>
      </c>
      <c r="B933" s="110" t="s">
        <v>3692</v>
      </c>
      <c r="C933" s="110" t="s">
        <v>3693</v>
      </c>
      <c r="D933" s="110"/>
      <c r="E933" s="111" t="s">
        <v>3694</v>
      </c>
      <c r="F933" s="112" t="s">
        <v>3695</v>
      </c>
      <c r="G933" s="110" t="s">
        <v>90</v>
      </c>
      <c r="H933" s="113">
        <v>0.0</v>
      </c>
      <c r="I933" s="110" t="s">
        <v>70</v>
      </c>
      <c r="J933" s="112">
        <v>12490.0</v>
      </c>
      <c r="K933" s="113" t="s">
        <v>71</v>
      </c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 t="s">
        <v>72</v>
      </c>
      <c r="W933" s="112" t="s">
        <v>3696</v>
      </c>
    </row>
    <row r="934" ht="49.5" customHeight="1">
      <c r="A934" s="110" t="s">
        <v>63</v>
      </c>
      <c r="B934" s="110" t="s">
        <v>3697</v>
      </c>
      <c r="C934" s="110"/>
      <c r="D934" s="110"/>
      <c r="E934" s="112" t="s">
        <v>3697</v>
      </c>
      <c r="F934" s="112" t="s">
        <v>3698</v>
      </c>
      <c r="G934" s="110" t="s">
        <v>70</v>
      </c>
      <c r="H934" s="110" t="s">
        <v>3699</v>
      </c>
      <c r="I934" s="110" t="s">
        <v>70</v>
      </c>
      <c r="J934" s="112">
        <v>17890.0</v>
      </c>
      <c r="K934" s="113" t="s">
        <v>71</v>
      </c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 t="s">
        <v>72</v>
      </c>
      <c r="W934" s="112" t="s">
        <v>3696</v>
      </c>
    </row>
    <row r="935" ht="49.5" customHeight="1">
      <c r="A935" s="110" t="s">
        <v>63</v>
      </c>
      <c r="B935" s="110" t="s">
        <v>3697</v>
      </c>
      <c r="C935" s="110" t="s">
        <v>3700</v>
      </c>
      <c r="D935" s="110" t="s">
        <v>3700</v>
      </c>
      <c r="E935" s="111" t="s">
        <v>3701</v>
      </c>
      <c r="F935" s="114" t="str">
        <f>"     "&amp;F934</f>
        <v>     Sosten Microfbra Con Soft (deportivo) Jockey Sport S-073c</v>
      </c>
      <c r="G935" s="110" t="s">
        <v>3702</v>
      </c>
      <c r="H935" s="113">
        <v>0.0</v>
      </c>
      <c r="I935" s="110" t="s">
        <v>70</v>
      </c>
      <c r="J935" s="112">
        <f>J934</f>
        <v>17890</v>
      </c>
      <c r="K935" s="110" t="str">
        <f>K934&amp;"     "</f>
        <v>$     </v>
      </c>
      <c r="L935" s="110" t="str">
        <f t="shared" ref="L935:U935" si="665">L934</f>
        <v/>
      </c>
      <c r="M935" s="110" t="str">
        <f t="shared" si="665"/>
        <v/>
      </c>
      <c r="N935" s="110" t="str">
        <f t="shared" si="665"/>
        <v/>
      </c>
      <c r="O935" s="110" t="str">
        <f t="shared" si="665"/>
        <v/>
      </c>
      <c r="P935" s="110" t="str">
        <f t="shared" si="665"/>
        <v/>
      </c>
      <c r="Q935" s="110" t="str">
        <f t="shared" si="665"/>
        <v/>
      </c>
      <c r="R935" s="110" t="str">
        <f t="shared" si="665"/>
        <v/>
      </c>
      <c r="S935" s="110" t="str">
        <f t="shared" si="665"/>
        <v/>
      </c>
      <c r="T935" s="110" t="str">
        <f t="shared" si="665"/>
        <v/>
      </c>
      <c r="U935" s="110" t="str">
        <f t="shared" si="665"/>
        <v/>
      </c>
      <c r="V935" s="110" t="str">
        <f t="shared" ref="V935:W935" si="666">V934&amp;"     "</f>
        <v>Nuevo     </v>
      </c>
      <c r="W935" s="112" t="str">
        <f t="shared" si="666"/>
        <v>Inactiva     </v>
      </c>
    </row>
    <row r="936" ht="49.5" customHeight="1">
      <c r="A936" s="110" t="s">
        <v>63</v>
      </c>
      <c r="B936" s="110" t="s">
        <v>3697</v>
      </c>
      <c r="C936" s="110" t="s">
        <v>3703</v>
      </c>
      <c r="D936" s="110" t="s">
        <v>3703</v>
      </c>
      <c r="E936" s="111" t="s">
        <v>3704</v>
      </c>
      <c r="F936" s="114" t="str">
        <f>"     "&amp;F934</f>
        <v>     Sosten Microfbra Con Soft (deportivo) Jockey Sport S-073c</v>
      </c>
      <c r="G936" s="110" t="s">
        <v>3705</v>
      </c>
      <c r="H936" s="113">
        <v>0.0</v>
      </c>
      <c r="I936" s="110" t="s">
        <v>70</v>
      </c>
      <c r="J936" s="112">
        <f>J934</f>
        <v>17890</v>
      </c>
      <c r="K936" s="110" t="str">
        <f>K934&amp;"     "</f>
        <v>$     </v>
      </c>
      <c r="L936" s="110" t="str">
        <f t="shared" ref="L936:U936" si="667">L934</f>
        <v/>
      </c>
      <c r="M936" s="110" t="str">
        <f t="shared" si="667"/>
        <v/>
      </c>
      <c r="N936" s="110" t="str">
        <f t="shared" si="667"/>
        <v/>
      </c>
      <c r="O936" s="110" t="str">
        <f t="shared" si="667"/>
        <v/>
      </c>
      <c r="P936" s="110" t="str">
        <f t="shared" si="667"/>
        <v/>
      </c>
      <c r="Q936" s="110" t="str">
        <f t="shared" si="667"/>
        <v/>
      </c>
      <c r="R936" s="110" t="str">
        <f t="shared" si="667"/>
        <v/>
      </c>
      <c r="S936" s="110" t="str">
        <f t="shared" si="667"/>
        <v/>
      </c>
      <c r="T936" s="110" t="str">
        <f t="shared" si="667"/>
        <v/>
      </c>
      <c r="U936" s="110" t="str">
        <f t="shared" si="667"/>
        <v/>
      </c>
      <c r="V936" s="110" t="str">
        <f t="shared" ref="V936:W936" si="668">V934&amp;"     "</f>
        <v>Nuevo     </v>
      </c>
      <c r="W936" s="112" t="str">
        <f t="shared" si="668"/>
        <v>Inactiva     </v>
      </c>
    </row>
    <row r="937" ht="49.5" customHeight="1">
      <c r="A937" s="110" t="s">
        <v>63</v>
      </c>
      <c r="B937" s="110" t="s">
        <v>3697</v>
      </c>
      <c r="C937" s="110" t="s">
        <v>3706</v>
      </c>
      <c r="D937" s="110" t="s">
        <v>3706</v>
      </c>
      <c r="E937" s="111" t="s">
        <v>3707</v>
      </c>
      <c r="F937" s="114" t="str">
        <f>"     "&amp;F934</f>
        <v>     Sosten Microfbra Con Soft (deportivo) Jockey Sport S-073c</v>
      </c>
      <c r="G937" s="110" t="s">
        <v>3708</v>
      </c>
      <c r="H937" s="113">
        <v>0.0</v>
      </c>
      <c r="I937" s="110" t="s">
        <v>70</v>
      </c>
      <c r="J937" s="112">
        <f>J934</f>
        <v>17890</v>
      </c>
      <c r="K937" s="110" t="str">
        <f>K934&amp;"     "</f>
        <v>$     </v>
      </c>
      <c r="L937" s="110" t="str">
        <f t="shared" ref="L937:U937" si="669">L934</f>
        <v/>
      </c>
      <c r="M937" s="110" t="str">
        <f t="shared" si="669"/>
        <v/>
      </c>
      <c r="N937" s="110" t="str">
        <f t="shared" si="669"/>
        <v/>
      </c>
      <c r="O937" s="110" t="str">
        <f t="shared" si="669"/>
        <v/>
      </c>
      <c r="P937" s="110" t="str">
        <f t="shared" si="669"/>
        <v/>
      </c>
      <c r="Q937" s="110" t="str">
        <f t="shared" si="669"/>
        <v/>
      </c>
      <c r="R937" s="110" t="str">
        <f t="shared" si="669"/>
        <v/>
      </c>
      <c r="S937" s="110" t="str">
        <f t="shared" si="669"/>
        <v/>
      </c>
      <c r="T937" s="110" t="str">
        <f t="shared" si="669"/>
        <v/>
      </c>
      <c r="U937" s="110" t="str">
        <f t="shared" si="669"/>
        <v/>
      </c>
      <c r="V937" s="110" t="str">
        <f t="shared" ref="V937:W937" si="670">V934&amp;"     "</f>
        <v>Nuevo     </v>
      </c>
      <c r="W937" s="112" t="str">
        <f t="shared" si="670"/>
        <v>Inactiva     </v>
      </c>
    </row>
    <row r="938" ht="49.5" customHeight="1">
      <c r="A938" s="110" t="s">
        <v>63</v>
      </c>
      <c r="B938" s="110" t="s">
        <v>3697</v>
      </c>
      <c r="C938" s="110" t="s">
        <v>3709</v>
      </c>
      <c r="D938" s="110" t="s">
        <v>3709</v>
      </c>
      <c r="E938" s="111" t="s">
        <v>3710</v>
      </c>
      <c r="F938" s="114" t="str">
        <f>"     "&amp;F934</f>
        <v>     Sosten Microfbra Con Soft (deportivo) Jockey Sport S-073c</v>
      </c>
      <c r="G938" s="110" t="s">
        <v>3711</v>
      </c>
      <c r="H938" s="113">
        <v>0.0</v>
      </c>
      <c r="I938" s="110" t="s">
        <v>70</v>
      </c>
      <c r="J938" s="112">
        <f>J934</f>
        <v>17890</v>
      </c>
      <c r="K938" s="110" t="str">
        <f>K934&amp;"     "</f>
        <v>$     </v>
      </c>
      <c r="L938" s="110" t="str">
        <f t="shared" ref="L938:U938" si="671">L934</f>
        <v/>
      </c>
      <c r="M938" s="110" t="str">
        <f t="shared" si="671"/>
        <v/>
      </c>
      <c r="N938" s="110" t="str">
        <f t="shared" si="671"/>
        <v/>
      </c>
      <c r="O938" s="110" t="str">
        <f t="shared" si="671"/>
        <v/>
      </c>
      <c r="P938" s="110" t="str">
        <f t="shared" si="671"/>
        <v/>
      </c>
      <c r="Q938" s="110" t="str">
        <f t="shared" si="671"/>
        <v/>
      </c>
      <c r="R938" s="110" t="str">
        <f t="shared" si="671"/>
        <v/>
      </c>
      <c r="S938" s="110" t="str">
        <f t="shared" si="671"/>
        <v/>
      </c>
      <c r="T938" s="110" t="str">
        <f t="shared" si="671"/>
        <v/>
      </c>
      <c r="U938" s="110" t="str">
        <f t="shared" si="671"/>
        <v/>
      </c>
      <c r="V938" s="110" t="str">
        <f t="shared" ref="V938:W938" si="672">V934&amp;"     "</f>
        <v>Nuevo     </v>
      </c>
      <c r="W938" s="112" t="str">
        <f t="shared" si="672"/>
        <v>Inactiva     </v>
      </c>
    </row>
    <row r="939" ht="49.5" customHeight="1">
      <c r="A939" s="110" t="s">
        <v>3712</v>
      </c>
      <c r="B939" s="110" t="s">
        <v>3713</v>
      </c>
      <c r="C939" s="110" t="s">
        <v>3714</v>
      </c>
      <c r="D939" s="110"/>
      <c r="E939" s="111" t="s">
        <v>3715</v>
      </c>
      <c r="F939" s="111" t="s">
        <v>3716</v>
      </c>
      <c r="G939" s="110" t="s">
        <v>3717</v>
      </c>
      <c r="H939" s="113">
        <v>1.0</v>
      </c>
      <c r="I939" s="110" t="s">
        <v>70</v>
      </c>
      <c r="J939" s="112">
        <v>9590.0</v>
      </c>
      <c r="K939" s="113" t="s">
        <v>71</v>
      </c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 t="s">
        <v>72</v>
      </c>
      <c r="W939" s="112" t="s">
        <v>3696</v>
      </c>
    </row>
    <row r="940" ht="49.5" customHeight="1">
      <c r="A940" s="110" t="s">
        <v>63</v>
      </c>
      <c r="B940" s="110" t="s">
        <v>3718</v>
      </c>
      <c r="C940" s="110"/>
      <c r="D940" s="110"/>
      <c r="E940" s="112" t="s">
        <v>3718</v>
      </c>
      <c r="F940" s="111" t="s">
        <v>3719</v>
      </c>
      <c r="G940" s="110" t="s">
        <v>70</v>
      </c>
      <c r="H940" s="110" t="s">
        <v>3720</v>
      </c>
      <c r="I940" s="110" t="s">
        <v>70</v>
      </c>
      <c r="J940" s="112">
        <v>6490.0</v>
      </c>
      <c r="K940" s="113" t="s">
        <v>71</v>
      </c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 t="s">
        <v>72</v>
      </c>
      <c r="W940" s="112" t="s">
        <v>3696</v>
      </c>
    </row>
    <row r="941" ht="49.5" customHeight="1">
      <c r="A941" s="110" t="s">
        <v>63</v>
      </c>
      <c r="B941" s="110" t="s">
        <v>3718</v>
      </c>
      <c r="C941" s="110" t="s">
        <v>3721</v>
      </c>
      <c r="D941" s="110" t="s">
        <v>3721</v>
      </c>
      <c r="E941" s="111" t="s">
        <v>3722</v>
      </c>
      <c r="F941" s="114" t="str">
        <f>"     "&amp;F940</f>
        <v>     Top Deportivo Seamless Mujer 3880 Baziani</v>
      </c>
      <c r="G941" s="110" t="s">
        <v>3723</v>
      </c>
      <c r="H941" s="113">
        <v>1.0</v>
      </c>
      <c r="I941" s="110" t="s">
        <v>70</v>
      </c>
      <c r="J941" s="112">
        <f>J940</f>
        <v>6490</v>
      </c>
      <c r="K941" s="110" t="str">
        <f>K940&amp;"     "</f>
        <v>$     </v>
      </c>
      <c r="L941" s="110" t="str">
        <f t="shared" ref="L941:U941" si="673">L940</f>
        <v/>
      </c>
      <c r="M941" s="110" t="str">
        <f t="shared" si="673"/>
        <v/>
      </c>
      <c r="N941" s="110" t="str">
        <f t="shared" si="673"/>
        <v/>
      </c>
      <c r="O941" s="110" t="str">
        <f t="shared" si="673"/>
        <v/>
      </c>
      <c r="P941" s="110" t="str">
        <f t="shared" si="673"/>
        <v/>
      </c>
      <c r="Q941" s="110" t="str">
        <f t="shared" si="673"/>
        <v/>
      </c>
      <c r="R941" s="110" t="str">
        <f t="shared" si="673"/>
        <v/>
      </c>
      <c r="S941" s="110" t="str">
        <f t="shared" si="673"/>
        <v/>
      </c>
      <c r="T941" s="110" t="str">
        <f t="shared" si="673"/>
        <v/>
      </c>
      <c r="U941" s="110" t="str">
        <f t="shared" si="673"/>
        <v/>
      </c>
      <c r="V941" s="110" t="str">
        <f t="shared" ref="V941:W941" si="674">V940&amp;"     "</f>
        <v>Nuevo     </v>
      </c>
      <c r="W941" s="112" t="str">
        <f t="shared" si="674"/>
        <v>Inactiva     </v>
      </c>
    </row>
    <row r="942" ht="49.5" customHeight="1">
      <c r="A942" s="110" t="s">
        <v>63</v>
      </c>
      <c r="B942" s="110" t="s">
        <v>3718</v>
      </c>
      <c r="C942" s="110" t="s">
        <v>3724</v>
      </c>
      <c r="D942" s="110" t="s">
        <v>3724</v>
      </c>
      <c r="E942" s="111" t="s">
        <v>3725</v>
      </c>
      <c r="F942" s="114" t="str">
        <f>"     "&amp;F940</f>
        <v>     Top Deportivo Seamless Mujer 3880 Baziani</v>
      </c>
      <c r="G942" s="110" t="s">
        <v>3726</v>
      </c>
      <c r="H942" s="113">
        <v>1.0</v>
      </c>
      <c r="I942" s="110" t="s">
        <v>70</v>
      </c>
      <c r="J942" s="112">
        <f>J940</f>
        <v>6490</v>
      </c>
      <c r="K942" s="110" t="str">
        <f>K940&amp;"     "</f>
        <v>$     </v>
      </c>
      <c r="L942" s="110" t="str">
        <f t="shared" ref="L942:U942" si="675">L940</f>
        <v/>
      </c>
      <c r="M942" s="110" t="str">
        <f t="shared" si="675"/>
        <v/>
      </c>
      <c r="N942" s="110" t="str">
        <f t="shared" si="675"/>
        <v/>
      </c>
      <c r="O942" s="110" t="str">
        <f t="shared" si="675"/>
        <v/>
      </c>
      <c r="P942" s="110" t="str">
        <f t="shared" si="675"/>
        <v/>
      </c>
      <c r="Q942" s="110" t="str">
        <f t="shared" si="675"/>
        <v/>
      </c>
      <c r="R942" s="110" t="str">
        <f t="shared" si="675"/>
        <v/>
      </c>
      <c r="S942" s="110" t="str">
        <f t="shared" si="675"/>
        <v/>
      </c>
      <c r="T942" s="110" t="str">
        <f t="shared" si="675"/>
        <v/>
      </c>
      <c r="U942" s="110" t="str">
        <f t="shared" si="675"/>
        <v/>
      </c>
      <c r="V942" s="110" t="str">
        <f t="shared" ref="V942:W942" si="676">V940&amp;"     "</f>
        <v>Nuevo     </v>
      </c>
      <c r="W942" s="112" t="str">
        <f t="shared" si="676"/>
        <v>Inactiva     </v>
      </c>
    </row>
    <row r="943" ht="49.5" customHeight="1">
      <c r="A943" s="110" t="s">
        <v>3727</v>
      </c>
      <c r="B943" s="110" t="s">
        <v>3728</v>
      </c>
      <c r="C943" s="110" t="s">
        <v>3729</v>
      </c>
      <c r="D943" s="110"/>
      <c r="E943" s="111" t="s">
        <v>3730</v>
      </c>
      <c r="F943" s="111" t="s">
        <v>3731</v>
      </c>
      <c r="G943" s="110" t="s">
        <v>3731</v>
      </c>
      <c r="H943" s="113">
        <v>10.0</v>
      </c>
      <c r="I943" s="110" t="s">
        <v>70</v>
      </c>
      <c r="J943" s="112">
        <v>1890.0</v>
      </c>
      <c r="K943" s="113" t="s">
        <v>71</v>
      </c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 t="s">
        <v>72</v>
      </c>
      <c r="W943" s="112" t="s">
        <v>3696</v>
      </c>
    </row>
    <row r="944" ht="49.5" customHeight="1">
      <c r="A944" s="110" t="s">
        <v>3732</v>
      </c>
      <c r="B944" s="110" t="s">
        <v>3733</v>
      </c>
      <c r="C944" s="110" t="s">
        <v>3734</v>
      </c>
      <c r="D944" s="110"/>
      <c r="E944" s="111" t="s">
        <v>3735</v>
      </c>
      <c r="F944" s="111" t="s">
        <v>3736</v>
      </c>
      <c r="G944" s="110" t="s">
        <v>3736</v>
      </c>
      <c r="H944" s="113">
        <v>20.0</v>
      </c>
      <c r="I944" s="110" t="s">
        <v>70</v>
      </c>
      <c r="J944" s="112">
        <v>25790.0</v>
      </c>
      <c r="K944" s="113" t="s">
        <v>71</v>
      </c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 t="s">
        <v>72</v>
      </c>
      <c r="W944" s="112" t="s">
        <v>3696</v>
      </c>
    </row>
    <row r="945" ht="49.5" customHeight="1">
      <c r="A945" s="110" t="s">
        <v>3737</v>
      </c>
      <c r="B945" s="110" t="s">
        <v>3738</v>
      </c>
      <c r="C945" s="110" t="s">
        <v>3739</v>
      </c>
      <c r="D945" s="110"/>
      <c r="E945" s="111" t="s">
        <v>3740</v>
      </c>
      <c r="F945" s="111" t="s">
        <v>3741</v>
      </c>
      <c r="G945" s="110" t="s">
        <v>3741</v>
      </c>
      <c r="H945" s="113">
        <v>0.0</v>
      </c>
      <c r="I945" s="110" t="s">
        <v>70</v>
      </c>
      <c r="J945" s="112">
        <v>159690.0</v>
      </c>
      <c r="K945" s="113" t="s">
        <v>71</v>
      </c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 t="s">
        <v>72</v>
      </c>
      <c r="W945" s="112" t="s">
        <v>3696</v>
      </c>
    </row>
    <row r="946" ht="49.5" customHeight="1">
      <c r="A946" s="110" t="s">
        <v>3742</v>
      </c>
      <c r="B946" s="110" t="s">
        <v>3743</v>
      </c>
      <c r="C946" s="110" t="s">
        <v>3744</v>
      </c>
      <c r="D946" s="110"/>
      <c r="E946" s="111" t="s">
        <v>3745</v>
      </c>
      <c r="F946" s="111" t="s">
        <v>3746</v>
      </c>
      <c r="G946" s="110" t="s">
        <v>3746</v>
      </c>
      <c r="H946" s="113">
        <v>10.0</v>
      </c>
      <c r="I946" s="110" t="s">
        <v>70</v>
      </c>
      <c r="J946" s="112">
        <v>52890.0</v>
      </c>
      <c r="K946" s="113" t="s">
        <v>71</v>
      </c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 t="s">
        <v>72</v>
      </c>
      <c r="W946" s="112" t="s">
        <v>3696</v>
      </c>
    </row>
    <row r="947" ht="49.5" customHeight="1">
      <c r="A947" s="110" t="s">
        <v>3747</v>
      </c>
      <c r="B947" s="110" t="s">
        <v>3748</v>
      </c>
      <c r="C947" s="110" t="s">
        <v>3749</v>
      </c>
      <c r="D947" s="110"/>
      <c r="E947" s="111" t="s">
        <v>3750</v>
      </c>
      <c r="F947" s="111" t="s">
        <v>3751</v>
      </c>
      <c r="G947" s="110" t="s">
        <v>3751</v>
      </c>
      <c r="H947" s="113">
        <v>0.0</v>
      </c>
      <c r="I947" s="110" t="s">
        <v>70</v>
      </c>
      <c r="J947" s="112">
        <v>8290.0</v>
      </c>
      <c r="K947" s="113" t="s">
        <v>71</v>
      </c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 t="s">
        <v>72</v>
      </c>
      <c r="W947" s="112" t="s">
        <v>3696</v>
      </c>
    </row>
    <row r="948" ht="49.5" customHeight="1">
      <c r="A948" s="110" t="s">
        <v>3752</v>
      </c>
      <c r="B948" s="110" t="s">
        <v>3753</v>
      </c>
      <c r="C948" s="110" t="s">
        <v>3754</v>
      </c>
      <c r="D948" s="110"/>
      <c r="E948" s="111" t="s">
        <v>3755</v>
      </c>
      <c r="F948" s="111" t="s">
        <v>3756</v>
      </c>
      <c r="G948" s="110" t="s">
        <v>3756</v>
      </c>
      <c r="H948" s="113">
        <v>20.0</v>
      </c>
      <c r="I948" s="110" t="s">
        <v>70</v>
      </c>
      <c r="J948" s="112">
        <v>21190.0</v>
      </c>
      <c r="K948" s="113" t="s">
        <v>71</v>
      </c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 t="s">
        <v>72</v>
      </c>
      <c r="W948" s="112" t="s">
        <v>3696</v>
      </c>
    </row>
    <row r="949" ht="49.5" customHeight="1">
      <c r="A949" s="110" t="s">
        <v>3757</v>
      </c>
      <c r="B949" s="110" t="s">
        <v>3758</v>
      </c>
      <c r="C949" s="110" t="s">
        <v>3759</v>
      </c>
      <c r="D949" s="110"/>
      <c r="E949" s="111" t="s">
        <v>3760</v>
      </c>
      <c r="F949" s="111" t="s">
        <v>3761</v>
      </c>
      <c r="G949" s="110" t="s">
        <v>3761</v>
      </c>
      <c r="H949" s="113">
        <v>10.0</v>
      </c>
      <c r="I949" s="110" t="s">
        <v>70</v>
      </c>
      <c r="J949" s="112">
        <v>10790.0</v>
      </c>
      <c r="K949" s="113" t="s">
        <v>71</v>
      </c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 t="s">
        <v>72</v>
      </c>
      <c r="W949" s="112" t="s">
        <v>3696</v>
      </c>
    </row>
    <row r="950" ht="49.5" customHeight="1">
      <c r="A950" s="110" t="s">
        <v>3762</v>
      </c>
      <c r="B950" s="110" t="s">
        <v>3763</v>
      </c>
      <c r="C950" s="110" t="s">
        <v>3764</v>
      </c>
      <c r="D950" s="110"/>
      <c r="E950" s="111" t="s">
        <v>3765</v>
      </c>
      <c r="F950" s="111" t="s">
        <v>3766</v>
      </c>
      <c r="G950" s="110" t="s">
        <v>3766</v>
      </c>
      <c r="H950" s="113">
        <v>30.0</v>
      </c>
      <c r="I950" s="110" t="s">
        <v>70</v>
      </c>
      <c r="J950" s="112">
        <v>4090.0</v>
      </c>
      <c r="K950" s="113" t="s">
        <v>71</v>
      </c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 t="s">
        <v>72</v>
      </c>
      <c r="W950" s="112" t="s">
        <v>3696</v>
      </c>
    </row>
    <row r="951" ht="49.5" customHeight="1">
      <c r="A951" s="110" t="s">
        <v>3767</v>
      </c>
      <c r="B951" s="110" t="s">
        <v>3768</v>
      </c>
      <c r="C951" s="110" t="s">
        <v>3769</v>
      </c>
      <c r="D951" s="110"/>
      <c r="E951" s="111" t="s">
        <v>3770</v>
      </c>
      <c r="F951" s="111" t="s">
        <v>3771</v>
      </c>
      <c r="G951" s="110" t="s">
        <v>3771</v>
      </c>
      <c r="H951" s="113">
        <v>0.0</v>
      </c>
      <c r="I951" s="110" t="s">
        <v>70</v>
      </c>
      <c r="J951" s="112">
        <v>9490.0</v>
      </c>
      <c r="K951" s="113" t="s">
        <v>71</v>
      </c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 t="s">
        <v>72</v>
      </c>
      <c r="W951" s="112" t="s">
        <v>3696</v>
      </c>
    </row>
    <row r="952" ht="49.5" customHeight="1">
      <c r="A952" s="110" t="s">
        <v>3772</v>
      </c>
      <c r="B952" s="110" t="s">
        <v>3773</v>
      </c>
      <c r="C952" s="110" t="s">
        <v>3774</v>
      </c>
      <c r="D952" s="110"/>
      <c r="E952" s="111" t="s">
        <v>3775</v>
      </c>
      <c r="F952" s="111" t="s">
        <v>3776</v>
      </c>
      <c r="G952" s="110" t="s">
        <v>3776</v>
      </c>
      <c r="H952" s="113">
        <v>30.0</v>
      </c>
      <c r="I952" s="110" t="s">
        <v>70</v>
      </c>
      <c r="J952" s="112">
        <v>4390.0</v>
      </c>
      <c r="K952" s="113" t="s">
        <v>71</v>
      </c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 t="s">
        <v>72</v>
      </c>
      <c r="W952" s="112" t="s">
        <v>3696</v>
      </c>
    </row>
    <row r="953" ht="49.5" customHeight="1">
      <c r="A953" s="110" t="s">
        <v>3777</v>
      </c>
      <c r="B953" s="110" t="s">
        <v>3778</v>
      </c>
      <c r="C953" s="110" t="s">
        <v>3779</v>
      </c>
      <c r="D953" s="110"/>
      <c r="E953" s="111" t="s">
        <v>3780</v>
      </c>
      <c r="F953" s="111" t="s">
        <v>3781</v>
      </c>
      <c r="G953" s="110" t="s">
        <v>3781</v>
      </c>
      <c r="H953" s="113">
        <v>0.0</v>
      </c>
      <c r="I953" s="110" t="s">
        <v>70</v>
      </c>
      <c r="J953" s="112">
        <v>111090.0</v>
      </c>
      <c r="K953" s="113" t="s">
        <v>71</v>
      </c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 t="s">
        <v>72</v>
      </c>
      <c r="W953" s="112" t="s">
        <v>3696</v>
      </c>
    </row>
    <row r="954" ht="49.5" customHeight="1">
      <c r="A954" s="110" t="s">
        <v>3782</v>
      </c>
      <c r="B954" s="110" t="s">
        <v>3783</v>
      </c>
      <c r="C954" s="110" t="s">
        <v>3784</v>
      </c>
      <c r="D954" s="110"/>
      <c r="E954" s="111" t="s">
        <v>3785</v>
      </c>
      <c r="F954" s="111" t="s">
        <v>3786</v>
      </c>
      <c r="G954" s="110" t="s">
        <v>3786</v>
      </c>
      <c r="H954" s="113">
        <v>0.0</v>
      </c>
      <c r="I954" s="110" t="s">
        <v>70</v>
      </c>
      <c r="J954" s="112">
        <v>3990.0</v>
      </c>
      <c r="K954" s="113" t="s">
        <v>71</v>
      </c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 t="s">
        <v>72</v>
      </c>
      <c r="W954" s="112" t="s">
        <v>3696</v>
      </c>
    </row>
    <row r="955" ht="49.5" customHeight="1">
      <c r="A955" s="110" t="s">
        <v>3787</v>
      </c>
      <c r="B955" s="110" t="s">
        <v>3788</v>
      </c>
      <c r="C955" s="110" t="s">
        <v>3789</v>
      </c>
      <c r="D955" s="110"/>
      <c r="E955" s="111" t="s">
        <v>3790</v>
      </c>
      <c r="F955" s="111" t="s">
        <v>3791</v>
      </c>
      <c r="G955" s="110" t="s">
        <v>308</v>
      </c>
      <c r="H955" s="113">
        <v>0.0</v>
      </c>
      <c r="I955" s="110" t="s">
        <v>70</v>
      </c>
      <c r="J955" s="112">
        <v>206890.0</v>
      </c>
      <c r="K955" s="113" t="s">
        <v>71</v>
      </c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 t="s">
        <v>72</v>
      </c>
      <c r="W955" s="112" t="s">
        <v>3696</v>
      </c>
    </row>
    <row r="956" ht="49.5" customHeight="1">
      <c r="A956" s="110" t="s">
        <v>3792</v>
      </c>
      <c r="B956" s="110" t="s">
        <v>3793</v>
      </c>
      <c r="C956" s="110" t="s">
        <v>3794</v>
      </c>
      <c r="D956" s="110"/>
      <c r="E956" s="111" t="s">
        <v>3795</v>
      </c>
      <c r="F956" s="111" t="s">
        <v>3796</v>
      </c>
      <c r="G956" s="110" t="s">
        <v>165</v>
      </c>
      <c r="H956" s="113">
        <v>0.0</v>
      </c>
      <c r="I956" s="110" t="s">
        <v>70</v>
      </c>
      <c r="J956" s="112">
        <v>26190.0</v>
      </c>
      <c r="K956" s="113" t="s">
        <v>71</v>
      </c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 t="s">
        <v>72</v>
      </c>
      <c r="W956" s="112" t="s">
        <v>3696</v>
      </c>
    </row>
    <row r="957" ht="49.5" customHeight="1">
      <c r="A957" s="110" t="s">
        <v>3797</v>
      </c>
      <c r="B957" s="110" t="s">
        <v>3798</v>
      </c>
      <c r="C957" s="110" t="s">
        <v>3799</v>
      </c>
      <c r="D957" s="110"/>
      <c r="E957" s="111" t="s">
        <v>3800</v>
      </c>
      <c r="F957" s="111" t="s">
        <v>3801</v>
      </c>
      <c r="G957" s="110" t="s">
        <v>90</v>
      </c>
      <c r="H957" s="113">
        <v>30.0</v>
      </c>
      <c r="I957" s="110" t="s">
        <v>70</v>
      </c>
      <c r="J957" s="112">
        <v>95790.0</v>
      </c>
      <c r="K957" s="113" t="s">
        <v>71</v>
      </c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 t="s">
        <v>72</v>
      </c>
      <c r="W957" s="112" t="s">
        <v>3696</v>
      </c>
    </row>
    <row r="958" ht="49.5" customHeight="1">
      <c r="A958" s="110" t="s">
        <v>3802</v>
      </c>
      <c r="B958" s="110" t="s">
        <v>3803</v>
      </c>
      <c r="C958" s="110" t="s">
        <v>3804</v>
      </c>
      <c r="D958" s="110"/>
      <c r="E958" s="111" t="s">
        <v>3805</v>
      </c>
      <c r="F958" s="111" t="s">
        <v>3806</v>
      </c>
      <c r="G958" s="110" t="s">
        <v>165</v>
      </c>
      <c r="H958" s="113">
        <v>10.0</v>
      </c>
      <c r="I958" s="110" t="s">
        <v>70</v>
      </c>
      <c r="J958" s="112">
        <v>28790.0</v>
      </c>
      <c r="K958" s="113" t="s">
        <v>71</v>
      </c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 t="s">
        <v>72</v>
      </c>
      <c r="W958" s="112" t="s">
        <v>3696</v>
      </c>
    </row>
    <row r="959" ht="49.5" customHeight="1">
      <c r="A959" s="110" t="s">
        <v>3807</v>
      </c>
      <c r="B959" s="110" t="s">
        <v>3808</v>
      </c>
      <c r="C959" s="110" t="s">
        <v>3809</v>
      </c>
      <c r="D959" s="110"/>
      <c r="E959" s="111" t="s">
        <v>3810</v>
      </c>
      <c r="F959" s="111" t="s">
        <v>3811</v>
      </c>
      <c r="G959" s="110" t="s">
        <v>90</v>
      </c>
      <c r="H959" s="113">
        <v>0.0</v>
      </c>
      <c r="I959" s="110" t="s">
        <v>70</v>
      </c>
      <c r="J959" s="112">
        <v>131190.0</v>
      </c>
      <c r="K959" s="113" t="s">
        <v>71</v>
      </c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 t="s">
        <v>72</v>
      </c>
      <c r="W959" s="112" t="s">
        <v>3696</v>
      </c>
    </row>
    <row r="960" ht="49.5" customHeight="1">
      <c r="A960" s="110" t="s">
        <v>3812</v>
      </c>
      <c r="B960" s="110" t="s">
        <v>3813</v>
      </c>
      <c r="C960" s="110" t="s">
        <v>3814</v>
      </c>
      <c r="D960" s="110"/>
      <c r="E960" s="111" t="s">
        <v>3815</v>
      </c>
      <c r="F960" s="111" t="s">
        <v>3816</v>
      </c>
      <c r="G960" s="110" t="s">
        <v>79</v>
      </c>
      <c r="H960" s="113">
        <v>30.0</v>
      </c>
      <c r="I960" s="110" t="s">
        <v>70</v>
      </c>
      <c r="J960" s="112">
        <v>10890.0</v>
      </c>
      <c r="K960" s="113" t="s">
        <v>71</v>
      </c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 t="s">
        <v>72</v>
      </c>
      <c r="W960" s="112" t="s">
        <v>3696</v>
      </c>
    </row>
    <row r="961" ht="49.5" customHeight="1">
      <c r="A961" s="110" t="s">
        <v>3817</v>
      </c>
      <c r="B961" s="110" t="s">
        <v>3818</v>
      </c>
      <c r="C961" s="110" t="s">
        <v>3819</v>
      </c>
      <c r="D961" s="110"/>
      <c r="E961" s="111" t="s">
        <v>3820</v>
      </c>
      <c r="F961" s="111" t="s">
        <v>3821</v>
      </c>
      <c r="G961" s="110" t="s">
        <v>138</v>
      </c>
      <c r="H961" s="113">
        <v>30.0</v>
      </c>
      <c r="I961" s="110" t="s">
        <v>70</v>
      </c>
      <c r="J961" s="112" t="s">
        <v>63</v>
      </c>
      <c r="K961" s="113" t="s">
        <v>71</v>
      </c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 t="s">
        <v>72</v>
      </c>
      <c r="W961" s="112" t="s">
        <v>3696</v>
      </c>
    </row>
    <row r="962" ht="49.5" customHeight="1">
      <c r="A962" s="110" t="s">
        <v>3822</v>
      </c>
      <c r="B962" s="110" t="s">
        <v>3823</v>
      </c>
      <c r="C962" s="110" t="s">
        <v>3824</v>
      </c>
      <c r="D962" s="110"/>
      <c r="E962" s="111" t="s">
        <v>3825</v>
      </c>
      <c r="F962" s="111" t="s">
        <v>3826</v>
      </c>
      <c r="G962" s="110" t="s">
        <v>427</v>
      </c>
      <c r="H962" s="113">
        <v>0.0</v>
      </c>
      <c r="I962" s="110" t="s">
        <v>70</v>
      </c>
      <c r="J962" s="112">
        <v>5990.0</v>
      </c>
      <c r="K962" s="113" t="s">
        <v>71</v>
      </c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 t="s">
        <v>72</v>
      </c>
      <c r="W962" s="112" t="s">
        <v>3696</v>
      </c>
    </row>
    <row r="963" ht="49.5" customHeight="1">
      <c r="A963" s="110" t="s">
        <v>3827</v>
      </c>
      <c r="B963" s="110" t="s">
        <v>3828</v>
      </c>
      <c r="C963" s="110" t="s">
        <v>3829</v>
      </c>
      <c r="D963" s="110"/>
      <c r="E963" s="111" t="s">
        <v>3830</v>
      </c>
      <c r="F963" s="111" t="s">
        <v>3831</v>
      </c>
      <c r="G963" s="110" t="s">
        <v>3831</v>
      </c>
      <c r="H963" s="113">
        <v>10.0</v>
      </c>
      <c r="I963" s="110" t="s">
        <v>70</v>
      </c>
      <c r="J963" s="112">
        <v>11290.0</v>
      </c>
      <c r="K963" s="113" t="s">
        <v>71</v>
      </c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 t="s">
        <v>72</v>
      </c>
      <c r="W963" s="112" t="s">
        <v>3696</v>
      </c>
    </row>
    <row r="964" ht="49.5" customHeight="1">
      <c r="A964" s="110" t="s">
        <v>3832</v>
      </c>
      <c r="B964" s="110" t="s">
        <v>3833</v>
      </c>
      <c r="C964" s="110" t="s">
        <v>3834</v>
      </c>
      <c r="D964" s="110"/>
      <c r="E964" s="111" t="s">
        <v>3835</v>
      </c>
      <c r="F964" s="111" t="s">
        <v>3836</v>
      </c>
      <c r="G964" s="110" t="s">
        <v>138</v>
      </c>
      <c r="H964" s="113">
        <v>10.0</v>
      </c>
      <c r="I964" s="110" t="s">
        <v>70</v>
      </c>
      <c r="J964" s="112">
        <v>10790.0</v>
      </c>
      <c r="K964" s="113" t="s">
        <v>71</v>
      </c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 t="s">
        <v>72</v>
      </c>
      <c r="W964" s="112" t="s">
        <v>3696</v>
      </c>
    </row>
    <row r="965" ht="49.5" customHeight="1">
      <c r="A965" s="110" t="s">
        <v>3837</v>
      </c>
      <c r="B965" s="110" t="s">
        <v>3838</v>
      </c>
      <c r="C965" s="110" t="s">
        <v>3839</v>
      </c>
      <c r="D965" s="110"/>
      <c r="E965" s="111" t="s">
        <v>3840</v>
      </c>
      <c r="F965" s="111" t="s">
        <v>3841</v>
      </c>
      <c r="G965" s="110" t="s">
        <v>3842</v>
      </c>
      <c r="H965" s="113">
        <v>0.0</v>
      </c>
      <c r="I965" s="110" t="s">
        <v>70</v>
      </c>
      <c r="J965" s="112">
        <v>12390.0</v>
      </c>
      <c r="K965" s="113" t="s">
        <v>71</v>
      </c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 t="s">
        <v>72</v>
      </c>
      <c r="W965" s="112" t="s">
        <v>3696</v>
      </c>
    </row>
    <row r="966" ht="49.5" customHeight="1">
      <c r="A966" s="110" t="s">
        <v>3843</v>
      </c>
      <c r="B966" s="110" t="s">
        <v>3844</v>
      </c>
      <c r="C966" s="110" t="s">
        <v>3845</v>
      </c>
      <c r="D966" s="110"/>
      <c r="E966" s="111" t="s">
        <v>3846</v>
      </c>
      <c r="F966" s="111" t="s">
        <v>3847</v>
      </c>
      <c r="G966" s="110" t="s">
        <v>3848</v>
      </c>
      <c r="H966" s="113">
        <v>0.0</v>
      </c>
      <c r="I966" s="110" t="s">
        <v>70</v>
      </c>
      <c r="J966" s="112">
        <v>11490.0</v>
      </c>
      <c r="K966" s="113" t="s">
        <v>71</v>
      </c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 t="s">
        <v>72</v>
      </c>
      <c r="W966" s="112" t="s">
        <v>3696</v>
      </c>
    </row>
    <row r="967" ht="49.5" customHeight="1">
      <c r="A967" s="110" t="s">
        <v>3849</v>
      </c>
      <c r="B967" s="110" t="s">
        <v>3850</v>
      </c>
      <c r="C967" s="110" t="s">
        <v>3851</v>
      </c>
      <c r="D967" s="110"/>
      <c r="E967" s="111" t="s">
        <v>3852</v>
      </c>
      <c r="F967" s="111" t="s">
        <v>3853</v>
      </c>
      <c r="G967" s="110" t="s">
        <v>508</v>
      </c>
      <c r="H967" s="113">
        <v>0.0</v>
      </c>
      <c r="I967" s="110" t="s">
        <v>70</v>
      </c>
      <c r="J967" s="112">
        <v>8690.0</v>
      </c>
      <c r="K967" s="113" t="s">
        <v>71</v>
      </c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 t="s">
        <v>72</v>
      </c>
      <c r="W967" s="112" t="s">
        <v>3696</v>
      </c>
    </row>
    <row r="968" ht="49.5" customHeight="1">
      <c r="A968" s="110" t="s">
        <v>3854</v>
      </c>
      <c r="B968" s="110" t="s">
        <v>3855</v>
      </c>
      <c r="C968" s="110" t="s">
        <v>3856</v>
      </c>
      <c r="D968" s="110"/>
      <c r="E968" s="111" t="s">
        <v>3857</v>
      </c>
      <c r="F968" s="111" t="s">
        <v>3858</v>
      </c>
      <c r="G968" s="110" t="s">
        <v>514</v>
      </c>
      <c r="H968" s="113">
        <v>0.0</v>
      </c>
      <c r="I968" s="110" t="s">
        <v>70</v>
      </c>
      <c r="J968" s="112">
        <v>8690.0</v>
      </c>
      <c r="K968" s="113" t="s">
        <v>71</v>
      </c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 t="s">
        <v>72</v>
      </c>
      <c r="W968" s="112" t="s">
        <v>3696</v>
      </c>
    </row>
    <row r="969" ht="49.5" customHeight="1">
      <c r="A969" s="110" t="s">
        <v>3859</v>
      </c>
      <c r="B969" s="110" t="s">
        <v>3860</v>
      </c>
      <c r="C969" s="110" t="s">
        <v>3861</v>
      </c>
      <c r="D969" s="110"/>
      <c r="E969" s="111" t="s">
        <v>3862</v>
      </c>
      <c r="F969" s="111" t="s">
        <v>3863</v>
      </c>
      <c r="G969" s="110" t="s">
        <v>3863</v>
      </c>
      <c r="H969" s="113">
        <v>10.0</v>
      </c>
      <c r="I969" s="110" t="s">
        <v>70</v>
      </c>
      <c r="J969" s="112">
        <v>4790.0</v>
      </c>
      <c r="K969" s="113" t="s">
        <v>71</v>
      </c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 t="s">
        <v>72</v>
      </c>
      <c r="W969" s="112" t="s">
        <v>3696</v>
      </c>
    </row>
    <row r="970" ht="49.5" customHeight="1">
      <c r="A970" s="110" t="s">
        <v>3864</v>
      </c>
      <c r="B970" s="110" t="s">
        <v>3865</v>
      </c>
      <c r="C970" s="110" t="s">
        <v>3866</v>
      </c>
      <c r="D970" s="110"/>
      <c r="E970" s="111" t="s">
        <v>3867</v>
      </c>
      <c r="F970" s="111" t="s">
        <v>3868</v>
      </c>
      <c r="G970" s="110" t="s">
        <v>3868</v>
      </c>
      <c r="H970" s="113">
        <v>0.0</v>
      </c>
      <c r="I970" s="110" t="s">
        <v>70</v>
      </c>
      <c r="J970" s="112">
        <v>5990.0</v>
      </c>
      <c r="K970" s="113" t="s">
        <v>71</v>
      </c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 t="s">
        <v>72</v>
      </c>
      <c r="W970" s="112" t="s">
        <v>3696</v>
      </c>
    </row>
    <row r="971" ht="49.5" customHeight="1">
      <c r="A971" s="110" t="s">
        <v>3869</v>
      </c>
      <c r="B971" s="110" t="s">
        <v>3870</v>
      </c>
      <c r="C971" s="110" t="s">
        <v>3871</v>
      </c>
      <c r="D971" s="110"/>
      <c r="E971" s="111" t="s">
        <v>3872</v>
      </c>
      <c r="F971" s="111" t="s">
        <v>3873</v>
      </c>
      <c r="G971" s="110" t="s">
        <v>3873</v>
      </c>
      <c r="H971" s="113">
        <v>0.0</v>
      </c>
      <c r="I971" s="110" t="s">
        <v>70</v>
      </c>
      <c r="J971" s="112">
        <v>137390.0</v>
      </c>
      <c r="K971" s="113" t="s">
        <v>71</v>
      </c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 t="s">
        <v>72</v>
      </c>
      <c r="W971" s="112" t="s">
        <v>3696</v>
      </c>
    </row>
    <row r="972" ht="49.5" customHeight="1">
      <c r="A972" s="110" t="s">
        <v>3874</v>
      </c>
      <c r="B972" s="110" t="s">
        <v>3875</v>
      </c>
      <c r="C972" s="110" t="s">
        <v>3876</v>
      </c>
      <c r="D972" s="110"/>
      <c r="E972" s="111" t="s">
        <v>3877</v>
      </c>
      <c r="F972" s="111" t="s">
        <v>3878</v>
      </c>
      <c r="G972" s="110" t="s">
        <v>90</v>
      </c>
      <c r="H972" s="113">
        <v>0.0</v>
      </c>
      <c r="I972" s="110" t="s">
        <v>70</v>
      </c>
      <c r="J972" s="112">
        <v>15990.0</v>
      </c>
      <c r="K972" s="113" t="s">
        <v>71</v>
      </c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 t="s">
        <v>72</v>
      </c>
      <c r="W972" s="112" t="s">
        <v>3696</v>
      </c>
    </row>
    <row r="973" ht="49.5" customHeight="1">
      <c r="A973" s="110" t="s">
        <v>3879</v>
      </c>
      <c r="B973" s="110" t="s">
        <v>3880</v>
      </c>
      <c r="C973" s="110" t="s">
        <v>3881</v>
      </c>
      <c r="D973" s="110"/>
      <c r="E973" s="111" t="s">
        <v>3882</v>
      </c>
      <c r="F973" s="111" t="s">
        <v>3883</v>
      </c>
      <c r="G973" s="110" t="s">
        <v>704</v>
      </c>
      <c r="H973" s="113">
        <v>0.0</v>
      </c>
      <c r="I973" s="110" t="s">
        <v>70</v>
      </c>
      <c r="J973" s="112">
        <v>26890.0</v>
      </c>
      <c r="K973" s="113" t="s">
        <v>71</v>
      </c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 t="s">
        <v>72</v>
      </c>
      <c r="W973" s="112" t="s">
        <v>3696</v>
      </c>
    </row>
    <row r="974" ht="49.5" customHeight="1">
      <c r="A974" s="110" t="s">
        <v>3884</v>
      </c>
      <c r="B974" s="110" t="s">
        <v>3885</v>
      </c>
      <c r="C974" s="110" t="s">
        <v>3886</v>
      </c>
      <c r="D974" s="110"/>
      <c r="E974" s="111" t="s">
        <v>3887</v>
      </c>
      <c r="F974" s="111" t="s">
        <v>3888</v>
      </c>
      <c r="G974" s="110" t="s">
        <v>3889</v>
      </c>
      <c r="H974" s="113">
        <v>10.0</v>
      </c>
      <c r="I974" s="110" t="s">
        <v>70</v>
      </c>
      <c r="J974" s="112">
        <v>23790.0</v>
      </c>
      <c r="K974" s="113" t="s">
        <v>71</v>
      </c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 t="s">
        <v>72</v>
      </c>
      <c r="W974" s="112" t="s">
        <v>3696</v>
      </c>
    </row>
    <row r="975" ht="49.5" customHeight="1">
      <c r="A975" s="110" t="s">
        <v>3890</v>
      </c>
      <c r="B975" s="110" t="s">
        <v>3891</v>
      </c>
      <c r="C975" s="110" t="s">
        <v>3892</v>
      </c>
      <c r="D975" s="110"/>
      <c r="E975" s="111" t="s">
        <v>3893</v>
      </c>
      <c r="F975" s="111" t="s">
        <v>3894</v>
      </c>
      <c r="G975" s="110" t="s">
        <v>3894</v>
      </c>
      <c r="H975" s="113">
        <v>0.0</v>
      </c>
      <c r="I975" s="110" t="s">
        <v>70</v>
      </c>
      <c r="J975" s="112">
        <v>25490.0</v>
      </c>
      <c r="K975" s="113" t="s">
        <v>71</v>
      </c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 t="s">
        <v>72</v>
      </c>
      <c r="W975" s="112" t="s">
        <v>3696</v>
      </c>
    </row>
    <row r="976" ht="49.5" customHeight="1">
      <c r="A976" s="110" t="s">
        <v>3895</v>
      </c>
      <c r="B976" s="110" t="s">
        <v>3896</v>
      </c>
      <c r="C976" s="110" t="s">
        <v>3897</v>
      </c>
      <c r="D976" s="110"/>
      <c r="E976" s="111" t="s">
        <v>3898</v>
      </c>
      <c r="F976" s="111" t="s">
        <v>3899</v>
      </c>
      <c r="G976" s="110" t="s">
        <v>3900</v>
      </c>
      <c r="H976" s="113">
        <v>10.0</v>
      </c>
      <c r="I976" s="110" t="s">
        <v>70</v>
      </c>
      <c r="J976" s="112">
        <v>43190.0</v>
      </c>
      <c r="K976" s="113" t="s">
        <v>71</v>
      </c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 t="s">
        <v>72</v>
      </c>
      <c r="W976" s="112" t="s">
        <v>3696</v>
      </c>
    </row>
    <row r="977" ht="49.5" customHeight="1">
      <c r="A977" s="110" t="s">
        <v>3901</v>
      </c>
      <c r="B977" s="110" t="s">
        <v>3902</v>
      </c>
      <c r="C977" s="110" t="s">
        <v>3903</v>
      </c>
      <c r="D977" s="110"/>
      <c r="E977" s="111" t="s">
        <v>3904</v>
      </c>
      <c r="F977" s="111" t="s">
        <v>3905</v>
      </c>
      <c r="G977" s="110" t="s">
        <v>710</v>
      </c>
      <c r="H977" s="113">
        <v>10.0</v>
      </c>
      <c r="I977" s="110" t="s">
        <v>70</v>
      </c>
      <c r="J977" s="112">
        <v>16290.0</v>
      </c>
      <c r="K977" s="113" t="s">
        <v>71</v>
      </c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 t="s">
        <v>72</v>
      </c>
      <c r="W977" s="112" t="s">
        <v>3696</v>
      </c>
    </row>
    <row r="978" ht="49.5" customHeight="1">
      <c r="A978" s="110" t="s">
        <v>3906</v>
      </c>
      <c r="B978" s="110" t="s">
        <v>3907</v>
      </c>
      <c r="C978" s="110" t="s">
        <v>3908</v>
      </c>
      <c r="D978" s="110"/>
      <c r="E978" s="111" t="s">
        <v>3909</v>
      </c>
      <c r="F978" s="111" t="s">
        <v>3910</v>
      </c>
      <c r="G978" s="110" t="s">
        <v>3889</v>
      </c>
      <c r="H978" s="113">
        <v>10.0</v>
      </c>
      <c r="I978" s="110" t="s">
        <v>70</v>
      </c>
      <c r="J978" s="112">
        <v>6790.0</v>
      </c>
      <c r="K978" s="113" t="s">
        <v>71</v>
      </c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 t="s">
        <v>72</v>
      </c>
      <c r="W978" s="112" t="s">
        <v>3696</v>
      </c>
    </row>
    <row r="979" ht="49.5" customHeight="1">
      <c r="A979" s="110" t="s">
        <v>3911</v>
      </c>
      <c r="B979" s="110" t="s">
        <v>3912</v>
      </c>
      <c r="C979" s="110" t="s">
        <v>3913</v>
      </c>
      <c r="D979" s="110"/>
      <c r="E979" s="111" t="s">
        <v>3914</v>
      </c>
      <c r="F979" s="111" t="s">
        <v>3915</v>
      </c>
      <c r="G979" s="110" t="s">
        <v>165</v>
      </c>
      <c r="H979" s="113">
        <v>10.0</v>
      </c>
      <c r="I979" s="110" t="s">
        <v>70</v>
      </c>
      <c r="J979" s="112">
        <v>5090.0</v>
      </c>
      <c r="K979" s="113" t="s">
        <v>71</v>
      </c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 t="s">
        <v>72</v>
      </c>
      <c r="W979" s="112" t="s">
        <v>3696</v>
      </c>
    </row>
    <row r="980" ht="49.5" customHeight="1">
      <c r="A980" s="110" t="s">
        <v>3916</v>
      </c>
      <c r="B980" s="110" t="s">
        <v>3917</v>
      </c>
      <c r="C980" s="110" t="s">
        <v>3918</v>
      </c>
      <c r="D980" s="110"/>
      <c r="E980" s="111" t="s">
        <v>3919</v>
      </c>
      <c r="F980" s="111" t="s">
        <v>3920</v>
      </c>
      <c r="G980" s="110" t="s">
        <v>704</v>
      </c>
      <c r="H980" s="113">
        <v>0.0</v>
      </c>
      <c r="I980" s="110" t="s">
        <v>70</v>
      </c>
      <c r="J980" s="112">
        <v>5490.0</v>
      </c>
      <c r="K980" s="113" t="s">
        <v>71</v>
      </c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 t="s">
        <v>72</v>
      </c>
      <c r="W980" s="112" t="s">
        <v>3696</v>
      </c>
    </row>
    <row r="981" ht="49.5" customHeight="1">
      <c r="A981" s="110" t="s">
        <v>3921</v>
      </c>
      <c r="B981" s="110" t="s">
        <v>3922</v>
      </c>
      <c r="C981" s="110" t="s">
        <v>3923</v>
      </c>
      <c r="D981" s="110"/>
      <c r="E981" s="111" t="s">
        <v>3924</v>
      </c>
      <c r="F981" s="111" t="s">
        <v>3925</v>
      </c>
      <c r="G981" s="110" t="s">
        <v>698</v>
      </c>
      <c r="H981" s="113">
        <v>30.0</v>
      </c>
      <c r="I981" s="110" t="s">
        <v>70</v>
      </c>
      <c r="J981" s="112">
        <v>8690.0</v>
      </c>
      <c r="K981" s="113" t="s">
        <v>71</v>
      </c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 t="s">
        <v>72</v>
      </c>
      <c r="W981" s="112" t="s">
        <v>3696</v>
      </c>
    </row>
    <row r="982" ht="49.5" customHeight="1">
      <c r="A982" s="110" t="s">
        <v>3926</v>
      </c>
      <c r="B982" s="110" t="s">
        <v>3927</v>
      </c>
      <c r="C982" s="110" t="s">
        <v>3928</v>
      </c>
      <c r="D982" s="110"/>
      <c r="E982" s="111" t="s">
        <v>3929</v>
      </c>
      <c r="F982" s="111" t="s">
        <v>3930</v>
      </c>
      <c r="G982" s="110" t="s">
        <v>1546</v>
      </c>
      <c r="H982" s="113">
        <v>0.0</v>
      </c>
      <c r="I982" s="110" t="s">
        <v>70</v>
      </c>
      <c r="J982" s="112">
        <v>4690.0</v>
      </c>
      <c r="K982" s="113" t="s">
        <v>71</v>
      </c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 t="s">
        <v>72</v>
      </c>
      <c r="W982" s="112" t="s">
        <v>3696</v>
      </c>
    </row>
    <row r="983" ht="49.5" customHeight="1">
      <c r="A983" s="110" t="s">
        <v>3931</v>
      </c>
      <c r="B983" s="110" t="s">
        <v>3932</v>
      </c>
      <c r="C983" s="110" t="s">
        <v>3933</v>
      </c>
      <c r="D983" s="110"/>
      <c r="E983" s="111" t="s">
        <v>3934</v>
      </c>
      <c r="F983" s="111" t="s">
        <v>3935</v>
      </c>
      <c r="G983" s="110" t="s">
        <v>3935</v>
      </c>
      <c r="H983" s="113">
        <v>10.0</v>
      </c>
      <c r="I983" s="110" t="s">
        <v>70</v>
      </c>
      <c r="J983" s="112">
        <v>3990.0</v>
      </c>
      <c r="K983" s="113" t="s">
        <v>71</v>
      </c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 t="s">
        <v>72</v>
      </c>
      <c r="W983" s="112" t="s">
        <v>3696</v>
      </c>
    </row>
    <row r="984" ht="49.5" customHeight="1">
      <c r="A984" s="110" t="s">
        <v>3936</v>
      </c>
      <c r="B984" s="110" t="s">
        <v>3937</v>
      </c>
      <c r="C984" s="110" t="s">
        <v>3938</v>
      </c>
      <c r="D984" s="110"/>
      <c r="E984" s="111" t="s">
        <v>3939</v>
      </c>
      <c r="F984" s="111" t="s">
        <v>3940</v>
      </c>
      <c r="G984" s="110" t="s">
        <v>3940</v>
      </c>
      <c r="H984" s="113">
        <v>10.0</v>
      </c>
      <c r="I984" s="110" t="s">
        <v>70</v>
      </c>
      <c r="J984" s="112">
        <v>3090.0</v>
      </c>
      <c r="K984" s="113" t="s">
        <v>71</v>
      </c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 t="s">
        <v>72</v>
      </c>
      <c r="W984" s="112" t="s">
        <v>3696</v>
      </c>
    </row>
    <row r="985" ht="49.5" customHeight="1">
      <c r="A985" s="110" t="s">
        <v>3941</v>
      </c>
      <c r="B985" s="110" t="s">
        <v>3942</v>
      </c>
      <c r="C985" s="110" t="s">
        <v>3943</v>
      </c>
      <c r="D985" s="110"/>
      <c r="E985" s="111" t="s">
        <v>3944</v>
      </c>
      <c r="F985" s="111" t="s">
        <v>3945</v>
      </c>
      <c r="G985" s="110" t="s">
        <v>3945</v>
      </c>
      <c r="H985" s="113">
        <v>10.0</v>
      </c>
      <c r="I985" s="110" t="s">
        <v>70</v>
      </c>
      <c r="J985" s="112">
        <v>6190.0</v>
      </c>
      <c r="K985" s="113" t="s">
        <v>71</v>
      </c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 t="s">
        <v>72</v>
      </c>
      <c r="W985" s="112" t="s">
        <v>3696</v>
      </c>
    </row>
    <row r="986" ht="49.5" customHeight="1">
      <c r="A986" s="110" t="s">
        <v>3946</v>
      </c>
      <c r="B986" s="110" t="s">
        <v>3947</v>
      </c>
      <c r="C986" s="110" t="s">
        <v>3948</v>
      </c>
      <c r="D986" s="110"/>
      <c r="E986" s="111" t="s">
        <v>3949</v>
      </c>
      <c r="F986" s="111" t="s">
        <v>3950</v>
      </c>
      <c r="G986" s="110" t="s">
        <v>3950</v>
      </c>
      <c r="H986" s="113">
        <v>10.0</v>
      </c>
      <c r="I986" s="110" t="s">
        <v>70</v>
      </c>
      <c r="J986" s="112">
        <v>4290.0</v>
      </c>
      <c r="K986" s="113" t="s">
        <v>71</v>
      </c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 t="s">
        <v>72</v>
      </c>
      <c r="W986" s="112" t="s">
        <v>3696</v>
      </c>
    </row>
    <row r="987" ht="49.5" customHeight="1">
      <c r="A987" s="110" t="s">
        <v>3951</v>
      </c>
      <c r="B987" s="110" t="s">
        <v>3952</v>
      </c>
      <c r="C987" s="110" t="s">
        <v>3953</v>
      </c>
      <c r="D987" s="110"/>
      <c r="E987" s="111" t="s">
        <v>3954</v>
      </c>
      <c r="F987" s="111" t="s">
        <v>3955</v>
      </c>
      <c r="G987" s="110" t="s">
        <v>3955</v>
      </c>
      <c r="H987" s="113">
        <v>0.0</v>
      </c>
      <c r="I987" s="110" t="s">
        <v>70</v>
      </c>
      <c r="J987" s="112">
        <v>84790.0</v>
      </c>
      <c r="K987" s="113" t="s">
        <v>71</v>
      </c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 t="s">
        <v>72</v>
      </c>
      <c r="W987" s="112" t="s">
        <v>3696</v>
      </c>
    </row>
    <row r="988" ht="49.5" customHeight="1">
      <c r="A988" s="110" t="s">
        <v>3956</v>
      </c>
      <c r="B988" s="110" t="s">
        <v>3957</v>
      </c>
      <c r="C988" s="110" t="s">
        <v>3958</v>
      </c>
      <c r="D988" s="110"/>
      <c r="E988" s="111" t="s">
        <v>3959</v>
      </c>
      <c r="F988" s="111" t="s">
        <v>3960</v>
      </c>
      <c r="G988" s="110" t="s">
        <v>3960</v>
      </c>
      <c r="H988" s="113">
        <v>0.0</v>
      </c>
      <c r="I988" s="110" t="s">
        <v>70</v>
      </c>
      <c r="J988" s="112">
        <v>5690.0</v>
      </c>
      <c r="K988" s="113" t="s">
        <v>71</v>
      </c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 t="s">
        <v>72</v>
      </c>
      <c r="W988" s="112" t="s">
        <v>3696</v>
      </c>
    </row>
    <row r="989" ht="49.5" customHeight="1">
      <c r="A989" s="110" t="s">
        <v>3961</v>
      </c>
      <c r="B989" s="110" t="s">
        <v>3962</v>
      </c>
      <c r="C989" s="110" t="s">
        <v>3963</v>
      </c>
      <c r="D989" s="110"/>
      <c r="E989" s="111" t="s">
        <v>3964</v>
      </c>
      <c r="F989" s="111" t="s">
        <v>853</v>
      </c>
      <c r="G989" s="110" t="s">
        <v>3965</v>
      </c>
      <c r="H989" s="113">
        <v>0.0</v>
      </c>
      <c r="I989" s="110" t="s">
        <v>70</v>
      </c>
      <c r="J989" s="112">
        <v>9490.0</v>
      </c>
      <c r="K989" s="113" t="s">
        <v>71</v>
      </c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 t="s">
        <v>72</v>
      </c>
      <c r="W989" s="112" t="s">
        <v>3696</v>
      </c>
    </row>
    <row r="990" ht="49.5" customHeight="1">
      <c r="A990" s="110" t="s">
        <v>63</v>
      </c>
      <c r="B990" s="110" t="s">
        <v>3966</v>
      </c>
      <c r="C990" s="110"/>
      <c r="D990" s="110"/>
      <c r="E990" s="112" t="s">
        <v>63</v>
      </c>
      <c r="F990" s="111" t="s">
        <v>3967</v>
      </c>
      <c r="G990" s="110" t="s">
        <v>70</v>
      </c>
      <c r="H990" s="110" t="s">
        <v>3699</v>
      </c>
      <c r="I990" s="110" t="s">
        <v>70</v>
      </c>
      <c r="J990" s="112">
        <v>8090.0</v>
      </c>
      <c r="K990" s="113" t="s">
        <v>71</v>
      </c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 t="s">
        <v>72</v>
      </c>
      <c r="W990" s="112" t="s">
        <v>3696</v>
      </c>
    </row>
    <row r="991" ht="49.5" customHeight="1">
      <c r="A991" s="110" t="s">
        <v>63</v>
      </c>
      <c r="B991" s="110" t="s">
        <v>3966</v>
      </c>
      <c r="C991" s="110" t="s">
        <v>3968</v>
      </c>
      <c r="D991" s="110" t="s">
        <v>3968</v>
      </c>
      <c r="E991" s="111" t="s">
        <v>3969</v>
      </c>
      <c r="F991" s="114" t="str">
        <f>"     "&amp;F990</f>
        <v>     Pack Media Adulto 2.20.16 Antideslizante</v>
      </c>
      <c r="G991" s="110" t="s">
        <v>2402</v>
      </c>
      <c r="H991" s="113">
        <v>0.0</v>
      </c>
      <c r="I991" s="110" t="s">
        <v>70</v>
      </c>
      <c r="J991" s="112">
        <f>J990</f>
        <v>8090</v>
      </c>
      <c r="K991" s="110" t="str">
        <f>K990&amp;"     "</f>
        <v>$     </v>
      </c>
      <c r="L991" s="110" t="str">
        <f t="shared" ref="L991:U991" si="677">L990</f>
        <v/>
      </c>
      <c r="M991" s="110" t="str">
        <f t="shared" si="677"/>
        <v/>
      </c>
      <c r="N991" s="110" t="str">
        <f t="shared" si="677"/>
        <v/>
      </c>
      <c r="O991" s="110" t="str">
        <f t="shared" si="677"/>
        <v/>
      </c>
      <c r="P991" s="110" t="str">
        <f t="shared" si="677"/>
        <v/>
      </c>
      <c r="Q991" s="110" t="str">
        <f t="shared" si="677"/>
        <v/>
      </c>
      <c r="R991" s="110" t="str">
        <f t="shared" si="677"/>
        <v/>
      </c>
      <c r="S991" s="110" t="str">
        <f t="shared" si="677"/>
        <v/>
      </c>
      <c r="T991" s="110" t="str">
        <f t="shared" si="677"/>
        <v/>
      </c>
      <c r="U991" s="110" t="str">
        <f t="shared" si="677"/>
        <v/>
      </c>
      <c r="V991" s="110" t="str">
        <f t="shared" ref="V991:W991" si="678">V990&amp;"     "</f>
        <v>Nuevo     </v>
      </c>
      <c r="W991" s="112" t="str">
        <f t="shared" si="678"/>
        <v>Inactiva     </v>
      </c>
    </row>
    <row r="992" ht="49.5" customHeight="1">
      <c r="A992" s="110" t="s">
        <v>63</v>
      </c>
      <c r="B992" s="110" t="s">
        <v>3966</v>
      </c>
      <c r="C992" s="110" t="s">
        <v>3970</v>
      </c>
      <c r="D992" s="110" t="s">
        <v>3970</v>
      </c>
      <c r="E992" s="111" t="s">
        <v>3971</v>
      </c>
      <c r="F992" s="114" t="str">
        <f>"     "&amp;F990</f>
        <v>     Pack Media Adulto 2.20.16 Antideslizante</v>
      </c>
      <c r="G992" s="110" t="s">
        <v>3972</v>
      </c>
      <c r="H992" s="113">
        <v>0.0</v>
      </c>
      <c r="I992" s="110" t="s">
        <v>70</v>
      </c>
      <c r="J992" s="112">
        <f>J990</f>
        <v>8090</v>
      </c>
      <c r="K992" s="110" t="str">
        <f>K990&amp;"     "</f>
        <v>$     </v>
      </c>
      <c r="L992" s="110" t="str">
        <f t="shared" ref="L992:U992" si="679">L990</f>
        <v/>
      </c>
      <c r="M992" s="110" t="str">
        <f t="shared" si="679"/>
        <v/>
      </c>
      <c r="N992" s="110" t="str">
        <f t="shared" si="679"/>
        <v/>
      </c>
      <c r="O992" s="110" t="str">
        <f t="shared" si="679"/>
        <v/>
      </c>
      <c r="P992" s="110" t="str">
        <f t="shared" si="679"/>
        <v/>
      </c>
      <c r="Q992" s="110" t="str">
        <f t="shared" si="679"/>
        <v/>
      </c>
      <c r="R992" s="110" t="str">
        <f t="shared" si="679"/>
        <v/>
      </c>
      <c r="S992" s="110" t="str">
        <f t="shared" si="679"/>
        <v/>
      </c>
      <c r="T992" s="110" t="str">
        <f t="shared" si="679"/>
        <v/>
      </c>
      <c r="U992" s="110" t="str">
        <f t="shared" si="679"/>
        <v/>
      </c>
      <c r="V992" s="110" t="str">
        <f t="shared" ref="V992:W992" si="680">V990&amp;"     "</f>
        <v>Nuevo     </v>
      </c>
      <c r="W992" s="112" t="str">
        <f t="shared" si="680"/>
        <v>Inactiva     </v>
      </c>
    </row>
    <row r="993" ht="49.5" customHeight="1">
      <c r="A993" s="110" t="s">
        <v>63</v>
      </c>
      <c r="B993" s="110" t="s">
        <v>3966</v>
      </c>
      <c r="C993" s="110" t="s">
        <v>3973</v>
      </c>
      <c r="D993" s="110" t="s">
        <v>3973</v>
      </c>
      <c r="E993" s="111" t="s">
        <v>3974</v>
      </c>
      <c r="F993" s="114" t="str">
        <f>"     "&amp;F990</f>
        <v>     Pack Media Adulto 2.20.16 Antideslizante</v>
      </c>
      <c r="G993" s="110" t="s">
        <v>3975</v>
      </c>
      <c r="H993" s="113">
        <v>0.0</v>
      </c>
      <c r="I993" s="110" t="s">
        <v>70</v>
      </c>
      <c r="J993" s="112">
        <f>J990</f>
        <v>8090</v>
      </c>
      <c r="K993" s="110" t="str">
        <f>K990&amp;"     "</f>
        <v>$     </v>
      </c>
      <c r="L993" s="110" t="str">
        <f t="shared" ref="L993:U993" si="681">L990</f>
        <v/>
      </c>
      <c r="M993" s="110" t="str">
        <f t="shared" si="681"/>
        <v/>
      </c>
      <c r="N993" s="110" t="str">
        <f t="shared" si="681"/>
        <v/>
      </c>
      <c r="O993" s="110" t="str">
        <f t="shared" si="681"/>
        <v/>
      </c>
      <c r="P993" s="110" t="str">
        <f t="shared" si="681"/>
        <v/>
      </c>
      <c r="Q993" s="110" t="str">
        <f t="shared" si="681"/>
        <v/>
      </c>
      <c r="R993" s="110" t="str">
        <f t="shared" si="681"/>
        <v/>
      </c>
      <c r="S993" s="110" t="str">
        <f t="shared" si="681"/>
        <v/>
      </c>
      <c r="T993" s="110" t="str">
        <f t="shared" si="681"/>
        <v/>
      </c>
      <c r="U993" s="110" t="str">
        <f t="shared" si="681"/>
        <v/>
      </c>
      <c r="V993" s="110" t="str">
        <f t="shared" ref="V993:W993" si="682">V990&amp;"     "</f>
        <v>Nuevo     </v>
      </c>
      <c r="W993" s="112" t="str">
        <f t="shared" si="682"/>
        <v>Inactiva     </v>
      </c>
    </row>
    <row r="994" ht="49.5" customHeight="1">
      <c r="A994" s="110" t="s">
        <v>3976</v>
      </c>
      <c r="B994" s="110" t="s">
        <v>3977</v>
      </c>
      <c r="C994" s="110" t="s">
        <v>3978</v>
      </c>
      <c r="D994" s="110"/>
      <c r="E994" s="111" t="s">
        <v>3979</v>
      </c>
      <c r="F994" s="111" t="s">
        <v>3980</v>
      </c>
      <c r="G994" s="110" t="s">
        <v>3980</v>
      </c>
      <c r="H994" s="113">
        <v>10.0</v>
      </c>
      <c r="I994" s="110" t="s">
        <v>70</v>
      </c>
      <c r="J994" s="112">
        <v>30090.0</v>
      </c>
      <c r="K994" s="113" t="s">
        <v>71</v>
      </c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 t="s">
        <v>72</v>
      </c>
      <c r="W994" s="112" t="s">
        <v>3696</v>
      </c>
    </row>
    <row r="995" ht="49.5" customHeight="1">
      <c r="A995" s="110" t="s">
        <v>3981</v>
      </c>
      <c r="B995" s="110" t="s">
        <v>3982</v>
      </c>
      <c r="C995" s="110" t="s">
        <v>3983</v>
      </c>
      <c r="D995" s="110"/>
      <c r="E995" s="111" t="s">
        <v>3984</v>
      </c>
      <c r="F995" s="111" t="s">
        <v>3985</v>
      </c>
      <c r="G995" s="110" t="s">
        <v>3986</v>
      </c>
      <c r="H995" s="113">
        <v>10.0</v>
      </c>
      <c r="I995" s="110" t="s">
        <v>70</v>
      </c>
      <c r="J995" s="112">
        <v>11790.0</v>
      </c>
      <c r="K995" s="113" t="s">
        <v>71</v>
      </c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 t="s">
        <v>72</v>
      </c>
      <c r="W995" s="112" t="s">
        <v>3696</v>
      </c>
    </row>
    <row r="996" ht="49.5" customHeight="1">
      <c r="A996" s="110" t="s">
        <v>3987</v>
      </c>
      <c r="B996" s="110" t="s">
        <v>3988</v>
      </c>
      <c r="C996" s="110" t="s">
        <v>3989</v>
      </c>
      <c r="D996" s="110"/>
      <c r="E996" s="111" t="s">
        <v>3990</v>
      </c>
      <c r="F996" s="111" t="s">
        <v>3991</v>
      </c>
      <c r="G996" s="110" t="s">
        <v>144</v>
      </c>
      <c r="H996" s="113">
        <v>10.0</v>
      </c>
      <c r="I996" s="110" t="s">
        <v>70</v>
      </c>
      <c r="J996" s="112">
        <v>34290.0</v>
      </c>
      <c r="K996" s="113" t="s">
        <v>71</v>
      </c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 t="s">
        <v>72</v>
      </c>
      <c r="W996" s="112" t="s">
        <v>3696</v>
      </c>
    </row>
    <row r="997" ht="49.5" customHeight="1">
      <c r="A997" s="110" t="s">
        <v>3992</v>
      </c>
      <c r="B997" s="110" t="s">
        <v>3993</v>
      </c>
      <c r="C997" s="110" t="s">
        <v>3994</v>
      </c>
      <c r="D997" s="110"/>
      <c r="E997" s="111" t="s">
        <v>3995</v>
      </c>
      <c r="F997" s="111" t="s">
        <v>3996</v>
      </c>
      <c r="G997" s="110" t="s">
        <v>1758</v>
      </c>
      <c r="H997" s="113">
        <v>10.0</v>
      </c>
      <c r="I997" s="110" t="s">
        <v>70</v>
      </c>
      <c r="J997" s="112">
        <v>49890.0</v>
      </c>
      <c r="K997" s="113" t="s">
        <v>71</v>
      </c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 t="s">
        <v>72</v>
      </c>
      <c r="W997" s="112" t="s">
        <v>3696</v>
      </c>
    </row>
    <row r="998" ht="49.5" customHeight="1">
      <c r="A998" s="110" t="s">
        <v>3997</v>
      </c>
      <c r="B998" s="110" t="s">
        <v>3998</v>
      </c>
      <c r="C998" s="110" t="s">
        <v>3999</v>
      </c>
      <c r="D998" s="110"/>
      <c r="E998" s="111" t="s">
        <v>4000</v>
      </c>
      <c r="F998" s="111" t="s">
        <v>4001</v>
      </c>
      <c r="G998" s="110" t="s">
        <v>138</v>
      </c>
      <c r="H998" s="113">
        <v>10.0</v>
      </c>
      <c r="I998" s="110" t="s">
        <v>70</v>
      </c>
      <c r="J998" s="112">
        <v>9190.0</v>
      </c>
      <c r="K998" s="113" t="s">
        <v>71</v>
      </c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 t="s">
        <v>72</v>
      </c>
      <c r="W998" s="112" t="s">
        <v>3696</v>
      </c>
    </row>
    <row r="999" ht="49.5" customHeight="1">
      <c r="A999" s="110" t="s">
        <v>4002</v>
      </c>
      <c r="B999" s="110" t="s">
        <v>4003</v>
      </c>
      <c r="C999" s="110" t="s">
        <v>4004</v>
      </c>
      <c r="D999" s="110"/>
      <c r="E999" s="111" t="s">
        <v>4005</v>
      </c>
      <c r="F999" s="111" t="s">
        <v>4006</v>
      </c>
      <c r="G999" s="110" t="s">
        <v>144</v>
      </c>
      <c r="H999" s="113">
        <v>10.0</v>
      </c>
      <c r="I999" s="110" t="s">
        <v>70</v>
      </c>
      <c r="J999" s="112">
        <v>7390.0</v>
      </c>
      <c r="K999" s="113" t="s">
        <v>71</v>
      </c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 t="s">
        <v>72</v>
      </c>
      <c r="W999" s="112" t="s">
        <v>3696</v>
      </c>
    </row>
    <row r="1000" ht="49.5" customHeight="1">
      <c r="A1000" s="110" t="s">
        <v>4007</v>
      </c>
      <c r="B1000" s="110" t="s">
        <v>4008</v>
      </c>
      <c r="C1000" s="110" t="s">
        <v>4009</v>
      </c>
      <c r="D1000" s="110"/>
      <c r="E1000" s="111" t="s">
        <v>4010</v>
      </c>
      <c r="F1000" s="111" t="s">
        <v>4011</v>
      </c>
      <c r="G1000" s="110" t="s">
        <v>1758</v>
      </c>
      <c r="H1000" s="113">
        <v>10.0</v>
      </c>
      <c r="I1000" s="110" t="s">
        <v>70</v>
      </c>
      <c r="J1000" s="112">
        <v>80390.0</v>
      </c>
      <c r="K1000" s="113" t="s">
        <v>71</v>
      </c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 t="s">
        <v>72</v>
      </c>
      <c r="W1000" s="112" t="s">
        <v>3696</v>
      </c>
    </row>
    <row r="1001" ht="49.5" customHeight="1">
      <c r="A1001" s="110" t="s">
        <v>4012</v>
      </c>
      <c r="B1001" s="110" t="s">
        <v>4013</v>
      </c>
      <c r="C1001" s="110" t="s">
        <v>4014</v>
      </c>
      <c r="D1001" s="110"/>
      <c r="E1001" s="111" t="s">
        <v>4015</v>
      </c>
      <c r="F1001" s="111" t="s">
        <v>4016</v>
      </c>
      <c r="G1001" s="110" t="s">
        <v>4017</v>
      </c>
      <c r="H1001" s="113">
        <v>10.0</v>
      </c>
      <c r="I1001" s="110" t="s">
        <v>70</v>
      </c>
      <c r="J1001" s="112">
        <v>26290.0</v>
      </c>
      <c r="K1001" s="113" t="s">
        <v>71</v>
      </c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 t="s">
        <v>72</v>
      </c>
      <c r="W1001" s="112" t="s">
        <v>3696</v>
      </c>
    </row>
    <row r="1002" ht="49.5" customHeight="1">
      <c r="A1002" s="110" t="s">
        <v>4018</v>
      </c>
      <c r="B1002" s="110" t="s">
        <v>4019</v>
      </c>
      <c r="C1002" s="110" t="s">
        <v>4020</v>
      </c>
      <c r="D1002" s="110"/>
      <c r="E1002" s="111" t="s">
        <v>4021</v>
      </c>
      <c r="F1002" s="111" t="s">
        <v>4022</v>
      </c>
      <c r="G1002" s="110" t="s">
        <v>79</v>
      </c>
      <c r="H1002" s="113">
        <v>10.0</v>
      </c>
      <c r="I1002" s="110" t="s">
        <v>70</v>
      </c>
      <c r="J1002" s="112">
        <v>53290.0</v>
      </c>
      <c r="K1002" s="113" t="s">
        <v>71</v>
      </c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 t="s">
        <v>72</v>
      </c>
      <c r="W1002" s="112" t="s">
        <v>3696</v>
      </c>
    </row>
    <row r="1003" ht="49.5" customHeight="1">
      <c r="A1003" s="110" t="s">
        <v>4023</v>
      </c>
      <c r="B1003" s="110" t="s">
        <v>4024</v>
      </c>
      <c r="C1003" s="110" t="s">
        <v>4025</v>
      </c>
      <c r="D1003" s="110"/>
      <c r="E1003" s="111" t="s">
        <v>4026</v>
      </c>
      <c r="F1003" s="111" t="s">
        <v>4027</v>
      </c>
      <c r="G1003" s="110" t="s">
        <v>4027</v>
      </c>
      <c r="H1003" s="113">
        <v>10.0</v>
      </c>
      <c r="I1003" s="110" t="s">
        <v>70</v>
      </c>
      <c r="J1003" s="112">
        <v>21990.0</v>
      </c>
      <c r="K1003" s="113" t="s">
        <v>71</v>
      </c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 t="s">
        <v>72</v>
      </c>
      <c r="W1003" s="112" t="s">
        <v>3696</v>
      </c>
    </row>
    <row r="1004" ht="49.5" customHeight="1">
      <c r="A1004" s="110" t="s">
        <v>4028</v>
      </c>
      <c r="B1004" s="110" t="s">
        <v>4029</v>
      </c>
      <c r="C1004" s="110" t="s">
        <v>4030</v>
      </c>
      <c r="D1004" s="110"/>
      <c r="E1004" s="111" t="s">
        <v>4031</v>
      </c>
      <c r="F1004" s="111" t="s">
        <v>4032</v>
      </c>
      <c r="G1004" s="110" t="s">
        <v>90</v>
      </c>
      <c r="H1004" s="113">
        <v>10.0</v>
      </c>
      <c r="I1004" s="110" t="s">
        <v>70</v>
      </c>
      <c r="J1004" s="112">
        <v>13190.0</v>
      </c>
      <c r="K1004" s="113" t="s">
        <v>71</v>
      </c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 t="s">
        <v>72</v>
      </c>
      <c r="W1004" s="112" t="s">
        <v>3696</v>
      </c>
    </row>
    <row r="1005" ht="49.5" customHeight="1">
      <c r="A1005" s="110" t="s">
        <v>4033</v>
      </c>
      <c r="B1005" s="110" t="s">
        <v>4034</v>
      </c>
      <c r="C1005" s="110" t="s">
        <v>4035</v>
      </c>
      <c r="D1005" s="110"/>
      <c r="E1005" s="111" t="s">
        <v>4036</v>
      </c>
      <c r="F1005" s="111" t="s">
        <v>4037</v>
      </c>
      <c r="G1005" s="110" t="s">
        <v>79</v>
      </c>
      <c r="H1005" s="113">
        <v>10.0</v>
      </c>
      <c r="I1005" s="110" t="s">
        <v>70</v>
      </c>
      <c r="J1005" s="112">
        <v>115790.0</v>
      </c>
      <c r="K1005" s="113" t="s">
        <v>71</v>
      </c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 t="s">
        <v>72</v>
      </c>
      <c r="W1005" s="112" t="s">
        <v>3696</v>
      </c>
    </row>
    <row r="1006" ht="49.5" customHeight="1">
      <c r="A1006" s="110" t="s">
        <v>4038</v>
      </c>
      <c r="B1006" s="110" t="s">
        <v>4039</v>
      </c>
      <c r="C1006" s="110" t="s">
        <v>4040</v>
      </c>
      <c r="D1006" s="110"/>
      <c r="E1006" s="111" t="s">
        <v>4041</v>
      </c>
      <c r="F1006" s="111" t="s">
        <v>4042</v>
      </c>
      <c r="G1006" s="110" t="s">
        <v>4043</v>
      </c>
      <c r="H1006" s="113">
        <v>10.0</v>
      </c>
      <c r="I1006" s="110" t="s">
        <v>70</v>
      </c>
      <c r="J1006" s="112">
        <v>16290.0</v>
      </c>
      <c r="K1006" s="113" t="s">
        <v>71</v>
      </c>
      <c r="L1006" s="113"/>
      <c r="M1006" s="113"/>
      <c r="N1006" s="113"/>
      <c r="O1006" s="113"/>
      <c r="P1006" s="113"/>
      <c r="Q1006" s="113"/>
      <c r="R1006" s="113"/>
      <c r="S1006" s="113"/>
      <c r="T1006" s="113"/>
      <c r="U1006" s="113"/>
      <c r="V1006" s="113" t="s">
        <v>72</v>
      </c>
      <c r="W1006" s="112" t="s">
        <v>3696</v>
      </c>
    </row>
    <row r="1007" ht="49.5" customHeight="1">
      <c r="A1007" s="110" t="s">
        <v>4044</v>
      </c>
      <c r="B1007" s="110" t="s">
        <v>4045</v>
      </c>
      <c r="C1007" s="110" t="s">
        <v>4046</v>
      </c>
      <c r="D1007" s="110"/>
      <c r="E1007" s="111" t="s">
        <v>4047</v>
      </c>
      <c r="F1007" s="111" t="s">
        <v>4048</v>
      </c>
      <c r="G1007" s="110" t="s">
        <v>4049</v>
      </c>
      <c r="H1007" s="113">
        <v>10.0</v>
      </c>
      <c r="I1007" s="110" t="s">
        <v>70</v>
      </c>
      <c r="J1007" s="112">
        <v>10590.0</v>
      </c>
      <c r="K1007" s="113" t="s">
        <v>71</v>
      </c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 t="s">
        <v>72</v>
      </c>
      <c r="W1007" s="112" t="s">
        <v>3696</v>
      </c>
    </row>
    <row r="1008" ht="49.5" customHeight="1">
      <c r="A1008" s="110" t="s">
        <v>63</v>
      </c>
      <c r="B1008" s="110" t="s">
        <v>4050</v>
      </c>
      <c r="C1008" s="110"/>
      <c r="D1008" s="110"/>
      <c r="E1008" s="112" t="s">
        <v>63</v>
      </c>
      <c r="F1008" s="111" t="s">
        <v>4051</v>
      </c>
      <c r="G1008" s="110" t="s">
        <v>70</v>
      </c>
      <c r="H1008" s="110" t="s">
        <v>666</v>
      </c>
      <c r="I1008" s="110" t="s">
        <v>70</v>
      </c>
      <c r="J1008" s="112">
        <v>13490.0</v>
      </c>
      <c r="K1008" s="113" t="s">
        <v>71</v>
      </c>
      <c r="L1008" s="113"/>
      <c r="M1008" s="113"/>
      <c r="N1008" s="113"/>
      <c r="O1008" s="113"/>
      <c r="P1008" s="113"/>
      <c r="Q1008" s="113"/>
      <c r="R1008" s="113"/>
      <c r="S1008" s="113"/>
      <c r="T1008" s="113"/>
      <c r="U1008" s="113"/>
      <c r="V1008" s="113" t="s">
        <v>72</v>
      </c>
      <c r="W1008" s="112" t="s">
        <v>3696</v>
      </c>
    </row>
    <row r="1009" ht="49.5" customHeight="1">
      <c r="A1009" s="110" t="s">
        <v>63</v>
      </c>
      <c r="B1009" s="110" t="s">
        <v>4050</v>
      </c>
      <c r="C1009" s="110" t="s">
        <v>4052</v>
      </c>
      <c r="D1009" s="110" t="s">
        <v>4052</v>
      </c>
      <c r="E1009" s="111" t="s">
        <v>4053</v>
      </c>
      <c r="F1009" s="114" t="str">
        <f>"     "&amp;F1008</f>
        <v>     Tripack Short Fut Niño Drb 2.40.36 Liso</v>
      </c>
      <c r="G1009" s="110" t="s">
        <v>4054</v>
      </c>
      <c r="H1009" s="113">
        <v>10.0</v>
      </c>
      <c r="I1009" s="110" t="s">
        <v>70</v>
      </c>
      <c r="J1009" s="112">
        <f>J1008</f>
        <v>13490</v>
      </c>
      <c r="K1009" s="110" t="str">
        <f>K1008&amp;"     "</f>
        <v>$     </v>
      </c>
      <c r="L1009" s="110" t="str">
        <f t="shared" ref="L1009:U1009" si="683">L1008</f>
        <v/>
      </c>
      <c r="M1009" s="110" t="str">
        <f t="shared" si="683"/>
        <v/>
      </c>
      <c r="N1009" s="110" t="str">
        <f t="shared" si="683"/>
        <v/>
      </c>
      <c r="O1009" s="110" t="str">
        <f t="shared" si="683"/>
        <v/>
      </c>
      <c r="P1009" s="110" t="str">
        <f t="shared" si="683"/>
        <v/>
      </c>
      <c r="Q1009" s="110" t="str">
        <f t="shared" si="683"/>
        <v/>
      </c>
      <c r="R1009" s="110" t="str">
        <f t="shared" si="683"/>
        <v/>
      </c>
      <c r="S1009" s="110" t="str">
        <f t="shared" si="683"/>
        <v/>
      </c>
      <c r="T1009" s="110" t="str">
        <f t="shared" si="683"/>
        <v/>
      </c>
      <c r="U1009" s="110" t="str">
        <f t="shared" si="683"/>
        <v/>
      </c>
      <c r="V1009" s="110" t="str">
        <f t="shared" ref="V1009:W1009" si="684">V1008&amp;"     "</f>
        <v>Nuevo     </v>
      </c>
      <c r="W1009" s="112" t="str">
        <f t="shared" si="684"/>
        <v>Inactiva     </v>
      </c>
    </row>
    <row r="1010" ht="49.5" customHeight="1">
      <c r="A1010" s="110" t="s">
        <v>63</v>
      </c>
      <c r="B1010" s="110" t="s">
        <v>4050</v>
      </c>
      <c r="C1010" s="110" t="s">
        <v>4055</v>
      </c>
      <c r="D1010" s="110" t="s">
        <v>4055</v>
      </c>
      <c r="E1010" s="111" t="s">
        <v>4056</v>
      </c>
      <c r="F1010" s="114" t="str">
        <f>"     "&amp;F1008</f>
        <v>     Tripack Short Fut Niño Drb 2.40.36 Liso</v>
      </c>
      <c r="G1010" s="110" t="s">
        <v>4057</v>
      </c>
      <c r="H1010" s="113">
        <v>10.0</v>
      </c>
      <c r="I1010" s="110" t="s">
        <v>70</v>
      </c>
      <c r="J1010" s="112">
        <f>J1008</f>
        <v>13490</v>
      </c>
      <c r="K1010" s="110" t="str">
        <f>K1008&amp;"     "</f>
        <v>$     </v>
      </c>
      <c r="L1010" s="110" t="str">
        <f t="shared" ref="L1010:U1010" si="685">L1008</f>
        <v/>
      </c>
      <c r="M1010" s="110" t="str">
        <f t="shared" si="685"/>
        <v/>
      </c>
      <c r="N1010" s="110" t="str">
        <f t="shared" si="685"/>
        <v/>
      </c>
      <c r="O1010" s="110" t="str">
        <f t="shared" si="685"/>
        <v/>
      </c>
      <c r="P1010" s="110" t="str">
        <f t="shared" si="685"/>
        <v/>
      </c>
      <c r="Q1010" s="110" t="str">
        <f t="shared" si="685"/>
        <v/>
      </c>
      <c r="R1010" s="110" t="str">
        <f t="shared" si="685"/>
        <v/>
      </c>
      <c r="S1010" s="110" t="str">
        <f t="shared" si="685"/>
        <v/>
      </c>
      <c r="T1010" s="110" t="str">
        <f t="shared" si="685"/>
        <v/>
      </c>
      <c r="U1010" s="110" t="str">
        <f t="shared" si="685"/>
        <v/>
      </c>
      <c r="V1010" s="110" t="str">
        <f t="shared" ref="V1010:W1010" si="686">V1008&amp;"     "</f>
        <v>Nuevo     </v>
      </c>
      <c r="W1010" s="112" t="str">
        <f t="shared" si="686"/>
        <v>Inactiva     </v>
      </c>
    </row>
    <row r="1011" ht="49.5" customHeight="1">
      <c r="A1011" s="110" t="s">
        <v>63</v>
      </c>
      <c r="B1011" s="110" t="s">
        <v>4050</v>
      </c>
      <c r="C1011" s="110" t="s">
        <v>4058</v>
      </c>
      <c r="D1011" s="110" t="s">
        <v>4058</v>
      </c>
      <c r="E1011" s="111" t="s">
        <v>4059</v>
      </c>
      <c r="F1011" s="114" t="str">
        <f>"     "&amp;F1008</f>
        <v>     Tripack Short Fut Niño Drb 2.40.36 Liso</v>
      </c>
      <c r="G1011" s="110" t="s">
        <v>4060</v>
      </c>
      <c r="H1011" s="113">
        <v>10.0</v>
      </c>
      <c r="I1011" s="110" t="s">
        <v>70</v>
      </c>
      <c r="J1011" s="112">
        <f>J1008</f>
        <v>13490</v>
      </c>
      <c r="K1011" s="110" t="str">
        <f>K1008&amp;"     "</f>
        <v>$     </v>
      </c>
      <c r="L1011" s="110" t="str">
        <f t="shared" ref="L1011:U1011" si="687">L1008</f>
        <v/>
      </c>
      <c r="M1011" s="110" t="str">
        <f t="shared" si="687"/>
        <v/>
      </c>
      <c r="N1011" s="110" t="str">
        <f t="shared" si="687"/>
        <v/>
      </c>
      <c r="O1011" s="110" t="str">
        <f t="shared" si="687"/>
        <v/>
      </c>
      <c r="P1011" s="110" t="str">
        <f t="shared" si="687"/>
        <v/>
      </c>
      <c r="Q1011" s="110" t="str">
        <f t="shared" si="687"/>
        <v/>
      </c>
      <c r="R1011" s="110" t="str">
        <f t="shared" si="687"/>
        <v/>
      </c>
      <c r="S1011" s="110" t="str">
        <f t="shared" si="687"/>
        <v/>
      </c>
      <c r="T1011" s="110" t="str">
        <f t="shared" si="687"/>
        <v/>
      </c>
      <c r="U1011" s="110" t="str">
        <f t="shared" si="687"/>
        <v/>
      </c>
      <c r="V1011" s="110" t="str">
        <f t="shared" ref="V1011:W1011" si="688">V1008&amp;"     "</f>
        <v>Nuevo     </v>
      </c>
      <c r="W1011" s="112" t="str">
        <f t="shared" si="688"/>
        <v>Inactiva     </v>
      </c>
    </row>
    <row r="1012" ht="49.5" customHeight="1">
      <c r="A1012" s="110" t="s">
        <v>63</v>
      </c>
      <c r="B1012" s="110" t="s">
        <v>4050</v>
      </c>
      <c r="C1012" s="110" t="s">
        <v>4061</v>
      </c>
      <c r="D1012" s="110" t="s">
        <v>4061</v>
      </c>
      <c r="E1012" s="111" t="s">
        <v>4062</v>
      </c>
      <c r="F1012" s="114" t="str">
        <f>"     "&amp;F1008</f>
        <v>     Tripack Short Fut Niño Drb 2.40.36 Liso</v>
      </c>
      <c r="G1012" s="110" t="s">
        <v>4063</v>
      </c>
      <c r="H1012" s="113">
        <v>10.0</v>
      </c>
      <c r="I1012" s="110" t="s">
        <v>70</v>
      </c>
      <c r="J1012" s="112">
        <f>J1008</f>
        <v>13490</v>
      </c>
      <c r="K1012" s="110" t="str">
        <f>K1008&amp;"     "</f>
        <v>$     </v>
      </c>
      <c r="L1012" s="110" t="str">
        <f t="shared" ref="L1012:U1012" si="689">L1008</f>
        <v/>
      </c>
      <c r="M1012" s="110" t="str">
        <f t="shared" si="689"/>
        <v/>
      </c>
      <c r="N1012" s="110" t="str">
        <f t="shared" si="689"/>
        <v/>
      </c>
      <c r="O1012" s="110" t="str">
        <f t="shared" si="689"/>
        <v/>
      </c>
      <c r="P1012" s="110" t="str">
        <f t="shared" si="689"/>
        <v/>
      </c>
      <c r="Q1012" s="110" t="str">
        <f t="shared" si="689"/>
        <v/>
      </c>
      <c r="R1012" s="110" t="str">
        <f t="shared" si="689"/>
        <v/>
      </c>
      <c r="S1012" s="110" t="str">
        <f t="shared" si="689"/>
        <v/>
      </c>
      <c r="T1012" s="110" t="str">
        <f t="shared" si="689"/>
        <v/>
      </c>
      <c r="U1012" s="110" t="str">
        <f t="shared" si="689"/>
        <v/>
      </c>
      <c r="V1012" s="110" t="str">
        <f t="shared" ref="V1012:W1012" si="690">V1008&amp;"     "</f>
        <v>Nuevo     </v>
      </c>
      <c r="W1012" s="112" t="str">
        <f t="shared" si="690"/>
        <v>Inactiva     </v>
      </c>
    </row>
    <row r="1013" ht="49.5" customHeight="1">
      <c r="A1013" s="110" t="s">
        <v>4064</v>
      </c>
      <c r="B1013" s="110" t="s">
        <v>4065</v>
      </c>
      <c r="C1013" s="110" t="s">
        <v>4066</v>
      </c>
      <c r="D1013" s="110"/>
      <c r="E1013" s="111" t="s">
        <v>4067</v>
      </c>
      <c r="F1013" s="111" t="s">
        <v>4068</v>
      </c>
      <c r="G1013" s="110" t="s">
        <v>84</v>
      </c>
      <c r="H1013" s="113">
        <v>1.0</v>
      </c>
      <c r="I1013" s="110" t="s">
        <v>70</v>
      </c>
      <c r="J1013" s="112">
        <v>28390.0</v>
      </c>
      <c r="K1013" s="113" t="s">
        <v>71</v>
      </c>
      <c r="L1013" s="113"/>
      <c r="M1013" s="113"/>
      <c r="N1013" s="113"/>
      <c r="O1013" s="113"/>
      <c r="P1013" s="113"/>
      <c r="Q1013" s="113"/>
      <c r="R1013" s="113"/>
      <c r="S1013" s="113"/>
      <c r="T1013" s="113"/>
      <c r="U1013" s="113"/>
      <c r="V1013" s="113" t="s">
        <v>72</v>
      </c>
      <c r="W1013" s="112" t="s">
        <v>3696</v>
      </c>
    </row>
    <row r="1014" ht="49.5" customHeight="1">
      <c r="A1014" s="110" t="s">
        <v>4069</v>
      </c>
      <c r="B1014" s="110" t="s">
        <v>4070</v>
      </c>
      <c r="C1014" s="110" t="s">
        <v>4071</v>
      </c>
      <c r="D1014" s="110"/>
      <c r="E1014" s="111" t="s">
        <v>4072</v>
      </c>
      <c r="F1014" s="111" t="s">
        <v>4073</v>
      </c>
      <c r="G1014" s="110" t="s">
        <v>165</v>
      </c>
      <c r="H1014" s="113">
        <v>10.0</v>
      </c>
      <c r="I1014" s="110" t="s">
        <v>70</v>
      </c>
      <c r="J1014" s="112">
        <v>30890.0</v>
      </c>
      <c r="K1014" s="113" t="s">
        <v>71</v>
      </c>
      <c r="L1014" s="113"/>
      <c r="M1014" s="113"/>
      <c r="N1014" s="113"/>
      <c r="O1014" s="113"/>
      <c r="P1014" s="113"/>
      <c r="Q1014" s="113"/>
      <c r="R1014" s="113"/>
      <c r="S1014" s="113"/>
      <c r="T1014" s="113"/>
      <c r="U1014" s="113"/>
      <c r="V1014" s="113" t="s">
        <v>72</v>
      </c>
      <c r="W1014" s="112" t="s">
        <v>3696</v>
      </c>
    </row>
    <row r="1015" ht="49.5" customHeight="1">
      <c r="A1015" s="110" t="s">
        <v>4074</v>
      </c>
      <c r="B1015" s="110" t="s">
        <v>4075</v>
      </c>
      <c r="C1015" s="110" t="s">
        <v>4076</v>
      </c>
      <c r="D1015" s="110"/>
      <c r="E1015" s="111" t="s">
        <v>4077</v>
      </c>
      <c r="F1015" s="111" t="s">
        <v>4078</v>
      </c>
      <c r="G1015" s="110" t="s">
        <v>165</v>
      </c>
      <c r="H1015" s="113">
        <v>10.0</v>
      </c>
      <c r="I1015" s="110" t="s">
        <v>70</v>
      </c>
      <c r="J1015" s="112">
        <v>26890.0</v>
      </c>
      <c r="K1015" s="113" t="s">
        <v>71</v>
      </c>
      <c r="L1015" s="113"/>
      <c r="M1015" s="113"/>
      <c r="N1015" s="113"/>
      <c r="O1015" s="113"/>
      <c r="P1015" s="113"/>
      <c r="Q1015" s="113"/>
      <c r="R1015" s="113"/>
      <c r="S1015" s="113"/>
      <c r="T1015" s="113"/>
      <c r="U1015" s="113"/>
      <c r="V1015" s="113" t="s">
        <v>72</v>
      </c>
      <c r="W1015" s="112" t="s">
        <v>3696</v>
      </c>
    </row>
    <row r="1016" ht="49.5" customHeight="1">
      <c r="A1016" s="110" t="s">
        <v>4079</v>
      </c>
      <c r="B1016" s="110" t="s">
        <v>4080</v>
      </c>
      <c r="C1016" s="110" t="s">
        <v>4081</v>
      </c>
      <c r="D1016" s="110"/>
      <c r="E1016" s="111" t="s">
        <v>4082</v>
      </c>
      <c r="F1016" s="111" t="s">
        <v>4083</v>
      </c>
      <c r="G1016" s="110" t="s">
        <v>4084</v>
      </c>
      <c r="H1016" s="113">
        <v>1.0</v>
      </c>
      <c r="I1016" s="110" t="s">
        <v>70</v>
      </c>
      <c r="J1016" s="112">
        <v>12390.0</v>
      </c>
      <c r="K1016" s="113" t="s">
        <v>71</v>
      </c>
      <c r="L1016" s="113"/>
      <c r="M1016" s="113"/>
      <c r="N1016" s="113"/>
      <c r="O1016" s="113"/>
      <c r="P1016" s="113"/>
      <c r="Q1016" s="113"/>
      <c r="R1016" s="113"/>
      <c r="S1016" s="113"/>
      <c r="T1016" s="113"/>
      <c r="U1016" s="113"/>
      <c r="V1016" s="113" t="s">
        <v>72</v>
      </c>
      <c r="W1016" s="112" t="s">
        <v>3696</v>
      </c>
    </row>
    <row r="1017" ht="49.5" customHeight="1">
      <c r="A1017" s="110" t="s">
        <v>4085</v>
      </c>
      <c r="B1017" s="110" t="s">
        <v>4086</v>
      </c>
      <c r="C1017" s="110" t="s">
        <v>4087</v>
      </c>
      <c r="D1017" s="110"/>
      <c r="E1017" s="111" t="s">
        <v>4088</v>
      </c>
      <c r="F1017" s="111" t="s">
        <v>4089</v>
      </c>
      <c r="G1017" s="110" t="s">
        <v>79</v>
      </c>
      <c r="H1017" s="113">
        <v>1.0</v>
      </c>
      <c r="I1017" s="110" t="s">
        <v>70</v>
      </c>
      <c r="J1017" s="112">
        <v>12390.0</v>
      </c>
      <c r="K1017" s="113" t="s">
        <v>71</v>
      </c>
      <c r="L1017" s="113"/>
      <c r="M1017" s="113"/>
      <c r="N1017" s="113"/>
      <c r="O1017" s="113"/>
      <c r="P1017" s="113"/>
      <c r="Q1017" s="113"/>
      <c r="R1017" s="113"/>
      <c r="S1017" s="113"/>
      <c r="T1017" s="113"/>
      <c r="U1017" s="113"/>
      <c r="V1017" s="113" t="s">
        <v>72</v>
      </c>
      <c r="W1017" s="112" t="s">
        <v>3696</v>
      </c>
    </row>
    <row r="1018" ht="49.5" customHeight="1">
      <c r="A1018" s="110" t="s">
        <v>4090</v>
      </c>
      <c r="B1018" s="110" t="s">
        <v>4091</v>
      </c>
      <c r="C1018" s="110" t="s">
        <v>4092</v>
      </c>
      <c r="D1018" s="110"/>
      <c r="E1018" s="111" t="s">
        <v>4093</v>
      </c>
      <c r="F1018" s="111" t="s">
        <v>4094</v>
      </c>
      <c r="G1018" s="110" t="s">
        <v>271</v>
      </c>
      <c r="H1018" s="113">
        <v>1.0</v>
      </c>
      <c r="I1018" s="110" t="s">
        <v>70</v>
      </c>
      <c r="J1018" s="112">
        <v>22090.0</v>
      </c>
      <c r="K1018" s="113" t="s">
        <v>71</v>
      </c>
      <c r="L1018" s="113"/>
      <c r="M1018" s="113"/>
      <c r="N1018" s="113"/>
      <c r="O1018" s="113"/>
      <c r="P1018" s="113"/>
      <c r="Q1018" s="113"/>
      <c r="R1018" s="113"/>
      <c r="S1018" s="113"/>
      <c r="T1018" s="113"/>
      <c r="U1018" s="113"/>
      <c r="V1018" s="113" t="s">
        <v>72</v>
      </c>
      <c r="W1018" s="112" t="s">
        <v>3696</v>
      </c>
    </row>
    <row r="1019" ht="49.5" customHeight="1">
      <c r="A1019" s="110" t="s">
        <v>4095</v>
      </c>
      <c r="B1019" s="110" t="s">
        <v>4096</v>
      </c>
      <c r="C1019" s="110" t="s">
        <v>4097</v>
      </c>
      <c r="D1019" s="110"/>
      <c r="E1019" s="111" t="s">
        <v>4098</v>
      </c>
      <c r="F1019" s="111" t="s">
        <v>4099</v>
      </c>
      <c r="G1019" s="110" t="s">
        <v>165</v>
      </c>
      <c r="H1019" s="113">
        <v>1.0</v>
      </c>
      <c r="I1019" s="110" t="s">
        <v>70</v>
      </c>
      <c r="J1019" s="112">
        <v>31290.0</v>
      </c>
      <c r="K1019" s="113" t="s">
        <v>71</v>
      </c>
      <c r="L1019" s="113"/>
      <c r="M1019" s="113"/>
      <c r="N1019" s="113"/>
      <c r="O1019" s="113"/>
      <c r="P1019" s="113"/>
      <c r="Q1019" s="113"/>
      <c r="R1019" s="113"/>
      <c r="S1019" s="113"/>
      <c r="T1019" s="113"/>
      <c r="U1019" s="113"/>
      <c r="V1019" s="113" t="s">
        <v>72</v>
      </c>
      <c r="W1019" s="112" t="s">
        <v>3696</v>
      </c>
    </row>
    <row r="1020" ht="49.5" customHeight="1">
      <c r="A1020" s="110" t="s">
        <v>4100</v>
      </c>
      <c r="B1020" s="110" t="s">
        <v>4101</v>
      </c>
      <c r="C1020" s="110" t="s">
        <v>4102</v>
      </c>
      <c r="D1020" s="110"/>
      <c r="E1020" s="111" t="s">
        <v>4103</v>
      </c>
      <c r="F1020" s="111" t="s">
        <v>4104</v>
      </c>
      <c r="G1020" s="110" t="s">
        <v>165</v>
      </c>
      <c r="H1020" s="113">
        <v>1.0</v>
      </c>
      <c r="I1020" s="110" t="s">
        <v>70</v>
      </c>
      <c r="J1020" s="112">
        <v>27790.0</v>
      </c>
      <c r="K1020" s="113" t="s">
        <v>71</v>
      </c>
      <c r="L1020" s="113"/>
      <c r="M1020" s="113"/>
      <c r="N1020" s="113"/>
      <c r="O1020" s="113"/>
      <c r="P1020" s="113"/>
      <c r="Q1020" s="113"/>
      <c r="R1020" s="113"/>
      <c r="S1020" s="113"/>
      <c r="T1020" s="113"/>
      <c r="U1020" s="113"/>
      <c r="V1020" s="113" t="s">
        <v>72</v>
      </c>
      <c r="W1020" s="112" t="s">
        <v>3696</v>
      </c>
    </row>
    <row r="1021" ht="49.5" customHeight="1">
      <c r="A1021" s="110" t="s">
        <v>4105</v>
      </c>
      <c r="B1021" s="110" t="s">
        <v>4106</v>
      </c>
      <c r="C1021" s="110" t="s">
        <v>4107</v>
      </c>
      <c r="D1021" s="110"/>
      <c r="E1021" s="111" t="s">
        <v>4108</v>
      </c>
      <c r="F1021" s="111" t="s">
        <v>4109</v>
      </c>
      <c r="G1021" s="110" t="s">
        <v>165</v>
      </c>
      <c r="H1021" s="113">
        <v>1.0</v>
      </c>
      <c r="I1021" s="110" t="s">
        <v>70</v>
      </c>
      <c r="J1021" s="112">
        <v>40590.0</v>
      </c>
      <c r="K1021" s="113" t="s">
        <v>71</v>
      </c>
      <c r="L1021" s="113"/>
      <c r="M1021" s="113"/>
      <c r="N1021" s="113"/>
      <c r="O1021" s="113"/>
      <c r="P1021" s="113"/>
      <c r="Q1021" s="113"/>
      <c r="R1021" s="113"/>
      <c r="S1021" s="113"/>
      <c r="T1021" s="113"/>
      <c r="U1021" s="113"/>
      <c r="V1021" s="113" t="s">
        <v>72</v>
      </c>
      <c r="W1021" s="112" t="s">
        <v>3696</v>
      </c>
    </row>
    <row r="1022" ht="49.5" customHeight="1">
      <c r="A1022" s="110" t="s">
        <v>4110</v>
      </c>
      <c r="B1022" s="110" t="s">
        <v>4111</v>
      </c>
      <c r="C1022" s="110" t="s">
        <v>4112</v>
      </c>
      <c r="D1022" s="110"/>
      <c r="E1022" s="111" t="s">
        <v>4113</v>
      </c>
      <c r="F1022" s="111" t="s">
        <v>4114</v>
      </c>
      <c r="G1022" s="110" t="s">
        <v>165</v>
      </c>
      <c r="H1022" s="113">
        <v>1.0</v>
      </c>
      <c r="I1022" s="110" t="s">
        <v>70</v>
      </c>
      <c r="J1022" s="112">
        <v>31090.0</v>
      </c>
      <c r="K1022" s="113" t="s">
        <v>71</v>
      </c>
      <c r="L1022" s="113"/>
      <c r="M1022" s="113"/>
      <c r="N1022" s="113"/>
      <c r="O1022" s="113"/>
      <c r="P1022" s="113"/>
      <c r="Q1022" s="113"/>
      <c r="R1022" s="113"/>
      <c r="S1022" s="113"/>
      <c r="T1022" s="113"/>
      <c r="U1022" s="113"/>
      <c r="V1022" s="113" t="s">
        <v>72</v>
      </c>
      <c r="W1022" s="112" t="s">
        <v>3696</v>
      </c>
    </row>
    <row r="1023" ht="49.5" customHeight="1">
      <c r="A1023" s="110" t="s">
        <v>63</v>
      </c>
      <c r="B1023" s="110" t="s">
        <v>4115</v>
      </c>
      <c r="C1023" s="110"/>
      <c r="D1023" s="110"/>
      <c r="E1023" s="112" t="s">
        <v>63</v>
      </c>
      <c r="F1023" s="111" t="s">
        <v>4116</v>
      </c>
      <c r="G1023" s="110" t="s">
        <v>70</v>
      </c>
      <c r="H1023" s="110" t="s">
        <v>321</v>
      </c>
      <c r="I1023" s="110" t="s">
        <v>70</v>
      </c>
      <c r="J1023" s="112">
        <v>11890.0</v>
      </c>
      <c r="K1023" s="113" t="s">
        <v>71</v>
      </c>
      <c r="L1023" s="113"/>
      <c r="M1023" s="113"/>
      <c r="N1023" s="113"/>
      <c r="O1023" s="113"/>
      <c r="P1023" s="113"/>
      <c r="Q1023" s="113"/>
      <c r="R1023" s="113"/>
      <c r="S1023" s="113"/>
      <c r="T1023" s="113"/>
      <c r="U1023" s="113"/>
      <c r="V1023" s="113" t="s">
        <v>72</v>
      </c>
      <c r="W1023" s="112" t="s">
        <v>3696</v>
      </c>
    </row>
    <row r="1024" ht="49.5" customHeight="1">
      <c r="A1024" s="110" t="s">
        <v>63</v>
      </c>
      <c r="B1024" s="110" t="s">
        <v>4115</v>
      </c>
      <c r="C1024" s="110" t="s">
        <v>4117</v>
      </c>
      <c r="D1024" s="110" t="s">
        <v>4117</v>
      </c>
      <c r="E1024" s="111" t="s">
        <v>4118</v>
      </c>
      <c r="F1024" s="114" t="str">
        <f>"     "&amp;F1023</f>
        <v>     Conjunto Canillera C/tobill Y Media Adulto 80.20 Bremen</v>
      </c>
      <c r="G1024" s="110" t="s">
        <v>193</v>
      </c>
      <c r="H1024" s="113">
        <v>10.0</v>
      </c>
      <c r="I1024" s="110" t="s">
        <v>70</v>
      </c>
      <c r="J1024" s="112">
        <f>J1023</f>
        <v>11890</v>
      </c>
      <c r="K1024" s="110" t="str">
        <f>K1023&amp;"     "</f>
        <v>$     </v>
      </c>
      <c r="L1024" s="110" t="str">
        <f t="shared" ref="L1024:U1024" si="691">L1023</f>
        <v/>
      </c>
      <c r="M1024" s="110" t="str">
        <f t="shared" si="691"/>
        <v/>
      </c>
      <c r="N1024" s="110" t="str">
        <f t="shared" si="691"/>
        <v/>
      </c>
      <c r="O1024" s="110" t="str">
        <f t="shared" si="691"/>
        <v/>
      </c>
      <c r="P1024" s="110" t="str">
        <f t="shared" si="691"/>
        <v/>
      </c>
      <c r="Q1024" s="110" t="str">
        <f t="shared" si="691"/>
        <v/>
      </c>
      <c r="R1024" s="110" t="str">
        <f t="shared" si="691"/>
        <v/>
      </c>
      <c r="S1024" s="110" t="str">
        <f t="shared" si="691"/>
        <v/>
      </c>
      <c r="T1024" s="110" t="str">
        <f t="shared" si="691"/>
        <v/>
      </c>
      <c r="U1024" s="110" t="str">
        <f t="shared" si="691"/>
        <v/>
      </c>
      <c r="V1024" s="110" t="str">
        <f t="shared" ref="V1024:W1024" si="692">V1023&amp;"     "</f>
        <v>Nuevo     </v>
      </c>
      <c r="W1024" s="112" t="str">
        <f t="shared" si="692"/>
        <v>Inactiva     </v>
      </c>
    </row>
    <row r="1025" ht="49.5" customHeight="1">
      <c r="A1025" s="110" t="s">
        <v>63</v>
      </c>
      <c r="B1025" s="110" t="s">
        <v>4115</v>
      </c>
      <c r="C1025" s="110" t="s">
        <v>4119</v>
      </c>
      <c r="D1025" s="110" t="s">
        <v>4119</v>
      </c>
      <c r="E1025" s="111" t="s">
        <v>4120</v>
      </c>
      <c r="F1025" s="114" t="str">
        <f>"     "&amp;F1023</f>
        <v>     Conjunto Canillera C/tobill Y Media Adulto 80.20 Bremen</v>
      </c>
      <c r="G1025" s="110" t="s">
        <v>2227</v>
      </c>
      <c r="H1025" s="113">
        <v>10.0</v>
      </c>
      <c r="I1025" s="110" t="s">
        <v>70</v>
      </c>
      <c r="J1025" s="112">
        <f>J1023</f>
        <v>11890</v>
      </c>
      <c r="K1025" s="110" t="str">
        <f>K1023&amp;"     "</f>
        <v>$     </v>
      </c>
      <c r="L1025" s="110" t="str">
        <f t="shared" ref="L1025:U1025" si="693">L1023</f>
        <v/>
      </c>
      <c r="M1025" s="110" t="str">
        <f t="shared" si="693"/>
        <v/>
      </c>
      <c r="N1025" s="110" t="str">
        <f t="shared" si="693"/>
        <v/>
      </c>
      <c r="O1025" s="110" t="str">
        <f t="shared" si="693"/>
        <v/>
      </c>
      <c r="P1025" s="110" t="str">
        <f t="shared" si="693"/>
        <v/>
      </c>
      <c r="Q1025" s="110" t="str">
        <f t="shared" si="693"/>
        <v/>
      </c>
      <c r="R1025" s="110" t="str">
        <f t="shared" si="693"/>
        <v/>
      </c>
      <c r="S1025" s="110" t="str">
        <f t="shared" si="693"/>
        <v/>
      </c>
      <c r="T1025" s="110" t="str">
        <f t="shared" si="693"/>
        <v/>
      </c>
      <c r="U1025" s="110" t="str">
        <f t="shared" si="693"/>
        <v/>
      </c>
      <c r="V1025" s="110" t="str">
        <f t="shared" ref="V1025:W1025" si="694">V1023&amp;"     "</f>
        <v>Nuevo     </v>
      </c>
      <c r="W1025" s="112" t="str">
        <f t="shared" si="694"/>
        <v>Inactiva     </v>
      </c>
    </row>
    <row r="1026" ht="49.5" customHeight="1">
      <c r="A1026" s="110" t="s">
        <v>63</v>
      </c>
      <c r="B1026" s="110" t="s">
        <v>4115</v>
      </c>
      <c r="C1026" s="110" t="s">
        <v>4121</v>
      </c>
      <c r="D1026" s="110" t="s">
        <v>4121</v>
      </c>
      <c r="E1026" s="111" t="s">
        <v>4122</v>
      </c>
      <c r="F1026" s="114" t="str">
        <f>"     "&amp;F1023</f>
        <v>     Conjunto Canillera C/tobill Y Media Adulto 80.20 Bremen</v>
      </c>
      <c r="G1026" s="110" t="s">
        <v>2201</v>
      </c>
      <c r="H1026" s="113">
        <v>10.0</v>
      </c>
      <c r="I1026" s="110" t="s">
        <v>70</v>
      </c>
      <c r="J1026" s="112">
        <f>J1023</f>
        <v>11890</v>
      </c>
      <c r="K1026" s="110" t="str">
        <f>K1023&amp;"     "</f>
        <v>$     </v>
      </c>
      <c r="L1026" s="110" t="str">
        <f t="shared" ref="L1026:U1026" si="695">L1023</f>
        <v/>
      </c>
      <c r="M1026" s="110" t="str">
        <f t="shared" si="695"/>
        <v/>
      </c>
      <c r="N1026" s="110" t="str">
        <f t="shared" si="695"/>
        <v/>
      </c>
      <c r="O1026" s="110" t="str">
        <f t="shared" si="695"/>
        <v/>
      </c>
      <c r="P1026" s="110" t="str">
        <f t="shared" si="695"/>
        <v/>
      </c>
      <c r="Q1026" s="110" t="str">
        <f t="shared" si="695"/>
        <v/>
      </c>
      <c r="R1026" s="110" t="str">
        <f t="shared" si="695"/>
        <v/>
      </c>
      <c r="S1026" s="110" t="str">
        <f t="shared" si="695"/>
        <v/>
      </c>
      <c r="T1026" s="110" t="str">
        <f t="shared" si="695"/>
        <v/>
      </c>
      <c r="U1026" s="110" t="str">
        <f t="shared" si="695"/>
        <v/>
      </c>
      <c r="V1026" s="110" t="str">
        <f t="shared" ref="V1026:W1026" si="696">V1023&amp;"     "</f>
        <v>Nuevo     </v>
      </c>
      <c r="W1026" s="112" t="str">
        <f t="shared" si="696"/>
        <v>Inactiva     </v>
      </c>
    </row>
    <row r="1027" ht="49.5" customHeight="1">
      <c r="A1027" s="110" t="s">
        <v>4123</v>
      </c>
      <c r="B1027" s="110" t="s">
        <v>4124</v>
      </c>
      <c r="C1027" s="110" t="s">
        <v>4125</v>
      </c>
      <c r="D1027" s="110"/>
      <c r="E1027" s="111" t="s">
        <v>4126</v>
      </c>
      <c r="F1027" s="112" t="s">
        <v>4127</v>
      </c>
      <c r="G1027" s="110" t="s">
        <v>70</v>
      </c>
      <c r="H1027" s="113">
        <v>1.0</v>
      </c>
      <c r="I1027" s="110" t="s">
        <v>70</v>
      </c>
      <c r="J1027" s="112">
        <v>33790.0</v>
      </c>
      <c r="K1027" s="113" t="s">
        <v>71</v>
      </c>
      <c r="L1027" s="113"/>
      <c r="M1027" s="113"/>
      <c r="N1027" s="113"/>
      <c r="O1027" s="113"/>
      <c r="P1027" s="113"/>
      <c r="Q1027" s="113"/>
      <c r="R1027" s="113"/>
      <c r="S1027" s="113"/>
      <c r="T1027" s="113"/>
      <c r="U1027" s="113"/>
      <c r="V1027" s="110" t="s">
        <v>72</v>
      </c>
      <c r="W1027" s="112" t="s">
        <v>3696</v>
      </c>
    </row>
    <row r="1028" ht="49.5" customHeight="1">
      <c r="A1028" s="110" t="s">
        <v>4128</v>
      </c>
      <c r="B1028" s="110" t="s">
        <v>4129</v>
      </c>
      <c r="C1028" s="110" t="s">
        <v>4130</v>
      </c>
      <c r="D1028" s="110"/>
      <c r="E1028" s="111" t="s">
        <v>4131</v>
      </c>
      <c r="F1028" s="112" t="s">
        <v>4132</v>
      </c>
      <c r="G1028" s="110" t="s">
        <v>70</v>
      </c>
      <c r="H1028" s="113">
        <v>1.0</v>
      </c>
      <c r="I1028" s="110" t="s">
        <v>70</v>
      </c>
      <c r="J1028" s="112">
        <v>22690.0</v>
      </c>
      <c r="K1028" s="113" t="s">
        <v>71</v>
      </c>
      <c r="L1028" s="113"/>
      <c r="M1028" s="113"/>
      <c r="N1028" s="113"/>
      <c r="O1028" s="113"/>
      <c r="P1028" s="113"/>
      <c r="Q1028" s="113"/>
      <c r="R1028" s="113"/>
      <c r="S1028" s="113"/>
      <c r="T1028" s="113"/>
      <c r="U1028" s="113"/>
      <c r="V1028" s="110" t="s">
        <v>72</v>
      </c>
      <c r="W1028" s="112" t="s">
        <v>3696</v>
      </c>
    </row>
    <row r="1029" ht="49.5" customHeight="1">
      <c r="A1029" s="110" t="s">
        <v>4133</v>
      </c>
      <c r="B1029" s="110" t="s">
        <v>4134</v>
      </c>
      <c r="C1029" s="110" t="s">
        <v>4135</v>
      </c>
      <c r="D1029" s="110"/>
      <c r="E1029" s="111" t="s">
        <v>4136</v>
      </c>
      <c r="F1029" s="112" t="s">
        <v>4137</v>
      </c>
      <c r="G1029" s="110" t="s">
        <v>70</v>
      </c>
      <c r="H1029" s="113">
        <v>1.0</v>
      </c>
      <c r="I1029" s="110" t="s">
        <v>70</v>
      </c>
      <c r="J1029" s="112">
        <v>35290.0</v>
      </c>
      <c r="K1029" s="113" t="s">
        <v>71</v>
      </c>
      <c r="L1029" s="113"/>
      <c r="M1029" s="113"/>
      <c r="N1029" s="113"/>
      <c r="O1029" s="113"/>
      <c r="P1029" s="113"/>
      <c r="Q1029" s="113"/>
      <c r="R1029" s="113"/>
      <c r="S1029" s="113"/>
      <c r="T1029" s="113"/>
      <c r="U1029" s="113"/>
      <c r="V1029" s="110" t="s">
        <v>72</v>
      </c>
      <c r="W1029" s="112" t="s">
        <v>3696</v>
      </c>
    </row>
    <row r="1030" ht="49.5" customHeight="1">
      <c r="A1030" s="110" t="s">
        <v>4138</v>
      </c>
      <c r="B1030" s="110" t="s">
        <v>4139</v>
      </c>
      <c r="C1030" s="110" t="s">
        <v>4140</v>
      </c>
      <c r="D1030" s="110"/>
      <c r="E1030" s="111" t="s">
        <v>4141</v>
      </c>
      <c r="F1030" s="112" t="s">
        <v>4142</v>
      </c>
      <c r="G1030" s="110" t="s">
        <v>70</v>
      </c>
      <c r="H1030" s="113">
        <v>1.0</v>
      </c>
      <c r="I1030" s="110" t="s">
        <v>70</v>
      </c>
      <c r="J1030" s="112">
        <v>22290.0</v>
      </c>
      <c r="K1030" s="113" t="s">
        <v>71</v>
      </c>
      <c r="L1030" s="113"/>
      <c r="M1030" s="113"/>
      <c r="N1030" s="113"/>
      <c r="O1030" s="113"/>
      <c r="P1030" s="113"/>
      <c r="Q1030" s="113"/>
      <c r="R1030" s="113"/>
      <c r="S1030" s="113"/>
      <c r="T1030" s="113"/>
      <c r="U1030" s="113"/>
      <c r="V1030" s="110" t="s">
        <v>72</v>
      </c>
      <c r="W1030" s="112" t="s">
        <v>3696</v>
      </c>
    </row>
    <row r="1031" ht="49.5" customHeight="1">
      <c r="A1031" s="110" t="s">
        <v>4143</v>
      </c>
      <c r="B1031" s="110" t="s">
        <v>4144</v>
      </c>
      <c r="C1031" s="110" t="s">
        <v>4145</v>
      </c>
      <c r="D1031" s="110"/>
      <c r="E1031" s="111" t="s">
        <v>4146</v>
      </c>
      <c r="F1031" s="111" t="s">
        <v>4147</v>
      </c>
      <c r="G1031" s="110" t="s">
        <v>4147</v>
      </c>
      <c r="H1031" s="113">
        <v>0.0</v>
      </c>
      <c r="I1031" s="110" t="s">
        <v>70</v>
      </c>
      <c r="J1031" s="112">
        <v>19490.0</v>
      </c>
      <c r="K1031" s="113" t="s">
        <v>71</v>
      </c>
      <c r="L1031" s="113"/>
      <c r="M1031" s="113"/>
      <c r="N1031" s="113"/>
      <c r="O1031" s="113"/>
      <c r="P1031" s="113"/>
      <c r="Q1031" s="113"/>
      <c r="R1031" s="113"/>
      <c r="S1031" s="113"/>
      <c r="T1031" s="113"/>
      <c r="U1031" s="113"/>
      <c r="V1031" s="113" t="s">
        <v>72</v>
      </c>
      <c r="W1031" s="112" t="s">
        <v>3696</v>
      </c>
    </row>
    <row r="1032" ht="49.5" customHeight="1">
      <c r="A1032" s="110" t="s">
        <v>4148</v>
      </c>
      <c r="B1032" s="110" t="s">
        <v>4149</v>
      </c>
      <c r="C1032" s="110" t="s">
        <v>4150</v>
      </c>
      <c r="D1032" s="110"/>
      <c r="E1032" s="111" t="s">
        <v>4151</v>
      </c>
      <c r="F1032" s="111" t="s">
        <v>4152</v>
      </c>
      <c r="G1032" s="110" t="s">
        <v>90</v>
      </c>
      <c r="H1032" s="113">
        <v>0.0</v>
      </c>
      <c r="I1032" s="110" t="s">
        <v>70</v>
      </c>
      <c r="J1032" s="112">
        <v>17090.0</v>
      </c>
      <c r="K1032" s="113" t="s">
        <v>71</v>
      </c>
      <c r="L1032" s="113"/>
      <c r="M1032" s="113"/>
      <c r="N1032" s="113"/>
      <c r="O1032" s="113"/>
      <c r="P1032" s="113"/>
      <c r="Q1032" s="113"/>
      <c r="R1032" s="113"/>
      <c r="S1032" s="113"/>
      <c r="T1032" s="113"/>
      <c r="U1032" s="113"/>
      <c r="V1032" s="113" t="s">
        <v>72</v>
      </c>
      <c r="W1032" s="112" t="s">
        <v>3696</v>
      </c>
    </row>
    <row r="1033" ht="49.5" customHeight="1">
      <c r="A1033" s="110" t="s">
        <v>4153</v>
      </c>
      <c r="B1033" s="110" t="s">
        <v>4154</v>
      </c>
      <c r="C1033" s="110" t="s">
        <v>4155</v>
      </c>
      <c r="D1033" s="110"/>
      <c r="E1033" s="111" t="s">
        <v>4156</v>
      </c>
      <c r="F1033" s="111" t="s">
        <v>4157</v>
      </c>
      <c r="G1033" s="110" t="s">
        <v>90</v>
      </c>
      <c r="H1033" s="113">
        <v>0.0</v>
      </c>
      <c r="I1033" s="110" t="s">
        <v>70</v>
      </c>
      <c r="J1033" s="112">
        <v>17090.0</v>
      </c>
      <c r="K1033" s="113" t="s">
        <v>71</v>
      </c>
      <c r="L1033" s="113"/>
      <c r="M1033" s="113"/>
      <c r="N1033" s="113"/>
      <c r="O1033" s="113"/>
      <c r="P1033" s="113"/>
      <c r="Q1033" s="113"/>
      <c r="R1033" s="113"/>
      <c r="S1033" s="113"/>
      <c r="T1033" s="113"/>
      <c r="U1033" s="113"/>
      <c r="V1033" s="113" t="s">
        <v>72</v>
      </c>
      <c r="W1033" s="112" t="s">
        <v>3696</v>
      </c>
    </row>
    <row r="1034" ht="49.5" customHeight="1">
      <c r="A1034" s="110" t="s">
        <v>4158</v>
      </c>
      <c r="B1034" s="110" t="s">
        <v>4159</v>
      </c>
      <c r="C1034" s="110" t="s">
        <v>4160</v>
      </c>
      <c r="D1034" s="110"/>
      <c r="E1034" s="111" t="s">
        <v>4161</v>
      </c>
      <c r="F1034" s="111" t="s">
        <v>4162</v>
      </c>
      <c r="G1034" s="110" t="s">
        <v>1332</v>
      </c>
      <c r="H1034" s="113">
        <v>0.0</v>
      </c>
      <c r="I1034" s="110" t="s">
        <v>70</v>
      </c>
      <c r="J1034" s="112">
        <v>16290.0</v>
      </c>
      <c r="K1034" s="113" t="s">
        <v>71</v>
      </c>
      <c r="L1034" s="113"/>
      <c r="M1034" s="113"/>
      <c r="N1034" s="113"/>
      <c r="O1034" s="113"/>
      <c r="P1034" s="113"/>
      <c r="Q1034" s="113"/>
      <c r="R1034" s="113"/>
      <c r="S1034" s="113"/>
      <c r="T1034" s="113"/>
      <c r="U1034" s="113"/>
      <c r="V1034" s="113" t="s">
        <v>72</v>
      </c>
      <c r="W1034" s="112" t="s">
        <v>3696</v>
      </c>
    </row>
    <row r="1035" ht="49.5" customHeight="1">
      <c r="A1035" s="110" t="s">
        <v>4163</v>
      </c>
      <c r="B1035" s="110" t="s">
        <v>4164</v>
      </c>
      <c r="C1035" s="110" t="s">
        <v>4165</v>
      </c>
      <c r="D1035" s="110"/>
      <c r="E1035" s="111" t="s">
        <v>4166</v>
      </c>
      <c r="F1035" s="111" t="s">
        <v>4167</v>
      </c>
      <c r="G1035" s="110" t="s">
        <v>4167</v>
      </c>
      <c r="H1035" s="113">
        <v>0.0</v>
      </c>
      <c r="I1035" s="110" t="s">
        <v>70</v>
      </c>
      <c r="J1035" s="112">
        <v>29390.0</v>
      </c>
      <c r="K1035" s="113" t="s">
        <v>71</v>
      </c>
      <c r="L1035" s="113"/>
      <c r="M1035" s="113"/>
      <c r="N1035" s="113"/>
      <c r="O1035" s="113"/>
      <c r="P1035" s="113"/>
      <c r="Q1035" s="113"/>
      <c r="R1035" s="113"/>
      <c r="S1035" s="113"/>
      <c r="T1035" s="113"/>
      <c r="U1035" s="113"/>
      <c r="V1035" s="113" t="s">
        <v>72</v>
      </c>
      <c r="W1035" s="112" t="s">
        <v>3696</v>
      </c>
    </row>
    <row r="1036" ht="49.5" customHeight="1">
      <c r="A1036" s="110" t="s">
        <v>4168</v>
      </c>
      <c r="B1036" s="110" t="s">
        <v>4169</v>
      </c>
      <c r="C1036" s="110" t="s">
        <v>4170</v>
      </c>
      <c r="D1036" s="110"/>
      <c r="E1036" s="111" t="s">
        <v>4171</v>
      </c>
      <c r="F1036" s="111" t="s">
        <v>4172</v>
      </c>
      <c r="G1036" s="110" t="s">
        <v>514</v>
      </c>
      <c r="H1036" s="113">
        <v>0.0</v>
      </c>
      <c r="I1036" s="110" t="s">
        <v>70</v>
      </c>
      <c r="J1036" s="112">
        <v>6190.0</v>
      </c>
      <c r="K1036" s="113" t="s">
        <v>71</v>
      </c>
      <c r="L1036" s="113"/>
      <c r="M1036" s="113"/>
      <c r="N1036" s="113"/>
      <c r="O1036" s="113"/>
      <c r="P1036" s="113"/>
      <c r="Q1036" s="113"/>
      <c r="R1036" s="113"/>
      <c r="S1036" s="113"/>
      <c r="T1036" s="113"/>
      <c r="U1036" s="113"/>
      <c r="V1036" s="113" t="s">
        <v>72</v>
      </c>
      <c r="W1036" s="112" t="s">
        <v>3696</v>
      </c>
    </row>
    <row r="1037" ht="49.5" customHeight="1">
      <c r="A1037" s="110" t="s">
        <v>4173</v>
      </c>
      <c r="B1037" s="110" t="s">
        <v>4174</v>
      </c>
      <c r="C1037" s="110" t="s">
        <v>4175</v>
      </c>
      <c r="D1037" s="110"/>
      <c r="E1037" s="111" t="s">
        <v>4176</v>
      </c>
      <c r="F1037" s="111" t="s">
        <v>4177</v>
      </c>
      <c r="G1037" s="110" t="s">
        <v>4178</v>
      </c>
      <c r="H1037" s="113">
        <v>0.0</v>
      </c>
      <c r="I1037" s="110" t="s">
        <v>70</v>
      </c>
      <c r="J1037" s="112">
        <v>41690.0</v>
      </c>
      <c r="K1037" s="113" t="s">
        <v>71</v>
      </c>
      <c r="L1037" s="113"/>
      <c r="M1037" s="113"/>
      <c r="N1037" s="113"/>
      <c r="O1037" s="113"/>
      <c r="P1037" s="113"/>
      <c r="Q1037" s="113"/>
      <c r="R1037" s="113"/>
      <c r="S1037" s="113"/>
      <c r="T1037" s="113"/>
      <c r="U1037" s="113"/>
      <c r="V1037" s="113" t="s">
        <v>72</v>
      </c>
      <c r="W1037" s="112" t="s">
        <v>3696</v>
      </c>
    </row>
    <row r="1038" ht="49.5" customHeight="1">
      <c r="A1038" s="110" t="s">
        <v>4179</v>
      </c>
      <c r="B1038" s="110" t="s">
        <v>4180</v>
      </c>
      <c r="C1038" s="110" t="s">
        <v>4181</v>
      </c>
      <c r="D1038" s="110"/>
      <c r="E1038" s="111" t="s">
        <v>4182</v>
      </c>
      <c r="F1038" s="111" t="s">
        <v>4183</v>
      </c>
      <c r="G1038" s="110" t="s">
        <v>144</v>
      </c>
      <c r="H1038" s="113">
        <v>0.0</v>
      </c>
      <c r="I1038" s="110" t="s">
        <v>70</v>
      </c>
      <c r="J1038" s="112">
        <v>8190.0</v>
      </c>
      <c r="K1038" s="113" t="s">
        <v>71</v>
      </c>
      <c r="L1038" s="113"/>
      <c r="M1038" s="113"/>
      <c r="N1038" s="113"/>
      <c r="O1038" s="113"/>
      <c r="P1038" s="113"/>
      <c r="Q1038" s="113"/>
      <c r="R1038" s="113"/>
      <c r="S1038" s="113"/>
      <c r="T1038" s="113"/>
      <c r="U1038" s="113"/>
      <c r="V1038" s="113" t="s">
        <v>72</v>
      </c>
      <c r="W1038" s="112" t="s">
        <v>3696</v>
      </c>
    </row>
    <row r="1039" ht="49.5" customHeight="1">
      <c r="A1039" s="110" t="s">
        <v>4184</v>
      </c>
      <c r="B1039" s="110" t="s">
        <v>4185</v>
      </c>
      <c r="C1039" s="110" t="s">
        <v>4186</v>
      </c>
      <c r="D1039" s="110"/>
      <c r="E1039" s="111" t="s">
        <v>4187</v>
      </c>
      <c r="F1039" s="111" t="s">
        <v>4188</v>
      </c>
      <c r="G1039" s="110" t="s">
        <v>4189</v>
      </c>
      <c r="H1039" s="113">
        <v>0.0</v>
      </c>
      <c r="I1039" s="110" t="s">
        <v>70</v>
      </c>
      <c r="J1039" s="112">
        <v>41690.0</v>
      </c>
      <c r="K1039" s="113" t="s">
        <v>71</v>
      </c>
      <c r="L1039" s="113"/>
      <c r="M1039" s="113"/>
      <c r="N1039" s="113"/>
      <c r="O1039" s="113"/>
      <c r="P1039" s="113"/>
      <c r="Q1039" s="113"/>
      <c r="R1039" s="113"/>
      <c r="S1039" s="113"/>
      <c r="T1039" s="113"/>
      <c r="U1039" s="113"/>
      <c r="V1039" s="113" t="s">
        <v>72</v>
      </c>
      <c r="W1039" s="112" t="s">
        <v>3696</v>
      </c>
    </row>
    <row r="1040" ht="49.5" customHeight="1">
      <c r="A1040" s="110" t="s">
        <v>4190</v>
      </c>
      <c r="B1040" s="110" t="s">
        <v>4191</v>
      </c>
      <c r="C1040" s="110" t="s">
        <v>4192</v>
      </c>
      <c r="D1040" s="110"/>
      <c r="E1040" s="111" t="s">
        <v>4193</v>
      </c>
      <c r="F1040" s="111" t="s">
        <v>4194</v>
      </c>
      <c r="G1040" s="110" t="s">
        <v>4195</v>
      </c>
      <c r="H1040" s="113">
        <v>0.0</v>
      </c>
      <c r="I1040" s="110" t="s">
        <v>70</v>
      </c>
      <c r="J1040" s="112">
        <v>41690.0</v>
      </c>
      <c r="K1040" s="113" t="s">
        <v>71</v>
      </c>
      <c r="L1040" s="113"/>
      <c r="M1040" s="113"/>
      <c r="N1040" s="113"/>
      <c r="O1040" s="113"/>
      <c r="P1040" s="113"/>
      <c r="Q1040" s="113"/>
      <c r="R1040" s="113"/>
      <c r="S1040" s="113"/>
      <c r="T1040" s="113"/>
      <c r="U1040" s="113"/>
      <c r="V1040" s="113" t="s">
        <v>72</v>
      </c>
      <c r="W1040" s="112" t="s">
        <v>3696</v>
      </c>
    </row>
    <row r="1041" ht="49.5" customHeight="1">
      <c r="A1041" s="110" t="s">
        <v>4196</v>
      </c>
      <c r="B1041" s="110" t="s">
        <v>4197</v>
      </c>
      <c r="C1041" s="110" t="s">
        <v>4198</v>
      </c>
      <c r="D1041" s="110"/>
      <c r="E1041" s="111" t="s">
        <v>4199</v>
      </c>
      <c r="F1041" s="111" t="s">
        <v>4200</v>
      </c>
      <c r="G1041" s="110" t="s">
        <v>4201</v>
      </c>
      <c r="H1041" s="113">
        <v>0.0</v>
      </c>
      <c r="I1041" s="110" t="s">
        <v>70</v>
      </c>
      <c r="J1041" s="112">
        <v>28390.0</v>
      </c>
      <c r="K1041" s="113" t="s">
        <v>71</v>
      </c>
      <c r="L1041" s="113"/>
      <c r="M1041" s="113"/>
      <c r="N1041" s="113"/>
      <c r="O1041" s="113"/>
      <c r="P1041" s="113"/>
      <c r="Q1041" s="113"/>
      <c r="R1041" s="113"/>
      <c r="S1041" s="113"/>
      <c r="T1041" s="113"/>
      <c r="U1041" s="113"/>
      <c r="V1041" s="113" t="s">
        <v>72</v>
      </c>
      <c r="W1041" s="112" t="s">
        <v>3696</v>
      </c>
    </row>
    <row r="1042" ht="49.5" customHeight="1">
      <c r="A1042" s="110" t="s">
        <v>4202</v>
      </c>
      <c r="B1042" s="110" t="s">
        <v>4203</v>
      </c>
      <c r="C1042" s="110" t="s">
        <v>4204</v>
      </c>
      <c r="D1042" s="110"/>
      <c r="E1042" s="111" t="s">
        <v>4205</v>
      </c>
      <c r="F1042" s="111" t="s">
        <v>4206</v>
      </c>
      <c r="G1042" s="110" t="s">
        <v>84</v>
      </c>
      <c r="H1042" s="113">
        <v>0.0</v>
      </c>
      <c r="I1042" s="110" t="s">
        <v>70</v>
      </c>
      <c r="J1042" s="112">
        <v>9290.0</v>
      </c>
      <c r="K1042" s="113" t="s">
        <v>71</v>
      </c>
      <c r="L1042" s="113"/>
      <c r="M1042" s="113"/>
      <c r="N1042" s="113"/>
      <c r="O1042" s="113"/>
      <c r="P1042" s="113"/>
      <c r="Q1042" s="113"/>
      <c r="R1042" s="113"/>
      <c r="S1042" s="113"/>
      <c r="T1042" s="113"/>
      <c r="U1042" s="113"/>
      <c r="V1042" s="113" t="s">
        <v>72</v>
      </c>
      <c r="W1042" s="112" t="s">
        <v>3696</v>
      </c>
    </row>
    <row r="1043" ht="49.5" customHeight="1">
      <c r="A1043" s="110" t="s">
        <v>4207</v>
      </c>
      <c r="B1043" s="110" t="s">
        <v>4208</v>
      </c>
      <c r="C1043" s="110" t="s">
        <v>4209</v>
      </c>
      <c r="D1043" s="110"/>
      <c r="E1043" s="111" t="s">
        <v>4210</v>
      </c>
      <c r="F1043" s="111" t="s">
        <v>4211</v>
      </c>
      <c r="G1043" s="110" t="s">
        <v>271</v>
      </c>
      <c r="H1043" s="113">
        <v>0.0</v>
      </c>
      <c r="I1043" s="110" t="s">
        <v>70</v>
      </c>
      <c r="J1043" s="112">
        <v>9290.0</v>
      </c>
      <c r="K1043" s="113" t="s">
        <v>71</v>
      </c>
      <c r="L1043" s="113"/>
      <c r="M1043" s="113"/>
      <c r="N1043" s="113"/>
      <c r="O1043" s="113"/>
      <c r="P1043" s="113"/>
      <c r="Q1043" s="113"/>
      <c r="R1043" s="113"/>
      <c r="S1043" s="113"/>
      <c r="T1043" s="113"/>
      <c r="U1043" s="113"/>
      <c r="V1043" s="113" t="s">
        <v>72</v>
      </c>
      <c r="W1043" s="112" t="s">
        <v>3696</v>
      </c>
    </row>
    <row r="1044" ht="49.5" customHeight="1">
      <c r="A1044" s="110" t="s">
        <v>4212</v>
      </c>
      <c r="B1044" s="110" t="s">
        <v>4213</v>
      </c>
      <c r="C1044" s="110" t="s">
        <v>4214</v>
      </c>
      <c r="D1044" s="110"/>
      <c r="E1044" s="111" t="s">
        <v>4215</v>
      </c>
      <c r="F1044" s="111" t="s">
        <v>4216</v>
      </c>
      <c r="G1044" s="110" t="s">
        <v>144</v>
      </c>
      <c r="H1044" s="113">
        <v>0.0</v>
      </c>
      <c r="I1044" s="110" t="s">
        <v>70</v>
      </c>
      <c r="J1044" s="112">
        <v>8890.0</v>
      </c>
      <c r="K1044" s="113" t="s">
        <v>71</v>
      </c>
      <c r="L1044" s="113"/>
      <c r="M1044" s="113"/>
      <c r="N1044" s="113"/>
      <c r="O1044" s="113"/>
      <c r="P1044" s="113"/>
      <c r="Q1044" s="113"/>
      <c r="R1044" s="113"/>
      <c r="S1044" s="113"/>
      <c r="T1044" s="113"/>
      <c r="U1044" s="113"/>
      <c r="V1044" s="113" t="s">
        <v>72</v>
      </c>
      <c r="W1044" s="112" t="s">
        <v>3696</v>
      </c>
    </row>
    <row r="1045" ht="49.5" customHeight="1">
      <c r="A1045" s="110" t="s">
        <v>4217</v>
      </c>
      <c r="B1045" s="110" t="s">
        <v>4218</v>
      </c>
      <c r="C1045" s="110" t="s">
        <v>4219</v>
      </c>
      <c r="D1045" s="110"/>
      <c r="E1045" s="111" t="s">
        <v>4220</v>
      </c>
      <c r="F1045" s="111" t="s">
        <v>4221</v>
      </c>
      <c r="G1045" s="110" t="s">
        <v>90</v>
      </c>
      <c r="H1045" s="113">
        <v>30.0</v>
      </c>
      <c r="I1045" s="110" t="s">
        <v>70</v>
      </c>
      <c r="J1045" s="112">
        <v>10990.0</v>
      </c>
      <c r="K1045" s="113" t="s">
        <v>71</v>
      </c>
      <c r="L1045" s="113"/>
      <c r="M1045" s="113"/>
      <c r="N1045" s="113"/>
      <c r="O1045" s="113"/>
      <c r="P1045" s="113"/>
      <c r="Q1045" s="113"/>
      <c r="R1045" s="113"/>
      <c r="S1045" s="113"/>
      <c r="T1045" s="113"/>
      <c r="U1045" s="113"/>
      <c r="V1045" s="113" t="s">
        <v>72</v>
      </c>
      <c r="W1045" s="112" t="s">
        <v>3696</v>
      </c>
    </row>
    <row r="1046" ht="49.5" customHeight="1">
      <c r="A1046" s="110" t="s">
        <v>4222</v>
      </c>
      <c r="B1046" s="110" t="s">
        <v>4223</v>
      </c>
      <c r="C1046" s="110" t="s">
        <v>4224</v>
      </c>
      <c r="D1046" s="110"/>
      <c r="E1046" s="111" t="s">
        <v>4225</v>
      </c>
      <c r="F1046" s="111" t="s">
        <v>4226</v>
      </c>
      <c r="G1046" s="110" t="s">
        <v>138</v>
      </c>
      <c r="H1046" s="113">
        <v>30.0</v>
      </c>
      <c r="I1046" s="110" t="s">
        <v>70</v>
      </c>
      <c r="J1046" s="112">
        <v>77090.0</v>
      </c>
      <c r="K1046" s="113" t="s">
        <v>71</v>
      </c>
      <c r="L1046" s="113"/>
      <c r="M1046" s="113"/>
      <c r="N1046" s="113"/>
      <c r="O1046" s="113"/>
      <c r="P1046" s="113"/>
      <c r="Q1046" s="113"/>
      <c r="R1046" s="113"/>
      <c r="S1046" s="113"/>
      <c r="T1046" s="113"/>
      <c r="U1046" s="113"/>
      <c r="V1046" s="113" t="s">
        <v>72</v>
      </c>
      <c r="W1046" s="112" t="s">
        <v>3696</v>
      </c>
    </row>
    <row r="1047" ht="49.5" customHeight="1">
      <c r="A1047" s="110" t="s">
        <v>4227</v>
      </c>
      <c r="B1047" s="110" t="s">
        <v>4228</v>
      </c>
      <c r="C1047" s="110" t="s">
        <v>4229</v>
      </c>
      <c r="D1047" s="110"/>
      <c r="E1047" s="111" t="s">
        <v>4230</v>
      </c>
      <c r="F1047" s="111" t="s">
        <v>4231</v>
      </c>
      <c r="G1047" s="110" t="s">
        <v>84</v>
      </c>
      <c r="H1047" s="113">
        <v>0.0</v>
      </c>
      <c r="I1047" s="110" t="s">
        <v>70</v>
      </c>
      <c r="J1047" s="112">
        <v>10390.0</v>
      </c>
      <c r="K1047" s="113" t="s">
        <v>71</v>
      </c>
      <c r="L1047" s="113"/>
      <c r="M1047" s="113"/>
      <c r="N1047" s="113"/>
      <c r="O1047" s="113"/>
      <c r="P1047" s="113"/>
      <c r="Q1047" s="113"/>
      <c r="R1047" s="113"/>
      <c r="S1047" s="113"/>
      <c r="T1047" s="113"/>
      <c r="U1047" s="113"/>
      <c r="V1047" s="113" t="s">
        <v>72</v>
      </c>
      <c r="W1047" s="112" t="s">
        <v>3696</v>
      </c>
    </row>
    <row r="1048" ht="49.5" customHeight="1">
      <c r="A1048" s="110" t="s">
        <v>4232</v>
      </c>
      <c r="B1048" s="110" t="s">
        <v>4233</v>
      </c>
      <c r="C1048" s="110" t="s">
        <v>4234</v>
      </c>
      <c r="D1048" s="110"/>
      <c r="E1048" s="111" t="s">
        <v>4235</v>
      </c>
      <c r="F1048" s="111" t="s">
        <v>4236</v>
      </c>
      <c r="G1048" s="110" t="s">
        <v>144</v>
      </c>
      <c r="H1048" s="113">
        <v>0.0</v>
      </c>
      <c r="I1048" s="110" t="s">
        <v>70</v>
      </c>
      <c r="J1048" s="112">
        <v>131590.0</v>
      </c>
      <c r="K1048" s="113" t="s">
        <v>71</v>
      </c>
      <c r="L1048" s="113"/>
      <c r="M1048" s="113"/>
      <c r="N1048" s="113"/>
      <c r="O1048" s="113"/>
      <c r="P1048" s="113"/>
      <c r="Q1048" s="113"/>
      <c r="R1048" s="113"/>
      <c r="S1048" s="113"/>
      <c r="T1048" s="113"/>
      <c r="U1048" s="113"/>
      <c r="V1048" s="113" t="s">
        <v>72</v>
      </c>
      <c r="W1048" s="112" t="s">
        <v>3696</v>
      </c>
    </row>
    <row r="1049" ht="49.5" customHeight="1">
      <c r="A1049" s="110" t="s">
        <v>4237</v>
      </c>
      <c r="B1049" s="110" t="s">
        <v>4238</v>
      </c>
      <c r="C1049" s="110" t="s">
        <v>4239</v>
      </c>
      <c r="D1049" s="110"/>
      <c r="E1049" s="111" t="s">
        <v>4240</v>
      </c>
      <c r="F1049" s="111" t="s">
        <v>4241</v>
      </c>
      <c r="G1049" s="110" t="s">
        <v>84</v>
      </c>
      <c r="H1049" s="113">
        <v>0.0</v>
      </c>
      <c r="I1049" s="110" t="s">
        <v>70</v>
      </c>
      <c r="J1049" s="112">
        <v>7690.0</v>
      </c>
      <c r="K1049" s="113" t="s">
        <v>71</v>
      </c>
      <c r="L1049" s="113"/>
      <c r="M1049" s="113"/>
      <c r="N1049" s="113"/>
      <c r="O1049" s="113"/>
      <c r="P1049" s="113"/>
      <c r="Q1049" s="113"/>
      <c r="R1049" s="113"/>
      <c r="S1049" s="113"/>
      <c r="T1049" s="113"/>
      <c r="U1049" s="113"/>
      <c r="V1049" s="113" t="s">
        <v>72</v>
      </c>
      <c r="W1049" s="112" t="s">
        <v>3696</v>
      </c>
    </row>
    <row r="1050" ht="49.5" customHeight="1">
      <c r="A1050" s="110" t="s">
        <v>4242</v>
      </c>
      <c r="B1050" s="110" t="s">
        <v>4243</v>
      </c>
      <c r="C1050" s="110" t="s">
        <v>4244</v>
      </c>
      <c r="D1050" s="110"/>
      <c r="E1050" s="111" t="s">
        <v>4245</v>
      </c>
      <c r="F1050" s="111" t="s">
        <v>4246</v>
      </c>
      <c r="G1050" s="110" t="s">
        <v>4246</v>
      </c>
      <c r="H1050" s="113">
        <v>0.0</v>
      </c>
      <c r="I1050" s="110" t="s">
        <v>70</v>
      </c>
      <c r="J1050" s="112">
        <v>4190.0</v>
      </c>
      <c r="K1050" s="113" t="s">
        <v>71</v>
      </c>
      <c r="L1050" s="113"/>
      <c r="M1050" s="113"/>
      <c r="N1050" s="113"/>
      <c r="O1050" s="113"/>
      <c r="P1050" s="113"/>
      <c r="Q1050" s="113"/>
      <c r="R1050" s="113"/>
      <c r="S1050" s="113"/>
      <c r="T1050" s="113"/>
      <c r="U1050" s="113"/>
      <c r="V1050" s="113" t="s">
        <v>72</v>
      </c>
      <c r="W1050" s="112" t="s">
        <v>3696</v>
      </c>
    </row>
    <row r="1051" ht="49.5" customHeight="1">
      <c r="A1051" s="110" t="s">
        <v>4247</v>
      </c>
      <c r="B1051" s="110" t="s">
        <v>4248</v>
      </c>
      <c r="C1051" s="110" t="s">
        <v>4249</v>
      </c>
      <c r="D1051" s="110"/>
      <c r="E1051" s="111" t="s">
        <v>4250</v>
      </c>
      <c r="F1051" s="111" t="s">
        <v>4251</v>
      </c>
      <c r="G1051" s="110" t="s">
        <v>4251</v>
      </c>
      <c r="H1051" s="113">
        <v>0.0</v>
      </c>
      <c r="I1051" s="110" t="s">
        <v>70</v>
      </c>
      <c r="J1051" s="112">
        <v>9490.0</v>
      </c>
      <c r="K1051" s="113" t="s">
        <v>71</v>
      </c>
      <c r="L1051" s="113"/>
      <c r="M1051" s="113"/>
      <c r="N1051" s="113"/>
      <c r="O1051" s="113"/>
      <c r="P1051" s="113"/>
      <c r="Q1051" s="113"/>
      <c r="R1051" s="113"/>
      <c r="S1051" s="113"/>
      <c r="T1051" s="113"/>
      <c r="U1051" s="113"/>
      <c r="V1051" s="113" t="s">
        <v>72</v>
      </c>
      <c r="W1051" s="112" t="s">
        <v>3696</v>
      </c>
    </row>
    <row r="1052" ht="49.5" customHeight="1">
      <c r="A1052" s="110" t="s">
        <v>4252</v>
      </c>
      <c r="B1052" s="110" t="s">
        <v>4253</v>
      </c>
      <c r="C1052" s="110" t="s">
        <v>4254</v>
      </c>
      <c r="D1052" s="110"/>
      <c r="E1052" s="111" t="s">
        <v>4255</v>
      </c>
      <c r="F1052" s="111" t="s">
        <v>4256</v>
      </c>
      <c r="G1052" s="110" t="s">
        <v>4256</v>
      </c>
      <c r="H1052" s="113">
        <v>0.0</v>
      </c>
      <c r="I1052" s="110" t="s">
        <v>70</v>
      </c>
      <c r="J1052" s="112">
        <v>90590.0</v>
      </c>
      <c r="K1052" s="113" t="s">
        <v>71</v>
      </c>
      <c r="L1052" s="113"/>
      <c r="M1052" s="113"/>
      <c r="N1052" s="113"/>
      <c r="O1052" s="113"/>
      <c r="P1052" s="113"/>
      <c r="Q1052" s="113"/>
      <c r="R1052" s="113"/>
      <c r="S1052" s="113"/>
      <c r="T1052" s="113"/>
      <c r="U1052" s="113"/>
      <c r="V1052" s="113" t="s">
        <v>72</v>
      </c>
      <c r="W1052" s="112" t="s">
        <v>3696</v>
      </c>
    </row>
    <row r="1053" ht="49.5" customHeight="1">
      <c r="A1053" s="110" t="s">
        <v>4257</v>
      </c>
      <c r="B1053" s="110" t="s">
        <v>4258</v>
      </c>
      <c r="C1053" s="110" t="s">
        <v>4259</v>
      </c>
      <c r="D1053" s="110"/>
      <c r="E1053" s="111" t="s">
        <v>4260</v>
      </c>
      <c r="F1053" s="111" t="s">
        <v>4261</v>
      </c>
      <c r="G1053" s="110" t="s">
        <v>4261</v>
      </c>
      <c r="H1053" s="113">
        <v>0.0</v>
      </c>
      <c r="I1053" s="110" t="s">
        <v>70</v>
      </c>
      <c r="J1053" s="112">
        <v>3790.0</v>
      </c>
      <c r="K1053" s="113" t="s">
        <v>71</v>
      </c>
      <c r="L1053" s="113"/>
      <c r="M1053" s="113"/>
      <c r="N1053" s="113"/>
      <c r="O1053" s="113"/>
      <c r="P1053" s="113"/>
      <c r="Q1053" s="113"/>
      <c r="R1053" s="113"/>
      <c r="S1053" s="113"/>
      <c r="T1053" s="113"/>
      <c r="U1053" s="113"/>
      <c r="V1053" s="113" t="s">
        <v>72</v>
      </c>
      <c r="W1053" s="112" t="s">
        <v>3696</v>
      </c>
    </row>
    <row r="1054" ht="49.5" customHeight="1">
      <c r="A1054" s="110" t="s">
        <v>4262</v>
      </c>
      <c r="B1054" s="110" t="s">
        <v>4263</v>
      </c>
      <c r="C1054" s="110" t="s">
        <v>4264</v>
      </c>
      <c r="D1054" s="110"/>
      <c r="E1054" s="111" t="s">
        <v>4265</v>
      </c>
      <c r="F1054" s="111" t="s">
        <v>4266</v>
      </c>
      <c r="G1054" s="110" t="s">
        <v>4266</v>
      </c>
      <c r="H1054" s="113">
        <v>0.0</v>
      </c>
      <c r="I1054" s="110" t="s">
        <v>70</v>
      </c>
      <c r="J1054" s="112">
        <v>3490.0</v>
      </c>
      <c r="K1054" s="113" t="s">
        <v>71</v>
      </c>
      <c r="L1054" s="113"/>
      <c r="M1054" s="113"/>
      <c r="N1054" s="113"/>
      <c r="O1054" s="113"/>
      <c r="P1054" s="113"/>
      <c r="Q1054" s="113"/>
      <c r="R1054" s="113"/>
      <c r="S1054" s="113"/>
      <c r="T1054" s="113"/>
      <c r="U1054" s="113"/>
      <c r="V1054" s="113" t="s">
        <v>72</v>
      </c>
      <c r="W1054" s="112" t="s">
        <v>3696</v>
      </c>
    </row>
    <row r="1055" ht="49.5" customHeight="1">
      <c r="A1055" s="110" t="s">
        <v>4267</v>
      </c>
      <c r="B1055" s="110" t="s">
        <v>4268</v>
      </c>
      <c r="C1055" s="110" t="s">
        <v>4269</v>
      </c>
      <c r="D1055" s="110"/>
      <c r="E1055" s="111" t="s">
        <v>4270</v>
      </c>
      <c r="F1055" s="111" t="s">
        <v>4271</v>
      </c>
      <c r="G1055" s="110" t="s">
        <v>4271</v>
      </c>
      <c r="H1055" s="113">
        <v>0.0</v>
      </c>
      <c r="I1055" s="110" t="s">
        <v>70</v>
      </c>
      <c r="J1055" s="112">
        <v>9490.0</v>
      </c>
      <c r="K1055" s="113" t="s">
        <v>71</v>
      </c>
      <c r="L1055" s="113"/>
      <c r="M1055" s="113"/>
      <c r="N1055" s="113"/>
      <c r="O1055" s="113"/>
      <c r="P1055" s="113"/>
      <c r="Q1055" s="113"/>
      <c r="R1055" s="113"/>
      <c r="S1055" s="113"/>
      <c r="T1055" s="113"/>
      <c r="U1055" s="113"/>
      <c r="V1055" s="113" t="s">
        <v>72</v>
      </c>
      <c r="W1055" s="112" t="s">
        <v>3696</v>
      </c>
    </row>
    <row r="1056" ht="49.5" customHeight="1">
      <c r="A1056" s="110" t="s">
        <v>4272</v>
      </c>
      <c r="B1056" s="110" t="s">
        <v>4273</v>
      </c>
      <c r="C1056" s="110" t="s">
        <v>4274</v>
      </c>
      <c r="D1056" s="110"/>
      <c r="E1056" s="111" t="s">
        <v>4275</v>
      </c>
      <c r="F1056" s="111" t="s">
        <v>4276</v>
      </c>
      <c r="G1056" s="110" t="s">
        <v>4276</v>
      </c>
      <c r="H1056" s="113">
        <v>0.0</v>
      </c>
      <c r="I1056" s="110" t="s">
        <v>70</v>
      </c>
      <c r="J1056" s="112">
        <v>12490.0</v>
      </c>
      <c r="K1056" s="113" t="s">
        <v>71</v>
      </c>
      <c r="L1056" s="113"/>
      <c r="M1056" s="113"/>
      <c r="N1056" s="113"/>
      <c r="O1056" s="113"/>
      <c r="P1056" s="113"/>
      <c r="Q1056" s="113"/>
      <c r="R1056" s="113"/>
      <c r="S1056" s="113"/>
      <c r="T1056" s="113"/>
      <c r="U1056" s="113"/>
      <c r="V1056" s="113" t="s">
        <v>72</v>
      </c>
      <c r="W1056" s="112" t="s">
        <v>3696</v>
      </c>
    </row>
    <row r="1057" ht="49.5" customHeight="1">
      <c r="A1057" s="110" t="s">
        <v>4277</v>
      </c>
      <c r="B1057" s="110" t="s">
        <v>4278</v>
      </c>
      <c r="C1057" s="110" t="s">
        <v>4279</v>
      </c>
      <c r="D1057" s="110"/>
      <c r="E1057" s="111" t="s">
        <v>4280</v>
      </c>
      <c r="F1057" s="111" t="s">
        <v>4281</v>
      </c>
      <c r="G1057" s="110" t="s">
        <v>4281</v>
      </c>
      <c r="H1057" s="113">
        <v>0.0</v>
      </c>
      <c r="I1057" s="110" t="s">
        <v>70</v>
      </c>
      <c r="J1057" s="112">
        <v>13890.0</v>
      </c>
      <c r="K1057" s="113" t="s">
        <v>71</v>
      </c>
      <c r="L1057" s="113"/>
      <c r="M1057" s="113"/>
      <c r="N1057" s="113"/>
      <c r="O1057" s="113"/>
      <c r="P1057" s="113"/>
      <c r="Q1057" s="113"/>
      <c r="R1057" s="113"/>
      <c r="S1057" s="113"/>
      <c r="T1057" s="113"/>
      <c r="U1057" s="113"/>
      <c r="V1057" s="113" t="s">
        <v>72</v>
      </c>
      <c r="W1057" s="112" t="s">
        <v>3696</v>
      </c>
    </row>
    <row r="1058" ht="49.5" customHeight="1">
      <c r="A1058" s="110" t="s">
        <v>4282</v>
      </c>
      <c r="B1058" s="110" t="s">
        <v>4283</v>
      </c>
      <c r="C1058" s="110" t="s">
        <v>4284</v>
      </c>
      <c r="D1058" s="110"/>
      <c r="E1058" s="111" t="s">
        <v>4285</v>
      </c>
      <c r="F1058" s="111" t="s">
        <v>4286</v>
      </c>
      <c r="G1058" s="110" t="s">
        <v>308</v>
      </c>
      <c r="H1058" s="113">
        <v>10.0</v>
      </c>
      <c r="I1058" s="110" t="s">
        <v>70</v>
      </c>
      <c r="J1058" s="112">
        <v>230790.0</v>
      </c>
      <c r="K1058" s="113" t="s">
        <v>71</v>
      </c>
      <c r="L1058" s="113"/>
      <c r="M1058" s="113"/>
      <c r="N1058" s="113"/>
      <c r="O1058" s="113"/>
      <c r="P1058" s="113"/>
      <c r="Q1058" s="113"/>
      <c r="R1058" s="113"/>
      <c r="S1058" s="113"/>
      <c r="T1058" s="113"/>
      <c r="U1058" s="113"/>
      <c r="V1058" s="113" t="s">
        <v>72</v>
      </c>
      <c r="W1058" s="112" t="s">
        <v>3696</v>
      </c>
    </row>
    <row r="1059" ht="49.5" customHeight="1">
      <c r="A1059" s="110" t="s">
        <v>4287</v>
      </c>
      <c r="B1059" s="110" t="s">
        <v>4288</v>
      </c>
      <c r="C1059" s="110" t="s">
        <v>4289</v>
      </c>
      <c r="D1059" s="110"/>
      <c r="E1059" s="111" t="s">
        <v>4290</v>
      </c>
      <c r="F1059" s="111" t="s">
        <v>4291</v>
      </c>
      <c r="G1059" s="110" t="s">
        <v>165</v>
      </c>
      <c r="H1059" s="113">
        <v>10.0</v>
      </c>
      <c r="I1059" s="110" t="s">
        <v>70</v>
      </c>
      <c r="J1059" s="112">
        <v>206190.0</v>
      </c>
      <c r="K1059" s="113" t="s">
        <v>71</v>
      </c>
      <c r="L1059" s="113"/>
      <c r="M1059" s="113"/>
      <c r="N1059" s="113"/>
      <c r="O1059" s="113"/>
      <c r="P1059" s="113"/>
      <c r="Q1059" s="113"/>
      <c r="R1059" s="113"/>
      <c r="S1059" s="113"/>
      <c r="T1059" s="113"/>
      <c r="U1059" s="113"/>
      <c r="V1059" s="113" t="s">
        <v>72</v>
      </c>
      <c r="W1059" s="112" t="s">
        <v>3696</v>
      </c>
    </row>
    <row r="1060" ht="49.5" customHeight="1">
      <c r="A1060" s="110" t="s">
        <v>4292</v>
      </c>
      <c r="B1060" s="110" t="s">
        <v>4293</v>
      </c>
      <c r="C1060" s="110" t="s">
        <v>4294</v>
      </c>
      <c r="D1060" s="110"/>
      <c r="E1060" s="111" t="s">
        <v>4295</v>
      </c>
      <c r="F1060" s="111" t="s">
        <v>4296</v>
      </c>
      <c r="G1060" s="110" t="s">
        <v>1546</v>
      </c>
      <c r="H1060" s="113">
        <v>0.0</v>
      </c>
      <c r="I1060" s="110" t="s">
        <v>70</v>
      </c>
      <c r="J1060" s="112">
        <v>9490.0</v>
      </c>
      <c r="K1060" s="113" t="s">
        <v>71</v>
      </c>
      <c r="L1060" s="113"/>
      <c r="M1060" s="113"/>
      <c r="N1060" s="113"/>
      <c r="O1060" s="113"/>
      <c r="P1060" s="113"/>
      <c r="Q1060" s="113"/>
      <c r="R1060" s="113"/>
      <c r="S1060" s="113"/>
      <c r="T1060" s="113"/>
      <c r="U1060" s="113"/>
      <c r="V1060" s="113" t="s">
        <v>72</v>
      </c>
      <c r="W1060" s="112" t="s">
        <v>3696</v>
      </c>
    </row>
    <row r="1061" ht="49.5" customHeight="1">
      <c r="A1061" s="110" t="s">
        <v>4297</v>
      </c>
      <c r="B1061" s="110" t="s">
        <v>4298</v>
      </c>
      <c r="C1061" s="110" t="s">
        <v>4299</v>
      </c>
      <c r="D1061" s="110"/>
      <c r="E1061" s="111" t="s">
        <v>4300</v>
      </c>
      <c r="F1061" s="111" t="s">
        <v>4301</v>
      </c>
      <c r="G1061" s="110" t="s">
        <v>308</v>
      </c>
      <c r="H1061" s="113">
        <v>10.0</v>
      </c>
      <c r="I1061" s="110" t="s">
        <v>70</v>
      </c>
      <c r="J1061" s="112">
        <v>14490.0</v>
      </c>
      <c r="K1061" s="113" t="s">
        <v>71</v>
      </c>
      <c r="L1061" s="113"/>
      <c r="M1061" s="113"/>
      <c r="N1061" s="113"/>
      <c r="O1061" s="113"/>
      <c r="P1061" s="113"/>
      <c r="Q1061" s="113"/>
      <c r="R1061" s="113"/>
      <c r="S1061" s="113"/>
      <c r="T1061" s="113"/>
      <c r="U1061" s="113"/>
      <c r="V1061" s="113" t="s">
        <v>72</v>
      </c>
      <c r="W1061" s="112" t="s">
        <v>3696</v>
      </c>
    </row>
    <row r="1062" ht="49.5" customHeight="1">
      <c r="A1062" s="110" t="s">
        <v>4302</v>
      </c>
      <c r="B1062" s="110" t="s">
        <v>4303</v>
      </c>
      <c r="C1062" s="110" t="s">
        <v>4304</v>
      </c>
      <c r="D1062" s="110"/>
      <c r="E1062" s="111" t="s">
        <v>4305</v>
      </c>
      <c r="F1062" s="111" t="s">
        <v>4306</v>
      </c>
      <c r="G1062" s="110" t="s">
        <v>138</v>
      </c>
      <c r="H1062" s="113">
        <v>0.0</v>
      </c>
      <c r="I1062" s="110" t="s">
        <v>70</v>
      </c>
      <c r="J1062" s="112">
        <v>104990.0</v>
      </c>
      <c r="K1062" s="113" t="s">
        <v>71</v>
      </c>
      <c r="L1062" s="113"/>
      <c r="M1062" s="113"/>
      <c r="N1062" s="113"/>
      <c r="O1062" s="113"/>
      <c r="P1062" s="113"/>
      <c r="Q1062" s="113"/>
      <c r="R1062" s="113"/>
      <c r="S1062" s="113"/>
      <c r="T1062" s="113"/>
      <c r="U1062" s="113"/>
      <c r="V1062" s="113" t="s">
        <v>72</v>
      </c>
      <c r="W1062" s="112" t="s">
        <v>3696</v>
      </c>
    </row>
    <row r="1063" ht="49.5" customHeight="1">
      <c r="A1063" s="110" t="s">
        <v>4307</v>
      </c>
      <c r="B1063" s="110" t="s">
        <v>4308</v>
      </c>
      <c r="C1063" s="110" t="s">
        <v>4309</v>
      </c>
      <c r="D1063" s="110"/>
      <c r="E1063" s="111" t="s">
        <v>4310</v>
      </c>
      <c r="F1063" s="111" t="s">
        <v>4311</v>
      </c>
      <c r="G1063" s="110" t="s">
        <v>165</v>
      </c>
      <c r="H1063" s="113">
        <v>10.0</v>
      </c>
      <c r="I1063" s="110" t="s">
        <v>70</v>
      </c>
      <c r="J1063" s="112">
        <v>10190.0</v>
      </c>
      <c r="K1063" s="113" t="s">
        <v>71</v>
      </c>
      <c r="L1063" s="113"/>
      <c r="M1063" s="113"/>
      <c r="N1063" s="113"/>
      <c r="O1063" s="113"/>
      <c r="P1063" s="113"/>
      <c r="Q1063" s="113"/>
      <c r="R1063" s="113"/>
      <c r="S1063" s="113"/>
      <c r="T1063" s="113"/>
      <c r="U1063" s="113"/>
      <c r="V1063" s="113" t="s">
        <v>72</v>
      </c>
      <c r="W1063" s="112" t="s">
        <v>3696</v>
      </c>
    </row>
    <row r="1064" ht="49.5" customHeight="1">
      <c r="A1064" s="110" t="s">
        <v>4312</v>
      </c>
      <c r="B1064" s="110" t="s">
        <v>4313</v>
      </c>
      <c r="C1064" s="110" t="s">
        <v>4314</v>
      </c>
      <c r="D1064" s="110"/>
      <c r="E1064" s="111" t="s">
        <v>4315</v>
      </c>
      <c r="F1064" s="111" t="s">
        <v>4316</v>
      </c>
      <c r="G1064" s="110" t="s">
        <v>138</v>
      </c>
      <c r="H1064" s="113">
        <v>10.0</v>
      </c>
      <c r="I1064" s="110" t="s">
        <v>70</v>
      </c>
      <c r="J1064" s="112">
        <v>67090.0</v>
      </c>
      <c r="K1064" s="113" t="s">
        <v>71</v>
      </c>
      <c r="L1064" s="113"/>
      <c r="M1064" s="113"/>
      <c r="N1064" s="113"/>
      <c r="O1064" s="113"/>
      <c r="P1064" s="113"/>
      <c r="Q1064" s="113"/>
      <c r="R1064" s="113"/>
      <c r="S1064" s="113"/>
      <c r="T1064" s="113"/>
      <c r="U1064" s="113"/>
      <c r="V1064" s="113" t="s">
        <v>72</v>
      </c>
      <c r="W1064" s="112" t="s">
        <v>3696</v>
      </c>
    </row>
    <row r="1065" ht="49.5" customHeight="1">
      <c r="A1065" s="110" t="s">
        <v>4317</v>
      </c>
      <c r="B1065" s="110" t="s">
        <v>4318</v>
      </c>
      <c r="C1065" s="110" t="s">
        <v>4319</v>
      </c>
      <c r="D1065" s="110"/>
      <c r="E1065" s="111" t="s">
        <v>4320</v>
      </c>
      <c r="F1065" s="111" t="s">
        <v>4321</v>
      </c>
      <c r="G1065" s="110" t="s">
        <v>4321</v>
      </c>
      <c r="H1065" s="113">
        <v>0.0</v>
      </c>
      <c r="I1065" s="110" t="s">
        <v>70</v>
      </c>
      <c r="J1065" s="112">
        <v>29790.0</v>
      </c>
      <c r="K1065" s="113" t="s">
        <v>71</v>
      </c>
      <c r="L1065" s="113"/>
      <c r="M1065" s="113"/>
      <c r="N1065" s="113"/>
      <c r="O1065" s="113"/>
      <c r="P1065" s="113"/>
      <c r="Q1065" s="113"/>
      <c r="R1065" s="113"/>
      <c r="S1065" s="113"/>
      <c r="T1065" s="113"/>
      <c r="U1065" s="113"/>
      <c r="V1065" s="113" t="s">
        <v>72</v>
      </c>
      <c r="W1065" s="112" t="s">
        <v>3696</v>
      </c>
    </row>
    <row r="1066" ht="49.5" customHeight="1">
      <c r="A1066" s="110" t="s">
        <v>4322</v>
      </c>
      <c r="B1066" s="110" t="s">
        <v>4323</v>
      </c>
      <c r="C1066" s="110" t="s">
        <v>4324</v>
      </c>
      <c r="D1066" s="110"/>
      <c r="E1066" s="111" t="s">
        <v>4325</v>
      </c>
      <c r="F1066" s="111" t="s">
        <v>4326</v>
      </c>
      <c r="G1066" s="110" t="s">
        <v>90</v>
      </c>
      <c r="H1066" s="113">
        <v>0.0</v>
      </c>
      <c r="I1066" s="110" t="s">
        <v>70</v>
      </c>
      <c r="J1066" s="112">
        <v>7490.0</v>
      </c>
      <c r="K1066" s="113" t="s">
        <v>71</v>
      </c>
      <c r="L1066" s="113"/>
      <c r="M1066" s="113"/>
      <c r="N1066" s="113"/>
      <c r="O1066" s="113"/>
      <c r="P1066" s="113"/>
      <c r="Q1066" s="113"/>
      <c r="R1066" s="113"/>
      <c r="S1066" s="113"/>
      <c r="T1066" s="113"/>
      <c r="U1066" s="113"/>
      <c r="V1066" s="113" t="s">
        <v>72</v>
      </c>
      <c r="W1066" s="112" t="s">
        <v>3696</v>
      </c>
    </row>
    <row r="1067" ht="49.5" customHeight="1">
      <c r="A1067" s="110" t="s">
        <v>4327</v>
      </c>
      <c r="B1067" s="110" t="s">
        <v>4328</v>
      </c>
      <c r="C1067" s="110" t="s">
        <v>4329</v>
      </c>
      <c r="D1067" s="110"/>
      <c r="E1067" s="111" t="s">
        <v>4330</v>
      </c>
      <c r="F1067" s="111" t="s">
        <v>4331</v>
      </c>
      <c r="G1067" s="110" t="s">
        <v>182</v>
      </c>
      <c r="H1067" s="113">
        <v>0.0</v>
      </c>
      <c r="I1067" s="110" t="s">
        <v>70</v>
      </c>
      <c r="J1067" s="112">
        <v>25890.0</v>
      </c>
      <c r="K1067" s="113" t="s">
        <v>71</v>
      </c>
      <c r="L1067" s="113"/>
      <c r="M1067" s="113"/>
      <c r="N1067" s="113"/>
      <c r="O1067" s="113"/>
      <c r="P1067" s="113"/>
      <c r="Q1067" s="113"/>
      <c r="R1067" s="113"/>
      <c r="S1067" s="113"/>
      <c r="T1067" s="113"/>
      <c r="U1067" s="113"/>
      <c r="V1067" s="113" t="s">
        <v>72</v>
      </c>
      <c r="W1067" s="112" t="s">
        <v>3696</v>
      </c>
    </row>
    <row r="1068" ht="49.5" customHeight="1">
      <c r="A1068" s="110" t="s">
        <v>4332</v>
      </c>
      <c r="B1068" s="110" t="s">
        <v>4333</v>
      </c>
      <c r="C1068" s="110" t="s">
        <v>4334</v>
      </c>
      <c r="D1068" s="110"/>
      <c r="E1068" s="111" t="s">
        <v>4335</v>
      </c>
      <c r="F1068" s="111" t="s">
        <v>4336</v>
      </c>
      <c r="G1068" s="110" t="s">
        <v>308</v>
      </c>
      <c r="H1068" s="113">
        <v>30.0</v>
      </c>
      <c r="I1068" s="110" t="s">
        <v>70</v>
      </c>
      <c r="J1068" s="112">
        <v>12090.0</v>
      </c>
      <c r="K1068" s="113" t="s">
        <v>71</v>
      </c>
      <c r="L1068" s="113"/>
      <c r="M1068" s="113"/>
      <c r="N1068" s="113"/>
      <c r="O1068" s="113"/>
      <c r="P1068" s="113"/>
      <c r="Q1068" s="113"/>
      <c r="R1068" s="113"/>
      <c r="S1068" s="113"/>
      <c r="T1068" s="113"/>
      <c r="U1068" s="113"/>
      <c r="V1068" s="113" t="s">
        <v>72</v>
      </c>
      <c r="W1068" s="112" t="s">
        <v>3696</v>
      </c>
    </row>
    <row r="1069" ht="49.5" customHeight="1">
      <c r="A1069" s="110" t="s">
        <v>4337</v>
      </c>
      <c r="B1069" s="110" t="s">
        <v>4338</v>
      </c>
      <c r="C1069" s="110" t="s">
        <v>4339</v>
      </c>
      <c r="D1069" s="110"/>
      <c r="E1069" s="111" t="s">
        <v>4340</v>
      </c>
      <c r="F1069" s="111" t="s">
        <v>4341</v>
      </c>
      <c r="G1069" s="110" t="s">
        <v>308</v>
      </c>
      <c r="H1069" s="113">
        <v>30.0</v>
      </c>
      <c r="I1069" s="110" t="s">
        <v>70</v>
      </c>
      <c r="J1069" s="112">
        <v>44190.0</v>
      </c>
      <c r="K1069" s="113" t="s">
        <v>71</v>
      </c>
      <c r="L1069" s="113"/>
      <c r="M1069" s="113"/>
      <c r="N1069" s="113"/>
      <c r="O1069" s="113"/>
      <c r="P1069" s="113"/>
      <c r="Q1069" s="113"/>
      <c r="R1069" s="113"/>
      <c r="S1069" s="113"/>
      <c r="T1069" s="113"/>
      <c r="U1069" s="113"/>
      <c r="V1069" s="113" t="s">
        <v>72</v>
      </c>
      <c r="W1069" s="112" t="s">
        <v>3696</v>
      </c>
    </row>
    <row r="1070" ht="49.5" customHeight="1">
      <c r="A1070" s="110" t="s">
        <v>4342</v>
      </c>
      <c r="B1070" s="110" t="s">
        <v>4343</v>
      </c>
      <c r="C1070" s="110" t="s">
        <v>4344</v>
      </c>
      <c r="D1070" s="110"/>
      <c r="E1070" s="111" t="s">
        <v>4345</v>
      </c>
      <c r="F1070" s="111" t="s">
        <v>4346</v>
      </c>
      <c r="G1070" s="110" t="s">
        <v>90</v>
      </c>
      <c r="H1070" s="113">
        <v>30.0</v>
      </c>
      <c r="I1070" s="110" t="s">
        <v>70</v>
      </c>
      <c r="J1070" s="112">
        <v>18790.0</v>
      </c>
      <c r="K1070" s="113" t="s">
        <v>71</v>
      </c>
      <c r="L1070" s="113"/>
      <c r="M1070" s="113"/>
      <c r="N1070" s="113"/>
      <c r="O1070" s="113"/>
      <c r="P1070" s="113"/>
      <c r="Q1070" s="113"/>
      <c r="R1070" s="113"/>
      <c r="S1070" s="113"/>
      <c r="T1070" s="113"/>
      <c r="U1070" s="113"/>
      <c r="V1070" s="113" t="s">
        <v>72</v>
      </c>
      <c r="W1070" s="112" t="s">
        <v>3696</v>
      </c>
    </row>
    <row r="1071" ht="49.5" customHeight="1">
      <c r="A1071" s="110" t="s">
        <v>4347</v>
      </c>
      <c r="B1071" s="110" t="s">
        <v>4348</v>
      </c>
      <c r="C1071" s="110" t="s">
        <v>4349</v>
      </c>
      <c r="D1071" s="110"/>
      <c r="E1071" s="111" t="s">
        <v>4350</v>
      </c>
      <c r="F1071" s="111" t="s">
        <v>4351</v>
      </c>
      <c r="G1071" s="110" t="s">
        <v>84</v>
      </c>
      <c r="H1071" s="113">
        <v>0.0</v>
      </c>
      <c r="I1071" s="110" t="s">
        <v>70</v>
      </c>
      <c r="J1071" s="112">
        <v>14790.0</v>
      </c>
      <c r="K1071" s="113" t="s">
        <v>71</v>
      </c>
      <c r="L1071" s="113"/>
      <c r="M1071" s="113"/>
      <c r="N1071" s="113"/>
      <c r="O1071" s="113"/>
      <c r="P1071" s="113"/>
      <c r="Q1071" s="113"/>
      <c r="R1071" s="113"/>
      <c r="S1071" s="113"/>
      <c r="T1071" s="113"/>
      <c r="U1071" s="113"/>
      <c r="V1071" s="113" t="s">
        <v>72</v>
      </c>
      <c r="W1071" s="112" t="s">
        <v>3696</v>
      </c>
    </row>
    <row r="1072" ht="49.5" customHeight="1">
      <c r="A1072" s="110" t="s">
        <v>4352</v>
      </c>
      <c r="B1072" s="110" t="s">
        <v>4353</v>
      </c>
      <c r="C1072" s="110" t="s">
        <v>4354</v>
      </c>
      <c r="D1072" s="110"/>
      <c r="E1072" s="111" t="s">
        <v>4355</v>
      </c>
      <c r="F1072" s="111" t="s">
        <v>4356</v>
      </c>
      <c r="G1072" s="110" t="s">
        <v>138</v>
      </c>
      <c r="H1072" s="113">
        <v>0.0</v>
      </c>
      <c r="I1072" s="110" t="s">
        <v>70</v>
      </c>
      <c r="J1072" s="112">
        <v>12390.0</v>
      </c>
      <c r="K1072" s="113" t="s">
        <v>71</v>
      </c>
      <c r="L1072" s="113"/>
      <c r="M1072" s="113"/>
      <c r="N1072" s="113"/>
      <c r="O1072" s="113"/>
      <c r="P1072" s="113"/>
      <c r="Q1072" s="113"/>
      <c r="R1072" s="113"/>
      <c r="S1072" s="113"/>
      <c r="T1072" s="113"/>
      <c r="U1072" s="113"/>
      <c r="V1072" s="113" t="s">
        <v>72</v>
      </c>
      <c r="W1072" s="112" t="s">
        <v>3696</v>
      </c>
    </row>
    <row r="1073" ht="49.5" customHeight="1">
      <c r="A1073" s="110" t="s">
        <v>4357</v>
      </c>
      <c r="B1073" s="110" t="s">
        <v>4358</v>
      </c>
      <c r="C1073" s="110" t="s">
        <v>4359</v>
      </c>
      <c r="D1073" s="110"/>
      <c r="E1073" s="111" t="s">
        <v>4360</v>
      </c>
      <c r="F1073" s="111" t="s">
        <v>4361</v>
      </c>
      <c r="G1073" s="110" t="s">
        <v>4362</v>
      </c>
      <c r="H1073" s="113">
        <v>30.0</v>
      </c>
      <c r="I1073" s="110" t="s">
        <v>70</v>
      </c>
      <c r="J1073" s="112">
        <v>7790.0</v>
      </c>
      <c r="K1073" s="113" t="s">
        <v>71</v>
      </c>
      <c r="L1073" s="113"/>
      <c r="M1073" s="113"/>
      <c r="N1073" s="113"/>
      <c r="O1073" s="113"/>
      <c r="P1073" s="113"/>
      <c r="Q1073" s="113"/>
      <c r="R1073" s="113"/>
      <c r="S1073" s="113"/>
      <c r="T1073" s="113"/>
      <c r="U1073" s="113"/>
      <c r="V1073" s="113" t="s">
        <v>72</v>
      </c>
      <c r="W1073" s="112" t="s">
        <v>3696</v>
      </c>
    </row>
    <row r="1074" ht="49.5" customHeight="1">
      <c r="A1074" s="110" t="s">
        <v>4363</v>
      </c>
      <c r="B1074" s="110" t="s">
        <v>4364</v>
      </c>
      <c r="C1074" s="110" t="s">
        <v>4365</v>
      </c>
      <c r="D1074" s="110"/>
      <c r="E1074" s="111" t="s">
        <v>4366</v>
      </c>
      <c r="F1074" s="111" t="s">
        <v>4367</v>
      </c>
      <c r="G1074" s="110" t="s">
        <v>4367</v>
      </c>
      <c r="H1074" s="113">
        <v>0.0</v>
      </c>
      <c r="I1074" s="110" t="s">
        <v>70</v>
      </c>
      <c r="J1074" s="112">
        <v>5890.0</v>
      </c>
      <c r="K1074" s="113" t="s">
        <v>71</v>
      </c>
      <c r="L1074" s="113"/>
      <c r="M1074" s="113"/>
      <c r="N1074" s="113"/>
      <c r="O1074" s="113"/>
      <c r="P1074" s="113"/>
      <c r="Q1074" s="113"/>
      <c r="R1074" s="113"/>
      <c r="S1074" s="113"/>
      <c r="T1074" s="113"/>
      <c r="U1074" s="113"/>
      <c r="V1074" s="113" t="s">
        <v>72</v>
      </c>
      <c r="W1074" s="112" t="s">
        <v>3696</v>
      </c>
    </row>
    <row r="1075" ht="49.5" customHeight="1">
      <c r="A1075" s="110" t="s">
        <v>63</v>
      </c>
      <c r="B1075" s="110" t="s">
        <v>4368</v>
      </c>
      <c r="C1075" s="110"/>
      <c r="D1075" s="110"/>
      <c r="E1075" s="112" t="s">
        <v>4368</v>
      </c>
      <c r="F1075" s="111" t="s">
        <v>4369</v>
      </c>
      <c r="G1075" s="110" t="s">
        <v>70</v>
      </c>
      <c r="H1075" s="110" t="s">
        <v>3699</v>
      </c>
      <c r="I1075" s="110" t="s">
        <v>70</v>
      </c>
      <c r="J1075" s="112">
        <v>27490.0</v>
      </c>
      <c r="K1075" s="113" t="s">
        <v>71</v>
      </c>
      <c r="L1075" s="113"/>
      <c r="M1075" s="113"/>
      <c r="N1075" s="113"/>
      <c r="O1075" s="113"/>
      <c r="P1075" s="113"/>
      <c r="Q1075" s="113"/>
      <c r="R1075" s="113"/>
      <c r="S1075" s="113"/>
      <c r="T1075" s="113"/>
      <c r="U1075" s="113"/>
      <c r="V1075" s="113" t="s">
        <v>72</v>
      </c>
      <c r="W1075" s="112" t="s">
        <v>3696</v>
      </c>
    </row>
    <row r="1076" ht="49.5" customHeight="1">
      <c r="A1076" s="110" t="s">
        <v>63</v>
      </c>
      <c r="B1076" s="110" t="s">
        <v>4368</v>
      </c>
      <c r="C1076" s="110" t="s">
        <v>4370</v>
      </c>
      <c r="D1076" s="110" t="s">
        <v>4370</v>
      </c>
      <c r="E1076" s="111" t="s">
        <v>4371</v>
      </c>
      <c r="F1076" s="114" t="str">
        <f>"     "&amp;F1075</f>
        <v>     Pelota Mani Drb F.30.19 - 85 Cm</v>
      </c>
      <c r="G1076" s="110" t="s">
        <v>1546</v>
      </c>
      <c r="H1076" s="113">
        <v>0.0</v>
      </c>
      <c r="I1076" s="110" t="s">
        <v>70</v>
      </c>
      <c r="J1076" s="112">
        <f>J1075</f>
        <v>27490</v>
      </c>
      <c r="K1076" s="110" t="str">
        <f>K1075&amp;"     "</f>
        <v>$     </v>
      </c>
      <c r="L1076" s="110" t="str">
        <f t="shared" ref="L1076:U1076" si="697">L1075</f>
        <v/>
      </c>
      <c r="M1076" s="110" t="str">
        <f t="shared" si="697"/>
        <v/>
      </c>
      <c r="N1076" s="110" t="str">
        <f t="shared" si="697"/>
        <v/>
      </c>
      <c r="O1076" s="110" t="str">
        <f t="shared" si="697"/>
        <v/>
      </c>
      <c r="P1076" s="110" t="str">
        <f t="shared" si="697"/>
        <v/>
      </c>
      <c r="Q1076" s="110" t="str">
        <f t="shared" si="697"/>
        <v/>
      </c>
      <c r="R1076" s="110" t="str">
        <f t="shared" si="697"/>
        <v/>
      </c>
      <c r="S1076" s="110" t="str">
        <f t="shared" si="697"/>
        <v/>
      </c>
      <c r="T1076" s="110" t="str">
        <f t="shared" si="697"/>
        <v/>
      </c>
      <c r="U1076" s="110" t="str">
        <f t="shared" si="697"/>
        <v/>
      </c>
      <c r="V1076" s="110" t="str">
        <f t="shared" ref="V1076:W1076" si="698">V1075&amp;"     "</f>
        <v>Nuevo     </v>
      </c>
      <c r="W1076" s="112" t="str">
        <f t="shared" si="698"/>
        <v>Inactiva     </v>
      </c>
    </row>
    <row r="1077" ht="49.5" customHeight="1">
      <c r="A1077" s="110" t="s">
        <v>63</v>
      </c>
      <c r="B1077" s="110" t="s">
        <v>4368</v>
      </c>
      <c r="C1077" s="110" t="s">
        <v>4372</v>
      </c>
      <c r="D1077" s="110" t="s">
        <v>4372</v>
      </c>
      <c r="E1077" s="111" t="s">
        <v>4371</v>
      </c>
      <c r="F1077" s="114" t="str">
        <f>"     "&amp;F1075</f>
        <v>     Pelota Mani Drb F.30.19 - 85 Cm</v>
      </c>
      <c r="G1077" s="110" t="s">
        <v>4373</v>
      </c>
      <c r="H1077" s="113">
        <v>0.0</v>
      </c>
      <c r="I1077" s="110" t="s">
        <v>70</v>
      </c>
      <c r="J1077" s="112">
        <f>J1075</f>
        <v>27490</v>
      </c>
      <c r="K1077" s="110" t="str">
        <f>K1075&amp;"     "</f>
        <v>$     </v>
      </c>
      <c r="L1077" s="110" t="str">
        <f t="shared" ref="L1077:U1077" si="699">L1075</f>
        <v/>
      </c>
      <c r="M1077" s="110" t="str">
        <f t="shared" si="699"/>
        <v/>
      </c>
      <c r="N1077" s="110" t="str">
        <f t="shared" si="699"/>
        <v/>
      </c>
      <c r="O1077" s="110" t="str">
        <f t="shared" si="699"/>
        <v/>
      </c>
      <c r="P1077" s="110" t="str">
        <f t="shared" si="699"/>
        <v/>
      </c>
      <c r="Q1077" s="110" t="str">
        <f t="shared" si="699"/>
        <v/>
      </c>
      <c r="R1077" s="110" t="str">
        <f t="shared" si="699"/>
        <v/>
      </c>
      <c r="S1077" s="110" t="str">
        <f t="shared" si="699"/>
        <v/>
      </c>
      <c r="T1077" s="110" t="str">
        <f t="shared" si="699"/>
        <v/>
      </c>
      <c r="U1077" s="110" t="str">
        <f t="shared" si="699"/>
        <v/>
      </c>
      <c r="V1077" s="110" t="str">
        <f t="shared" ref="V1077:W1077" si="700">V1075&amp;"     "</f>
        <v>Nuevo     </v>
      </c>
      <c r="W1077" s="112" t="str">
        <f t="shared" si="700"/>
        <v>Inactiva     </v>
      </c>
    </row>
    <row r="1078" ht="49.5" customHeight="1">
      <c r="A1078" s="110" t="s">
        <v>63</v>
      </c>
      <c r="B1078" s="110" t="s">
        <v>4368</v>
      </c>
      <c r="C1078" s="110" t="s">
        <v>4374</v>
      </c>
      <c r="D1078" s="110" t="s">
        <v>4374</v>
      </c>
      <c r="E1078" s="111" t="s">
        <v>4371</v>
      </c>
      <c r="F1078" s="114" t="str">
        <f>"     "&amp;F1075</f>
        <v>     Pelota Mani Drb F.30.19 - 85 Cm</v>
      </c>
      <c r="G1078" s="110" t="s">
        <v>138</v>
      </c>
      <c r="H1078" s="113">
        <v>0.0</v>
      </c>
      <c r="I1078" s="110" t="s">
        <v>70</v>
      </c>
      <c r="J1078" s="112">
        <f>J1075</f>
        <v>27490</v>
      </c>
      <c r="K1078" s="110" t="str">
        <f>K1075&amp;"     "</f>
        <v>$     </v>
      </c>
      <c r="L1078" s="110" t="str">
        <f t="shared" ref="L1078:U1078" si="701">L1075</f>
        <v/>
      </c>
      <c r="M1078" s="110" t="str">
        <f t="shared" si="701"/>
        <v/>
      </c>
      <c r="N1078" s="110" t="str">
        <f t="shared" si="701"/>
        <v/>
      </c>
      <c r="O1078" s="110" t="str">
        <f t="shared" si="701"/>
        <v/>
      </c>
      <c r="P1078" s="110" t="str">
        <f t="shared" si="701"/>
        <v/>
      </c>
      <c r="Q1078" s="110" t="str">
        <f t="shared" si="701"/>
        <v/>
      </c>
      <c r="R1078" s="110" t="str">
        <f t="shared" si="701"/>
        <v/>
      </c>
      <c r="S1078" s="110" t="str">
        <f t="shared" si="701"/>
        <v/>
      </c>
      <c r="T1078" s="110" t="str">
        <f t="shared" si="701"/>
        <v/>
      </c>
      <c r="U1078" s="110" t="str">
        <f t="shared" si="701"/>
        <v/>
      </c>
      <c r="V1078" s="110" t="str">
        <f t="shared" ref="V1078:W1078" si="702">V1075&amp;"     "</f>
        <v>Nuevo     </v>
      </c>
      <c r="W1078" s="112" t="str">
        <f t="shared" si="702"/>
        <v>Inactiva     </v>
      </c>
    </row>
    <row r="1079" ht="49.5" customHeight="1">
      <c r="A1079" s="110" t="s">
        <v>63</v>
      </c>
      <c r="B1079" s="110" t="s">
        <v>4368</v>
      </c>
      <c r="C1079" s="110" t="s">
        <v>4375</v>
      </c>
      <c r="D1079" s="110" t="s">
        <v>4375</v>
      </c>
      <c r="E1079" s="111" t="s">
        <v>4371</v>
      </c>
      <c r="F1079" s="114" t="str">
        <f>"     "&amp;F1075</f>
        <v>     Pelota Mani Drb F.30.19 - 85 Cm</v>
      </c>
      <c r="G1079" s="110" t="s">
        <v>144</v>
      </c>
      <c r="H1079" s="113">
        <v>0.0</v>
      </c>
      <c r="I1079" s="110" t="s">
        <v>70</v>
      </c>
      <c r="J1079" s="112">
        <f>J1075</f>
        <v>27490</v>
      </c>
      <c r="K1079" s="110" t="str">
        <f>K1075&amp;"     "</f>
        <v>$     </v>
      </c>
      <c r="L1079" s="110" t="str">
        <f t="shared" ref="L1079:U1079" si="703">L1075</f>
        <v/>
      </c>
      <c r="M1079" s="110" t="str">
        <f t="shared" si="703"/>
        <v/>
      </c>
      <c r="N1079" s="110" t="str">
        <f t="shared" si="703"/>
        <v/>
      </c>
      <c r="O1079" s="110" t="str">
        <f t="shared" si="703"/>
        <v/>
      </c>
      <c r="P1079" s="110" t="str">
        <f t="shared" si="703"/>
        <v/>
      </c>
      <c r="Q1079" s="110" t="str">
        <f t="shared" si="703"/>
        <v/>
      </c>
      <c r="R1079" s="110" t="str">
        <f t="shared" si="703"/>
        <v/>
      </c>
      <c r="S1079" s="110" t="str">
        <f t="shared" si="703"/>
        <v/>
      </c>
      <c r="T1079" s="110" t="str">
        <f t="shared" si="703"/>
        <v/>
      </c>
      <c r="U1079" s="110" t="str">
        <f t="shared" si="703"/>
        <v/>
      </c>
      <c r="V1079" s="110" t="str">
        <f t="shared" ref="V1079:W1079" si="704">V1075&amp;"     "</f>
        <v>Nuevo     </v>
      </c>
      <c r="W1079" s="112" t="str">
        <f t="shared" si="704"/>
        <v>Inactiva     </v>
      </c>
    </row>
    <row r="1080" ht="49.5" customHeight="1">
      <c r="A1080" s="110" t="s">
        <v>4376</v>
      </c>
      <c r="B1080" s="110" t="s">
        <v>4377</v>
      </c>
      <c r="C1080" s="110" t="s">
        <v>4378</v>
      </c>
      <c r="D1080" s="110"/>
      <c r="E1080" s="111" t="s">
        <v>4379</v>
      </c>
      <c r="F1080" s="111" t="s">
        <v>4380</v>
      </c>
      <c r="G1080" s="110" t="s">
        <v>90</v>
      </c>
      <c r="H1080" s="113">
        <v>0.0</v>
      </c>
      <c r="I1080" s="110" t="s">
        <v>70</v>
      </c>
      <c r="J1080" s="112" t="s">
        <v>63</v>
      </c>
      <c r="K1080" s="113" t="s">
        <v>71</v>
      </c>
      <c r="L1080" s="113"/>
      <c r="M1080" s="113"/>
      <c r="N1080" s="113"/>
      <c r="O1080" s="113"/>
      <c r="P1080" s="113"/>
      <c r="Q1080" s="113"/>
      <c r="R1080" s="113"/>
      <c r="S1080" s="113"/>
      <c r="T1080" s="113"/>
      <c r="U1080" s="113"/>
      <c r="V1080" s="113" t="s">
        <v>72</v>
      </c>
      <c r="W1080" s="112" t="s">
        <v>3696</v>
      </c>
    </row>
    <row r="1081" ht="49.5" customHeight="1">
      <c r="A1081" s="110" t="s">
        <v>4381</v>
      </c>
      <c r="B1081" s="110" t="s">
        <v>4382</v>
      </c>
      <c r="C1081" s="110" t="s">
        <v>4383</v>
      </c>
      <c r="D1081" s="110"/>
      <c r="E1081" s="111" t="s">
        <v>4384</v>
      </c>
      <c r="F1081" s="111" t="s">
        <v>4385</v>
      </c>
      <c r="G1081" s="110" t="s">
        <v>90</v>
      </c>
      <c r="H1081" s="113">
        <v>0.0</v>
      </c>
      <c r="I1081" s="110" t="s">
        <v>70</v>
      </c>
      <c r="J1081" s="112">
        <v>128190.0</v>
      </c>
      <c r="K1081" s="113" t="s">
        <v>71</v>
      </c>
      <c r="L1081" s="113"/>
      <c r="M1081" s="113"/>
      <c r="N1081" s="113"/>
      <c r="O1081" s="113"/>
      <c r="P1081" s="113"/>
      <c r="Q1081" s="113"/>
      <c r="R1081" s="113"/>
      <c r="S1081" s="113"/>
      <c r="T1081" s="113"/>
      <c r="U1081" s="113"/>
      <c r="V1081" s="113" t="s">
        <v>72</v>
      </c>
      <c r="W1081" s="112" t="s">
        <v>3696</v>
      </c>
    </row>
    <row r="1082" ht="49.5" customHeight="1">
      <c r="A1082" s="110" t="s">
        <v>4386</v>
      </c>
      <c r="B1082" s="110" t="s">
        <v>4387</v>
      </c>
      <c r="C1082" s="110" t="s">
        <v>4388</v>
      </c>
      <c r="D1082" s="110"/>
      <c r="E1082" s="111" t="s">
        <v>4389</v>
      </c>
      <c r="F1082" s="111" t="s">
        <v>4390</v>
      </c>
      <c r="G1082" s="110" t="s">
        <v>90</v>
      </c>
      <c r="H1082" s="113">
        <v>0.0</v>
      </c>
      <c r="I1082" s="110" t="s">
        <v>70</v>
      </c>
      <c r="J1082" s="112">
        <v>157490.0</v>
      </c>
      <c r="K1082" s="113" t="s">
        <v>71</v>
      </c>
      <c r="L1082" s="113"/>
      <c r="M1082" s="113"/>
      <c r="N1082" s="113"/>
      <c r="O1082" s="113"/>
      <c r="P1082" s="113"/>
      <c r="Q1082" s="113"/>
      <c r="R1082" s="113"/>
      <c r="S1082" s="113"/>
      <c r="T1082" s="113"/>
      <c r="U1082" s="113"/>
      <c r="V1082" s="113" t="s">
        <v>72</v>
      </c>
      <c r="W1082" s="112" t="s">
        <v>3696</v>
      </c>
    </row>
    <row r="1083" ht="49.5" customHeight="1">
      <c r="A1083" s="110" t="s">
        <v>4391</v>
      </c>
      <c r="B1083" s="110" t="s">
        <v>4392</v>
      </c>
      <c r="C1083" s="110" t="s">
        <v>4393</v>
      </c>
      <c r="D1083" s="110"/>
      <c r="E1083" s="111" t="s">
        <v>4394</v>
      </c>
      <c r="F1083" s="111" t="s">
        <v>4395</v>
      </c>
      <c r="G1083" s="110" t="s">
        <v>144</v>
      </c>
      <c r="H1083" s="113">
        <v>30.0</v>
      </c>
      <c r="I1083" s="110" t="s">
        <v>70</v>
      </c>
      <c r="J1083" s="112">
        <v>15590.0</v>
      </c>
      <c r="K1083" s="113" t="s">
        <v>71</v>
      </c>
      <c r="L1083" s="113"/>
      <c r="M1083" s="113"/>
      <c r="N1083" s="113"/>
      <c r="O1083" s="113"/>
      <c r="P1083" s="113"/>
      <c r="Q1083" s="113"/>
      <c r="R1083" s="113"/>
      <c r="S1083" s="113"/>
      <c r="T1083" s="113"/>
      <c r="U1083" s="113"/>
      <c r="V1083" s="113" t="s">
        <v>72</v>
      </c>
      <c r="W1083" s="112" t="s">
        <v>3696</v>
      </c>
    </row>
    <row r="1084" ht="49.5" customHeight="1">
      <c r="A1084" s="110" t="s">
        <v>4396</v>
      </c>
      <c r="B1084" s="110" t="s">
        <v>4397</v>
      </c>
      <c r="C1084" s="110" t="s">
        <v>4398</v>
      </c>
      <c r="D1084" s="110"/>
      <c r="E1084" s="111" t="s">
        <v>4399</v>
      </c>
      <c r="F1084" s="111" t="s">
        <v>4400</v>
      </c>
      <c r="G1084" s="110" t="s">
        <v>90</v>
      </c>
      <c r="H1084" s="113">
        <v>0.0</v>
      </c>
      <c r="I1084" s="110" t="s">
        <v>70</v>
      </c>
      <c r="J1084" s="112">
        <v>128190.0</v>
      </c>
      <c r="K1084" s="113" t="s">
        <v>71</v>
      </c>
      <c r="L1084" s="113"/>
      <c r="M1084" s="113"/>
      <c r="N1084" s="113"/>
      <c r="O1084" s="113"/>
      <c r="P1084" s="113"/>
      <c r="Q1084" s="113"/>
      <c r="R1084" s="113"/>
      <c r="S1084" s="113"/>
      <c r="T1084" s="113"/>
      <c r="U1084" s="113"/>
      <c r="V1084" s="113" t="s">
        <v>72</v>
      </c>
      <c r="W1084" s="112" t="s">
        <v>3696</v>
      </c>
    </row>
    <row r="1085" ht="49.5" customHeight="1">
      <c r="A1085" s="110" t="s">
        <v>4401</v>
      </c>
      <c r="B1085" s="110" t="s">
        <v>4402</v>
      </c>
      <c r="C1085" s="110" t="s">
        <v>4403</v>
      </c>
      <c r="D1085" s="110"/>
      <c r="E1085" s="111" t="s">
        <v>4404</v>
      </c>
      <c r="F1085" s="111" t="s">
        <v>4405</v>
      </c>
      <c r="G1085" s="110" t="s">
        <v>90</v>
      </c>
      <c r="H1085" s="113">
        <v>0.0</v>
      </c>
      <c r="I1085" s="110" t="s">
        <v>70</v>
      </c>
      <c r="J1085" s="112">
        <v>137990.0</v>
      </c>
      <c r="K1085" s="113" t="s">
        <v>71</v>
      </c>
      <c r="L1085" s="113"/>
      <c r="M1085" s="113"/>
      <c r="N1085" s="113"/>
      <c r="O1085" s="113"/>
      <c r="P1085" s="113"/>
      <c r="Q1085" s="113"/>
      <c r="R1085" s="113"/>
      <c r="S1085" s="113"/>
      <c r="T1085" s="113"/>
      <c r="U1085" s="113"/>
      <c r="V1085" s="113" t="s">
        <v>72</v>
      </c>
      <c r="W1085" s="112" t="s">
        <v>3696</v>
      </c>
    </row>
    <row r="1086" ht="49.5" customHeight="1">
      <c r="A1086" s="110" t="s">
        <v>4406</v>
      </c>
      <c r="B1086" s="110" t="s">
        <v>4407</v>
      </c>
      <c r="C1086" s="110" t="s">
        <v>4408</v>
      </c>
      <c r="D1086" s="110"/>
      <c r="E1086" s="111" t="s">
        <v>4409</v>
      </c>
      <c r="F1086" s="111" t="s">
        <v>4410</v>
      </c>
      <c r="G1086" s="110" t="s">
        <v>90</v>
      </c>
      <c r="H1086" s="113">
        <v>0.0</v>
      </c>
      <c r="I1086" s="110" t="s">
        <v>70</v>
      </c>
      <c r="J1086" s="112">
        <v>96790.0</v>
      </c>
      <c r="K1086" s="113" t="s">
        <v>71</v>
      </c>
      <c r="L1086" s="113"/>
      <c r="M1086" s="113"/>
      <c r="N1086" s="113"/>
      <c r="O1086" s="113"/>
      <c r="P1086" s="113"/>
      <c r="Q1086" s="113"/>
      <c r="R1086" s="113"/>
      <c r="S1086" s="113"/>
      <c r="T1086" s="113"/>
      <c r="U1086" s="113"/>
      <c r="V1086" s="113" t="s">
        <v>72</v>
      </c>
      <c r="W1086" s="112" t="s">
        <v>3696</v>
      </c>
    </row>
    <row r="1087" ht="49.5" customHeight="1">
      <c r="A1087" s="110" t="s">
        <v>4411</v>
      </c>
      <c r="B1087" s="110" t="s">
        <v>4412</v>
      </c>
      <c r="C1087" s="110" t="s">
        <v>4413</v>
      </c>
      <c r="D1087" s="110"/>
      <c r="E1087" s="111" t="s">
        <v>4414</v>
      </c>
      <c r="F1087" s="111" t="s">
        <v>4415</v>
      </c>
      <c r="G1087" s="110" t="s">
        <v>1546</v>
      </c>
      <c r="H1087" s="113">
        <v>30.0</v>
      </c>
      <c r="I1087" s="110" t="s">
        <v>70</v>
      </c>
      <c r="J1087" s="112">
        <v>25690.0</v>
      </c>
      <c r="K1087" s="113" t="s">
        <v>71</v>
      </c>
      <c r="L1087" s="113"/>
      <c r="M1087" s="113"/>
      <c r="N1087" s="113"/>
      <c r="O1087" s="113"/>
      <c r="P1087" s="113"/>
      <c r="Q1087" s="113"/>
      <c r="R1087" s="113"/>
      <c r="S1087" s="113"/>
      <c r="T1087" s="113"/>
      <c r="U1087" s="113"/>
      <c r="V1087" s="113" t="s">
        <v>72</v>
      </c>
      <c r="W1087" s="112" t="s">
        <v>3696</v>
      </c>
    </row>
    <row r="1088" ht="49.5" customHeight="1">
      <c r="A1088" s="110" t="s">
        <v>4416</v>
      </c>
      <c r="B1088" s="110" t="s">
        <v>4417</v>
      </c>
      <c r="C1088" s="110" t="s">
        <v>4418</v>
      </c>
      <c r="D1088" s="110"/>
      <c r="E1088" s="111" t="s">
        <v>4419</v>
      </c>
      <c r="F1088" s="111" t="s">
        <v>4420</v>
      </c>
      <c r="G1088" s="110" t="s">
        <v>427</v>
      </c>
      <c r="H1088" s="113">
        <v>0.0</v>
      </c>
      <c r="I1088" s="110" t="s">
        <v>70</v>
      </c>
      <c r="J1088" s="112">
        <v>150190.0</v>
      </c>
      <c r="K1088" s="113" t="s">
        <v>71</v>
      </c>
      <c r="L1088" s="113"/>
      <c r="M1088" s="113"/>
      <c r="N1088" s="113"/>
      <c r="O1088" s="113"/>
      <c r="P1088" s="113"/>
      <c r="Q1088" s="113"/>
      <c r="R1088" s="113"/>
      <c r="S1088" s="113"/>
      <c r="T1088" s="113"/>
      <c r="U1088" s="113"/>
      <c r="V1088" s="113" t="s">
        <v>72</v>
      </c>
      <c r="W1088" s="112" t="s">
        <v>3696</v>
      </c>
    </row>
    <row r="1089" ht="49.5" customHeight="1">
      <c r="A1089" s="110" t="s">
        <v>4421</v>
      </c>
      <c r="B1089" s="110" t="s">
        <v>4422</v>
      </c>
      <c r="C1089" s="110" t="s">
        <v>4423</v>
      </c>
      <c r="D1089" s="110"/>
      <c r="E1089" s="111" t="s">
        <v>4424</v>
      </c>
      <c r="F1089" s="111" t="s">
        <v>4425</v>
      </c>
      <c r="G1089" s="110" t="s">
        <v>4425</v>
      </c>
      <c r="H1089" s="113">
        <v>10.0</v>
      </c>
      <c r="I1089" s="110" t="s">
        <v>70</v>
      </c>
      <c r="J1089" s="112">
        <v>11290.0</v>
      </c>
      <c r="K1089" s="113" t="s">
        <v>71</v>
      </c>
      <c r="L1089" s="113"/>
      <c r="M1089" s="113"/>
      <c r="N1089" s="113"/>
      <c r="O1089" s="113"/>
      <c r="P1089" s="113"/>
      <c r="Q1089" s="113"/>
      <c r="R1089" s="113"/>
      <c r="S1089" s="113"/>
      <c r="T1089" s="113"/>
      <c r="U1089" s="113"/>
      <c r="V1089" s="113" t="s">
        <v>72</v>
      </c>
      <c r="W1089" s="112" t="s">
        <v>3696</v>
      </c>
    </row>
    <row r="1090" ht="49.5" customHeight="1">
      <c r="A1090" s="110" t="s">
        <v>4426</v>
      </c>
      <c r="B1090" s="110" t="s">
        <v>4427</v>
      </c>
      <c r="C1090" s="110" t="s">
        <v>4428</v>
      </c>
      <c r="D1090" s="110"/>
      <c r="E1090" s="111" t="s">
        <v>4429</v>
      </c>
      <c r="F1090" s="111" t="s">
        <v>4430</v>
      </c>
      <c r="G1090" s="110" t="s">
        <v>138</v>
      </c>
      <c r="H1090" s="113">
        <v>10.0</v>
      </c>
      <c r="I1090" s="110" t="s">
        <v>70</v>
      </c>
      <c r="J1090" s="112">
        <v>9490.0</v>
      </c>
      <c r="K1090" s="113" t="s">
        <v>71</v>
      </c>
      <c r="L1090" s="113"/>
      <c r="M1090" s="113"/>
      <c r="N1090" s="113"/>
      <c r="O1090" s="113"/>
      <c r="P1090" s="113"/>
      <c r="Q1090" s="113"/>
      <c r="R1090" s="113"/>
      <c r="S1090" s="113"/>
      <c r="T1090" s="113"/>
      <c r="U1090" s="113"/>
      <c r="V1090" s="113" t="s">
        <v>72</v>
      </c>
      <c r="W1090" s="112" t="s">
        <v>3696</v>
      </c>
    </row>
    <row r="1091" ht="49.5" customHeight="1">
      <c r="A1091" s="110" t="s">
        <v>4431</v>
      </c>
      <c r="B1091" s="110" t="s">
        <v>4432</v>
      </c>
      <c r="C1091" s="110" t="s">
        <v>4433</v>
      </c>
      <c r="D1091" s="110"/>
      <c r="E1091" s="111" t="s">
        <v>4434</v>
      </c>
      <c r="F1091" s="111" t="s">
        <v>4435</v>
      </c>
      <c r="G1091" s="110" t="s">
        <v>138</v>
      </c>
      <c r="H1091" s="113">
        <v>10.0</v>
      </c>
      <c r="I1091" s="110" t="s">
        <v>70</v>
      </c>
      <c r="J1091" s="112">
        <v>193190.0</v>
      </c>
      <c r="K1091" s="113" t="s">
        <v>71</v>
      </c>
      <c r="L1091" s="113"/>
      <c r="M1091" s="113"/>
      <c r="N1091" s="113"/>
      <c r="O1091" s="113"/>
      <c r="P1091" s="113"/>
      <c r="Q1091" s="113"/>
      <c r="R1091" s="113"/>
      <c r="S1091" s="113"/>
      <c r="T1091" s="113"/>
      <c r="U1091" s="113"/>
      <c r="V1091" s="113" t="s">
        <v>72</v>
      </c>
      <c r="W1091" s="112" t="s">
        <v>3696</v>
      </c>
    </row>
    <row r="1092" ht="49.5" customHeight="1">
      <c r="A1092" s="110" t="s">
        <v>4436</v>
      </c>
      <c r="B1092" s="110" t="s">
        <v>4437</v>
      </c>
      <c r="C1092" s="110" t="s">
        <v>4438</v>
      </c>
      <c r="D1092" s="110"/>
      <c r="E1092" s="111" t="s">
        <v>4439</v>
      </c>
      <c r="F1092" s="111" t="s">
        <v>4440</v>
      </c>
      <c r="G1092" s="110" t="s">
        <v>165</v>
      </c>
      <c r="H1092" s="113">
        <v>0.0</v>
      </c>
      <c r="I1092" s="110" t="s">
        <v>70</v>
      </c>
      <c r="J1092" s="112">
        <v>26590.0</v>
      </c>
      <c r="K1092" s="113" t="s">
        <v>71</v>
      </c>
      <c r="L1092" s="113"/>
      <c r="M1092" s="113"/>
      <c r="N1092" s="113"/>
      <c r="O1092" s="113"/>
      <c r="P1092" s="113"/>
      <c r="Q1092" s="113"/>
      <c r="R1092" s="113"/>
      <c r="S1092" s="113"/>
      <c r="T1092" s="113"/>
      <c r="U1092" s="113"/>
      <c r="V1092" s="113" t="s">
        <v>72</v>
      </c>
      <c r="W1092" s="112" t="s">
        <v>3696</v>
      </c>
    </row>
    <row r="1093" ht="49.5" customHeight="1">
      <c r="A1093" s="110" t="s">
        <v>4441</v>
      </c>
      <c r="B1093" s="110" t="s">
        <v>4442</v>
      </c>
      <c r="C1093" s="110" t="s">
        <v>4443</v>
      </c>
      <c r="D1093" s="110"/>
      <c r="E1093" s="111" t="s">
        <v>4444</v>
      </c>
      <c r="F1093" s="111" t="s">
        <v>4445</v>
      </c>
      <c r="G1093" s="110" t="s">
        <v>165</v>
      </c>
      <c r="H1093" s="113">
        <v>30.0</v>
      </c>
      <c r="I1093" s="110" t="s">
        <v>70</v>
      </c>
      <c r="J1093" s="112">
        <v>31290.0</v>
      </c>
      <c r="K1093" s="113" t="s">
        <v>71</v>
      </c>
      <c r="L1093" s="113"/>
      <c r="M1093" s="113"/>
      <c r="N1093" s="113"/>
      <c r="O1093" s="113"/>
      <c r="P1093" s="113"/>
      <c r="Q1093" s="113"/>
      <c r="R1093" s="113"/>
      <c r="S1093" s="113"/>
      <c r="T1093" s="113"/>
      <c r="U1093" s="113"/>
      <c r="V1093" s="113" t="s">
        <v>72</v>
      </c>
      <c r="W1093" s="112" t="s">
        <v>3696</v>
      </c>
    </row>
    <row r="1094" ht="49.5" customHeight="1">
      <c r="A1094" s="110" t="s">
        <v>4446</v>
      </c>
      <c r="B1094" s="110" t="s">
        <v>4447</v>
      </c>
      <c r="C1094" s="110" t="s">
        <v>4448</v>
      </c>
      <c r="D1094" s="110"/>
      <c r="E1094" s="111" t="s">
        <v>4449</v>
      </c>
      <c r="F1094" s="111" t="s">
        <v>4450</v>
      </c>
      <c r="G1094" s="110" t="s">
        <v>165</v>
      </c>
      <c r="H1094" s="113">
        <v>0.0</v>
      </c>
      <c r="I1094" s="110" t="s">
        <v>70</v>
      </c>
      <c r="J1094" s="112">
        <v>38290.0</v>
      </c>
      <c r="K1094" s="113" t="s">
        <v>71</v>
      </c>
      <c r="L1094" s="113"/>
      <c r="M1094" s="113"/>
      <c r="N1094" s="113"/>
      <c r="O1094" s="113"/>
      <c r="P1094" s="113"/>
      <c r="Q1094" s="113"/>
      <c r="R1094" s="113"/>
      <c r="S1094" s="113"/>
      <c r="T1094" s="113"/>
      <c r="U1094" s="113"/>
      <c r="V1094" s="113" t="s">
        <v>72</v>
      </c>
      <c r="W1094" s="112" t="s">
        <v>3696</v>
      </c>
    </row>
    <row r="1095" ht="49.5" customHeight="1">
      <c r="A1095" s="110" t="s">
        <v>4451</v>
      </c>
      <c r="B1095" s="110" t="s">
        <v>4452</v>
      </c>
      <c r="C1095" s="110" t="s">
        <v>4453</v>
      </c>
      <c r="D1095" s="110"/>
      <c r="E1095" s="111" t="s">
        <v>4454</v>
      </c>
      <c r="F1095" s="111" t="s">
        <v>4455</v>
      </c>
      <c r="G1095" s="110" t="s">
        <v>165</v>
      </c>
      <c r="H1095" s="113">
        <v>0.0</v>
      </c>
      <c r="I1095" s="110" t="s">
        <v>70</v>
      </c>
      <c r="J1095" s="112">
        <v>36290.0</v>
      </c>
      <c r="K1095" s="113" t="s">
        <v>71</v>
      </c>
      <c r="L1095" s="113"/>
      <c r="M1095" s="113"/>
      <c r="N1095" s="113"/>
      <c r="O1095" s="113"/>
      <c r="P1095" s="113"/>
      <c r="Q1095" s="113"/>
      <c r="R1095" s="113"/>
      <c r="S1095" s="113"/>
      <c r="T1095" s="113"/>
      <c r="U1095" s="113"/>
      <c r="V1095" s="113" t="s">
        <v>72</v>
      </c>
      <c r="W1095" s="112" t="s">
        <v>3696</v>
      </c>
    </row>
    <row r="1096" ht="49.5" customHeight="1">
      <c r="A1096" s="110" t="s">
        <v>63</v>
      </c>
      <c r="B1096" s="110" t="s">
        <v>4456</v>
      </c>
      <c r="C1096" s="110"/>
      <c r="D1096" s="110"/>
      <c r="E1096" s="112" t="s">
        <v>4456</v>
      </c>
      <c r="F1096" s="111" t="s">
        <v>4457</v>
      </c>
      <c r="G1096" s="110" t="s">
        <v>70</v>
      </c>
      <c r="H1096" s="110" t="s">
        <v>3699</v>
      </c>
      <c r="I1096" s="110" t="s">
        <v>70</v>
      </c>
      <c r="J1096" s="112">
        <v>13390.0</v>
      </c>
      <c r="K1096" s="113" t="s">
        <v>71</v>
      </c>
      <c r="L1096" s="113"/>
      <c r="M1096" s="113"/>
      <c r="N1096" s="113"/>
      <c r="O1096" s="113"/>
      <c r="P1096" s="113"/>
      <c r="Q1096" s="113"/>
      <c r="R1096" s="113"/>
      <c r="S1096" s="113"/>
      <c r="T1096" s="113"/>
      <c r="U1096" s="113"/>
      <c r="V1096" s="113" t="s">
        <v>72</v>
      </c>
      <c r="W1096" s="112" t="s">
        <v>3696</v>
      </c>
    </row>
    <row r="1097" ht="49.5" customHeight="1">
      <c r="A1097" s="110" t="s">
        <v>63</v>
      </c>
      <c r="B1097" s="110" t="s">
        <v>4456</v>
      </c>
      <c r="C1097" s="110" t="s">
        <v>4458</v>
      </c>
      <c r="D1097" s="110" t="s">
        <v>4458</v>
      </c>
      <c r="E1097" s="111" t="s">
        <v>4459</v>
      </c>
      <c r="F1097" s="114" t="str">
        <f>"     "&amp;F1096</f>
        <v>     Balon Futbol Drb 2.00.03 Real #4</v>
      </c>
      <c r="G1097" s="110" t="s">
        <v>84</v>
      </c>
      <c r="H1097" s="113">
        <v>0.0</v>
      </c>
      <c r="I1097" s="110" t="s">
        <v>70</v>
      </c>
      <c r="J1097" s="112">
        <f>J1096</f>
        <v>13390</v>
      </c>
      <c r="K1097" s="110" t="str">
        <f>K1096&amp;"     "</f>
        <v>$     </v>
      </c>
      <c r="L1097" s="110" t="str">
        <f t="shared" ref="L1097:U1097" si="705">L1096</f>
        <v/>
      </c>
      <c r="M1097" s="110" t="str">
        <f t="shared" si="705"/>
        <v/>
      </c>
      <c r="N1097" s="110" t="str">
        <f t="shared" si="705"/>
        <v/>
      </c>
      <c r="O1097" s="110" t="str">
        <f t="shared" si="705"/>
        <v/>
      </c>
      <c r="P1097" s="110" t="str">
        <f t="shared" si="705"/>
        <v/>
      </c>
      <c r="Q1097" s="110" t="str">
        <f t="shared" si="705"/>
        <v/>
      </c>
      <c r="R1097" s="110" t="str">
        <f t="shared" si="705"/>
        <v/>
      </c>
      <c r="S1097" s="110" t="str">
        <f t="shared" si="705"/>
        <v/>
      </c>
      <c r="T1097" s="110" t="str">
        <f t="shared" si="705"/>
        <v/>
      </c>
      <c r="U1097" s="110" t="str">
        <f t="shared" si="705"/>
        <v/>
      </c>
      <c r="V1097" s="110" t="str">
        <f t="shared" ref="V1097:W1097" si="706">V1096&amp;"     "</f>
        <v>Nuevo     </v>
      </c>
      <c r="W1097" s="112" t="str">
        <f t="shared" si="706"/>
        <v>Inactiva     </v>
      </c>
    </row>
    <row r="1098" ht="49.5" customHeight="1">
      <c r="A1098" s="110" t="s">
        <v>63</v>
      </c>
      <c r="B1098" s="110" t="s">
        <v>4456</v>
      </c>
      <c r="C1098" s="110" t="s">
        <v>4460</v>
      </c>
      <c r="D1098" s="110" t="s">
        <v>4460</v>
      </c>
      <c r="E1098" s="111" t="s">
        <v>4459</v>
      </c>
      <c r="F1098" s="114" t="str">
        <f>"     "&amp;F1096</f>
        <v>     Balon Futbol Drb 2.00.03 Real #4</v>
      </c>
      <c r="G1098" s="110" t="s">
        <v>90</v>
      </c>
      <c r="H1098" s="113">
        <v>0.0</v>
      </c>
      <c r="I1098" s="110" t="s">
        <v>70</v>
      </c>
      <c r="J1098" s="112">
        <f>J1096</f>
        <v>13390</v>
      </c>
      <c r="K1098" s="110" t="str">
        <f>K1096&amp;"     "</f>
        <v>$     </v>
      </c>
      <c r="L1098" s="110" t="str">
        <f t="shared" ref="L1098:U1098" si="707">L1096</f>
        <v/>
      </c>
      <c r="M1098" s="110" t="str">
        <f t="shared" si="707"/>
        <v/>
      </c>
      <c r="N1098" s="110" t="str">
        <f t="shared" si="707"/>
        <v/>
      </c>
      <c r="O1098" s="110" t="str">
        <f t="shared" si="707"/>
        <v/>
      </c>
      <c r="P1098" s="110" t="str">
        <f t="shared" si="707"/>
        <v/>
      </c>
      <c r="Q1098" s="110" t="str">
        <f t="shared" si="707"/>
        <v/>
      </c>
      <c r="R1098" s="110" t="str">
        <f t="shared" si="707"/>
        <v/>
      </c>
      <c r="S1098" s="110" t="str">
        <f t="shared" si="707"/>
        <v/>
      </c>
      <c r="T1098" s="110" t="str">
        <f t="shared" si="707"/>
        <v/>
      </c>
      <c r="U1098" s="110" t="str">
        <f t="shared" si="707"/>
        <v/>
      </c>
      <c r="V1098" s="110" t="str">
        <f t="shared" ref="V1098:W1098" si="708">V1096&amp;"     "</f>
        <v>Nuevo     </v>
      </c>
      <c r="W1098" s="112" t="str">
        <f t="shared" si="708"/>
        <v>Inactiva     </v>
      </c>
    </row>
    <row r="1099" ht="49.5" customHeight="1">
      <c r="A1099" s="110" t="s">
        <v>63</v>
      </c>
      <c r="B1099" s="110" t="s">
        <v>4456</v>
      </c>
      <c r="C1099" s="110" t="s">
        <v>4461</v>
      </c>
      <c r="D1099" s="110" t="s">
        <v>4461</v>
      </c>
      <c r="E1099" s="111" t="s">
        <v>4459</v>
      </c>
      <c r="F1099" s="114" t="str">
        <f>"     "&amp;F1096</f>
        <v>     Balon Futbol Drb 2.00.03 Real #4</v>
      </c>
      <c r="G1099" s="110" t="s">
        <v>144</v>
      </c>
      <c r="H1099" s="113">
        <v>0.0</v>
      </c>
      <c r="I1099" s="110" t="s">
        <v>70</v>
      </c>
      <c r="J1099" s="112">
        <f>J1096</f>
        <v>13390</v>
      </c>
      <c r="K1099" s="110" t="str">
        <f>K1096&amp;"     "</f>
        <v>$     </v>
      </c>
      <c r="L1099" s="110" t="str">
        <f t="shared" ref="L1099:U1099" si="709">L1096</f>
        <v/>
      </c>
      <c r="M1099" s="110" t="str">
        <f t="shared" si="709"/>
        <v/>
      </c>
      <c r="N1099" s="110" t="str">
        <f t="shared" si="709"/>
        <v/>
      </c>
      <c r="O1099" s="110" t="str">
        <f t="shared" si="709"/>
        <v/>
      </c>
      <c r="P1099" s="110" t="str">
        <f t="shared" si="709"/>
        <v/>
      </c>
      <c r="Q1099" s="110" t="str">
        <f t="shared" si="709"/>
        <v/>
      </c>
      <c r="R1099" s="110" t="str">
        <f t="shared" si="709"/>
        <v/>
      </c>
      <c r="S1099" s="110" t="str">
        <f t="shared" si="709"/>
        <v/>
      </c>
      <c r="T1099" s="110" t="str">
        <f t="shared" si="709"/>
        <v/>
      </c>
      <c r="U1099" s="110" t="str">
        <f t="shared" si="709"/>
        <v/>
      </c>
      <c r="V1099" s="110" t="str">
        <f t="shared" ref="V1099:W1099" si="710">V1096&amp;"     "</f>
        <v>Nuevo     </v>
      </c>
      <c r="W1099" s="112" t="str">
        <f t="shared" si="710"/>
        <v>Inactiva     </v>
      </c>
    </row>
    <row r="1100" ht="49.5" customHeight="1">
      <c r="A1100" s="110" t="s">
        <v>4462</v>
      </c>
      <c r="B1100" s="110" t="s">
        <v>4463</v>
      </c>
      <c r="C1100" s="110" t="s">
        <v>4464</v>
      </c>
      <c r="D1100" s="110"/>
      <c r="E1100" s="111" t="s">
        <v>4465</v>
      </c>
      <c r="F1100" s="111" t="s">
        <v>4466</v>
      </c>
      <c r="G1100" s="110" t="s">
        <v>138</v>
      </c>
      <c r="H1100" s="113">
        <v>30.0</v>
      </c>
      <c r="I1100" s="110" t="s">
        <v>70</v>
      </c>
      <c r="J1100" s="112">
        <v>16690.0</v>
      </c>
      <c r="K1100" s="113" t="s">
        <v>71</v>
      </c>
      <c r="L1100" s="113"/>
      <c r="M1100" s="113"/>
      <c r="N1100" s="113"/>
      <c r="O1100" s="113"/>
      <c r="P1100" s="113"/>
      <c r="Q1100" s="113"/>
      <c r="R1100" s="113"/>
      <c r="S1100" s="113"/>
      <c r="T1100" s="113"/>
      <c r="U1100" s="113"/>
      <c r="V1100" s="113" t="s">
        <v>72</v>
      </c>
      <c r="W1100" s="112" t="s">
        <v>3696</v>
      </c>
    </row>
    <row r="1101" ht="49.5" customHeight="1">
      <c r="A1101" s="110" t="s">
        <v>4467</v>
      </c>
      <c r="B1101" s="110" t="s">
        <v>4468</v>
      </c>
      <c r="C1101" s="110" t="s">
        <v>4469</v>
      </c>
      <c r="D1101" s="110"/>
      <c r="E1101" s="111" t="s">
        <v>4470</v>
      </c>
      <c r="F1101" s="111" t="s">
        <v>4471</v>
      </c>
      <c r="G1101" s="110" t="s">
        <v>308</v>
      </c>
      <c r="H1101" s="113">
        <v>30.0</v>
      </c>
      <c r="I1101" s="110" t="s">
        <v>70</v>
      </c>
      <c r="J1101" s="112">
        <v>16690.0</v>
      </c>
      <c r="K1101" s="113" t="s">
        <v>71</v>
      </c>
      <c r="L1101" s="113"/>
      <c r="M1101" s="113"/>
      <c r="N1101" s="113"/>
      <c r="O1101" s="113"/>
      <c r="P1101" s="113"/>
      <c r="Q1101" s="113"/>
      <c r="R1101" s="113"/>
      <c r="S1101" s="113"/>
      <c r="T1101" s="113"/>
      <c r="U1101" s="113"/>
      <c r="V1101" s="113" t="s">
        <v>72</v>
      </c>
      <c r="W1101" s="112" t="s">
        <v>3696</v>
      </c>
    </row>
    <row r="1102" ht="49.5" customHeight="1">
      <c r="A1102" s="110" t="s">
        <v>4472</v>
      </c>
      <c r="B1102" s="110" t="s">
        <v>4473</v>
      </c>
      <c r="C1102" s="110" t="s">
        <v>4474</v>
      </c>
      <c r="D1102" s="110"/>
      <c r="E1102" s="111" t="s">
        <v>4475</v>
      </c>
      <c r="F1102" s="111" t="s">
        <v>4476</v>
      </c>
      <c r="G1102" s="110" t="s">
        <v>165</v>
      </c>
      <c r="H1102" s="113">
        <v>30.0</v>
      </c>
      <c r="I1102" s="110" t="s">
        <v>70</v>
      </c>
      <c r="J1102" s="112">
        <v>17090.0</v>
      </c>
      <c r="K1102" s="113" t="s">
        <v>71</v>
      </c>
      <c r="L1102" s="113"/>
      <c r="M1102" s="113"/>
      <c r="N1102" s="113"/>
      <c r="O1102" s="113"/>
      <c r="P1102" s="113"/>
      <c r="Q1102" s="113"/>
      <c r="R1102" s="113"/>
      <c r="S1102" s="113"/>
      <c r="T1102" s="113"/>
      <c r="U1102" s="113"/>
      <c r="V1102" s="113" t="s">
        <v>72</v>
      </c>
      <c r="W1102" s="112" t="s">
        <v>3696</v>
      </c>
    </row>
    <row r="1103" ht="49.5" customHeight="1">
      <c r="A1103" s="110" t="s">
        <v>4477</v>
      </c>
      <c r="B1103" s="110" t="s">
        <v>4478</v>
      </c>
      <c r="C1103" s="110" t="s">
        <v>4479</v>
      </c>
      <c r="D1103" s="110"/>
      <c r="E1103" s="111" t="s">
        <v>4480</v>
      </c>
      <c r="F1103" s="111" t="s">
        <v>4481</v>
      </c>
      <c r="G1103" s="110" t="s">
        <v>165</v>
      </c>
      <c r="H1103" s="113">
        <v>0.0</v>
      </c>
      <c r="I1103" s="110" t="s">
        <v>70</v>
      </c>
      <c r="J1103" s="112">
        <v>13390.0</v>
      </c>
      <c r="K1103" s="113" t="s">
        <v>71</v>
      </c>
      <c r="L1103" s="113"/>
      <c r="M1103" s="113"/>
      <c r="N1103" s="113"/>
      <c r="O1103" s="113"/>
      <c r="P1103" s="113"/>
      <c r="Q1103" s="113"/>
      <c r="R1103" s="113"/>
      <c r="S1103" s="113"/>
      <c r="T1103" s="113"/>
      <c r="U1103" s="113"/>
      <c r="V1103" s="113" t="s">
        <v>72</v>
      </c>
      <c r="W1103" s="112" t="s">
        <v>3696</v>
      </c>
    </row>
    <row r="1104" ht="49.5" customHeight="1">
      <c r="A1104" s="110" t="s">
        <v>4482</v>
      </c>
      <c r="B1104" s="110" t="s">
        <v>4483</v>
      </c>
      <c r="C1104" s="110" t="s">
        <v>4484</v>
      </c>
      <c r="D1104" s="110"/>
      <c r="E1104" s="111" t="s">
        <v>4485</v>
      </c>
      <c r="F1104" s="111" t="s">
        <v>4486</v>
      </c>
      <c r="G1104" s="110" t="s">
        <v>508</v>
      </c>
      <c r="H1104" s="113">
        <v>30.0</v>
      </c>
      <c r="I1104" s="110" t="s">
        <v>70</v>
      </c>
      <c r="J1104" s="112">
        <v>8190.0</v>
      </c>
      <c r="K1104" s="113" t="s">
        <v>71</v>
      </c>
      <c r="L1104" s="113"/>
      <c r="M1104" s="113"/>
      <c r="N1104" s="113"/>
      <c r="O1104" s="113"/>
      <c r="P1104" s="113"/>
      <c r="Q1104" s="113"/>
      <c r="R1104" s="113"/>
      <c r="S1104" s="113"/>
      <c r="T1104" s="113"/>
      <c r="U1104" s="113"/>
      <c r="V1104" s="113" t="s">
        <v>72</v>
      </c>
      <c r="W1104" s="112" t="s">
        <v>3696</v>
      </c>
    </row>
    <row r="1105" ht="49.5" customHeight="1">
      <c r="A1105" s="110" t="s">
        <v>4487</v>
      </c>
      <c r="B1105" s="110" t="s">
        <v>4488</v>
      </c>
      <c r="C1105" s="110" t="s">
        <v>4489</v>
      </c>
      <c r="D1105" s="110"/>
      <c r="E1105" s="111" t="s">
        <v>4490</v>
      </c>
      <c r="F1105" s="111" t="s">
        <v>4491</v>
      </c>
      <c r="G1105" s="110" t="s">
        <v>508</v>
      </c>
      <c r="H1105" s="113">
        <v>30.0</v>
      </c>
      <c r="I1105" s="110" t="s">
        <v>70</v>
      </c>
      <c r="J1105" s="112">
        <v>8990.0</v>
      </c>
      <c r="K1105" s="113" t="s">
        <v>71</v>
      </c>
      <c r="L1105" s="113"/>
      <c r="M1105" s="113"/>
      <c r="N1105" s="113"/>
      <c r="O1105" s="113"/>
      <c r="P1105" s="113"/>
      <c r="Q1105" s="113"/>
      <c r="R1105" s="113"/>
      <c r="S1105" s="113"/>
      <c r="T1105" s="113"/>
      <c r="U1105" s="113"/>
      <c r="V1105" s="113" t="s">
        <v>72</v>
      </c>
      <c r="W1105" s="112" t="s">
        <v>3696</v>
      </c>
    </row>
    <row r="1106" ht="49.5" customHeight="1">
      <c r="A1106" s="110" t="s">
        <v>4492</v>
      </c>
      <c r="B1106" s="110" t="s">
        <v>4493</v>
      </c>
      <c r="C1106" s="110" t="s">
        <v>4494</v>
      </c>
      <c r="D1106" s="110"/>
      <c r="E1106" s="111" t="s">
        <v>4495</v>
      </c>
      <c r="F1106" s="111" t="s">
        <v>4496</v>
      </c>
      <c r="G1106" s="110" t="s">
        <v>480</v>
      </c>
      <c r="H1106" s="113">
        <v>10.0</v>
      </c>
      <c r="I1106" s="110" t="s">
        <v>70</v>
      </c>
      <c r="J1106" s="112">
        <v>6890.0</v>
      </c>
      <c r="K1106" s="113" t="s">
        <v>71</v>
      </c>
      <c r="L1106" s="113"/>
      <c r="M1106" s="113"/>
      <c r="N1106" s="113"/>
      <c r="O1106" s="113"/>
      <c r="P1106" s="113"/>
      <c r="Q1106" s="113"/>
      <c r="R1106" s="113"/>
      <c r="S1106" s="113"/>
      <c r="T1106" s="113"/>
      <c r="U1106" s="113"/>
      <c r="V1106" s="113" t="s">
        <v>72</v>
      </c>
      <c r="W1106" s="112" t="s">
        <v>3696</v>
      </c>
    </row>
    <row r="1107" ht="49.5" customHeight="1">
      <c r="A1107" s="110" t="s">
        <v>4497</v>
      </c>
      <c r="B1107" s="110" t="s">
        <v>4498</v>
      </c>
      <c r="C1107" s="110" t="s">
        <v>4499</v>
      </c>
      <c r="D1107" s="110"/>
      <c r="E1107" s="111" t="s">
        <v>4500</v>
      </c>
      <c r="F1107" s="111" t="s">
        <v>4501</v>
      </c>
      <c r="G1107" s="110" t="s">
        <v>508</v>
      </c>
      <c r="H1107" s="113">
        <v>10.0</v>
      </c>
      <c r="I1107" s="110" t="s">
        <v>70</v>
      </c>
      <c r="J1107" s="112" t="s">
        <v>63</v>
      </c>
      <c r="K1107" s="113" t="s">
        <v>71</v>
      </c>
      <c r="L1107" s="113"/>
      <c r="M1107" s="113"/>
      <c r="N1107" s="113"/>
      <c r="O1107" s="113"/>
      <c r="P1107" s="113"/>
      <c r="Q1107" s="113"/>
      <c r="R1107" s="113"/>
      <c r="S1107" s="113"/>
      <c r="T1107" s="113"/>
      <c r="U1107" s="113"/>
      <c r="V1107" s="113" t="s">
        <v>72</v>
      </c>
      <c r="W1107" s="112" t="s">
        <v>3696</v>
      </c>
    </row>
    <row r="1108" ht="49.5" customHeight="1">
      <c r="A1108" s="110" t="s">
        <v>4502</v>
      </c>
      <c r="B1108" s="110" t="s">
        <v>4503</v>
      </c>
      <c r="C1108" s="110" t="s">
        <v>4504</v>
      </c>
      <c r="D1108" s="110"/>
      <c r="E1108" s="111" t="s">
        <v>4505</v>
      </c>
      <c r="F1108" s="111" t="s">
        <v>4506</v>
      </c>
      <c r="G1108" s="110" t="s">
        <v>514</v>
      </c>
      <c r="H1108" s="113">
        <v>10.0</v>
      </c>
      <c r="I1108" s="110" t="s">
        <v>70</v>
      </c>
      <c r="J1108" s="112">
        <v>9290.0</v>
      </c>
      <c r="K1108" s="113" t="s">
        <v>71</v>
      </c>
      <c r="L1108" s="113"/>
      <c r="M1108" s="113"/>
      <c r="N1108" s="113"/>
      <c r="O1108" s="113"/>
      <c r="P1108" s="113"/>
      <c r="Q1108" s="113"/>
      <c r="R1108" s="113"/>
      <c r="S1108" s="113"/>
      <c r="T1108" s="113"/>
      <c r="U1108" s="113"/>
      <c r="V1108" s="113" t="s">
        <v>72</v>
      </c>
      <c r="W1108" s="112" t="s">
        <v>3696</v>
      </c>
    </row>
    <row r="1109" ht="49.5" customHeight="1">
      <c r="A1109" s="110" t="s">
        <v>4507</v>
      </c>
      <c r="B1109" s="110" t="s">
        <v>4508</v>
      </c>
      <c r="C1109" s="110" t="s">
        <v>4509</v>
      </c>
      <c r="D1109" s="110"/>
      <c r="E1109" s="111" t="s">
        <v>4510</v>
      </c>
      <c r="F1109" s="111" t="s">
        <v>4511</v>
      </c>
      <c r="G1109" s="110" t="s">
        <v>480</v>
      </c>
      <c r="H1109" s="113">
        <v>0.0</v>
      </c>
      <c r="I1109" s="110" t="s">
        <v>70</v>
      </c>
      <c r="J1109" s="112">
        <v>8790.0</v>
      </c>
      <c r="K1109" s="113" t="s">
        <v>71</v>
      </c>
      <c r="L1109" s="113"/>
      <c r="M1109" s="113"/>
      <c r="N1109" s="113"/>
      <c r="O1109" s="113"/>
      <c r="P1109" s="113"/>
      <c r="Q1109" s="113"/>
      <c r="R1109" s="113"/>
      <c r="S1109" s="113"/>
      <c r="T1109" s="113"/>
      <c r="U1109" s="113"/>
      <c r="V1109" s="113" t="s">
        <v>72</v>
      </c>
      <c r="W1109" s="112" t="s">
        <v>3696</v>
      </c>
    </row>
    <row r="1110" ht="49.5" customHeight="1">
      <c r="A1110" s="110" t="s">
        <v>4512</v>
      </c>
      <c r="B1110" s="110" t="s">
        <v>4513</v>
      </c>
      <c r="C1110" s="110" t="s">
        <v>4514</v>
      </c>
      <c r="D1110" s="110"/>
      <c r="E1110" s="111" t="s">
        <v>4515</v>
      </c>
      <c r="F1110" s="111" t="s">
        <v>4516</v>
      </c>
      <c r="G1110" s="110" t="s">
        <v>4516</v>
      </c>
      <c r="H1110" s="113">
        <v>30.0</v>
      </c>
      <c r="I1110" s="110" t="s">
        <v>70</v>
      </c>
      <c r="J1110" s="112">
        <v>6290.0</v>
      </c>
      <c r="K1110" s="113" t="s">
        <v>71</v>
      </c>
      <c r="L1110" s="113"/>
      <c r="M1110" s="113"/>
      <c r="N1110" s="113"/>
      <c r="O1110" s="113"/>
      <c r="P1110" s="113"/>
      <c r="Q1110" s="113"/>
      <c r="R1110" s="113"/>
      <c r="S1110" s="113"/>
      <c r="T1110" s="113"/>
      <c r="U1110" s="113"/>
      <c r="V1110" s="113" t="s">
        <v>72</v>
      </c>
      <c r="W1110" s="112" t="s">
        <v>3696</v>
      </c>
    </row>
    <row r="1111" ht="49.5" customHeight="1">
      <c r="A1111" s="110" t="s">
        <v>4517</v>
      </c>
      <c r="B1111" s="110" t="s">
        <v>4518</v>
      </c>
      <c r="C1111" s="110" t="s">
        <v>4519</v>
      </c>
      <c r="D1111" s="110"/>
      <c r="E1111" s="111" t="s">
        <v>4520</v>
      </c>
      <c r="F1111" s="111" t="s">
        <v>4521</v>
      </c>
      <c r="G1111" s="110" t="s">
        <v>4521</v>
      </c>
      <c r="H1111" s="113">
        <v>30.0</v>
      </c>
      <c r="I1111" s="110" t="s">
        <v>70</v>
      </c>
      <c r="J1111" s="112">
        <v>6290.0</v>
      </c>
      <c r="K1111" s="113" t="s">
        <v>71</v>
      </c>
      <c r="L1111" s="113"/>
      <c r="M1111" s="113"/>
      <c r="N1111" s="113"/>
      <c r="O1111" s="113"/>
      <c r="P1111" s="113"/>
      <c r="Q1111" s="113"/>
      <c r="R1111" s="113"/>
      <c r="S1111" s="113"/>
      <c r="T1111" s="113"/>
      <c r="U1111" s="113"/>
      <c r="V1111" s="113" t="s">
        <v>72</v>
      </c>
      <c r="W1111" s="112" t="s">
        <v>3696</v>
      </c>
    </row>
    <row r="1112" ht="49.5" customHeight="1">
      <c r="A1112" s="110" t="s">
        <v>4522</v>
      </c>
      <c r="B1112" s="110" t="s">
        <v>4523</v>
      </c>
      <c r="C1112" s="110" t="s">
        <v>4524</v>
      </c>
      <c r="D1112" s="110"/>
      <c r="E1112" s="111" t="s">
        <v>4525</v>
      </c>
      <c r="F1112" s="111" t="s">
        <v>4526</v>
      </c>
      <c r="G1112" s="110" t="s">
        <v>4526</v>
      </c>
      <c r="H1112" s="113">
        <v>30.0</v>
      </c>
      <c r="I1112" s="110" t="s">
        <v>70</v>
      </c>
      <c r="J1112" s="112">
        <v>6290.0</v>
      </c>
      <c r="K1112" s="113" t="s">
        <v>71</v>
      </c>
      <c r="L1112" s="113"/>
      <c r="M1112" s="113"/>
      <c r="N1112" s="113"/>
      <c r="O1112" s="113"/>
      <c r="P1112" s="113"/>
      <c r="Q1112" s="113"/>
      <c r="R1112" s="113"/>
      <c r="S1112" s="113"/>
      <c r="T1112" s="113"/>
      <c r="U1112" s="113"/>
      <c r="V1112" s="113" t="s">
        <v>72</v>
      </c>
      <c r="W1112" s="112" t="s">
        <v>3696</v>
      </c>
    </row>
    <row r="1113" ht="49.5" customHeight="1">
      <c r="A1113" s="110" t="s">
        <v>4527</v>
      </c>
      <c r="B1113" s="110" t="s">
        <v>4528</v>
      </c>
      <c r="C1113" s="110" t="s">
        <v>4529</v>
      </c>
      <c r="D1113" s="110"/>
      <c r="E1113" s="111" t="s">
        <v>4530</v>
      </c>
      <c r="F1113" s="111" t="s">
        <v>4531</v>
      </c>
      <c r="G1113" s="110" t="s">
        <v>4531</v>
      </c>
      <c r="H1113" s="113">
        <v>30.0</v>
      </c>
      <c r="I1113" s="110" t="s">
        <v>70</v>
      </c>
      <c r="J1113" s="112">
        <v>6290.0</v>
      </c>
      <c r="K1113" s="113" t="s">
        <v>71</v>
      </c>
      <c r="L1113" s="113"/>
      <c r="M1113" s="113"/>
      <c r="N1113" s="113"/>
      <c r="O1113" s="113"/>
      <c r="P1113" s="113"/>
      <c r="Q1113" s="113"/>
      <c r="R1113" s="113"/>
      <c r="S1113" s="113"/>
      <c r="T1113" s="113"/>
      <c r="U1113" s="113"/>
      <c r="V1113" s="113" t="s">
        <v>72</v>
      </c>
      <c r="W1113" s="112" t="s">
        <v>3696</v>
      </c>
    </row>
    <row r="1114" ht="49.5" customHeight="1">
      <c r="A1114" s="110" t="s">
        <v>4532</v>
      </c>
      <c r="B1114" s="110" t="s">
        <v>4533</v>
      </c>
      <c r="C1114" s="110" t="s">
        <v>4534</v>
      </c>
      <c r="D1114" s="110"/>
      <c r="E1114" s="111" t="s">
        <v>4535</v>
      </c>
      <c r="F1114" s="111" t="s">
        <v>4536</v>
      </c>
      <c r="G1114" s="110" t="s">
        <v>4536</v>
      </c>
      <c r="H1114" s="113">
        <v>30.0</v>
      </c>
      <c r="I1114" s="110" t="s">
        <v>70</v>
      </c>
      <c r="J1114" s="112">
        <v>6290.0</v>
      </c>
      <c r="K1114" s="113" t="s">
        <v>71</v>
      </c>
      <c r="L1114" s="113"/>
      <c r="M1114" s="113"/>
      <c r="N1114" s="113"/>
      <c r="O1114" s="113"/>
      <c r="P1114" s="113"/>
      <c r="Q1114" s="113"/>
      <c r="R1114" s="113"/>
      <c r="S1114" s="113"/>
      <c r="T1114" s="113"/>
      <c r="U1114" s="113"/>
      <c r="V1114" s="113" t="s">
        <v>72</v>
      </c>
      <c r="W1114" s="112" t="s">
        <v>3696</v>
      </c>
    </row>
    <row r="1115" ht="49.5" customHeight="1">
      <c r="A1115" s="110" t="s">
        <v>4537</v>
      </c>
      <c r="B1115" s="110" t="s">
        <v>4538</v>
      </c>
      <c r="C1115" s="110" t="s">
        <v>4539</v>
      </c>
      <c r="D1115" s="110"/>
      <c r="E1115" s="111" t="s">
        <v>4540</v>
      </c>
      <c r="F1115" s="111" t="s">
        <v>4541</v>
      </c>
      <c r="G1115" s="110" t="s">
        <v>4541</v>
      </c>
      <c r="H1115" s="113">
        <v>30.0</v>
      </c>
      <c r="I1115" s="110" t="s">
        <v>70</v>
      </c>
      <c r="J1115" s="112">
        <v>6290.0</v>
      </c>
      <c r="K1115" s="113" t="s">
        <v>71</v>
      </c>
      <c r="L1115" s="113"/>
      <c r="M1115" s="113"/>
      <c r="N1115" s="113"/>
      <c r="O1115" s="113"/>
      <c r="P1115" s="113"/>
      <c r="Q1115" s="113"/>
      <c r="R1115" s="113"/>
      <c r="S1115" s="113"/>
      <c r="T1115" s="113"/>
      <c r="U1115" s="113"/>
      <c r="V1115" s="113" t="s">
        <v>72</v>
      </c>
      <c r="W1115" s="112" t="s">
        <v>3696</v>
      </c>
    </row>
    <row r="1116" ht="49.5" customHeight="1">
      <c r="A1116" s="110" t="s">
        <v>4542</v>
      </c>
      <c r="B1116" s="110" t="s">
        <v>4543</v>
      </c>
      <c r="C1116" s="110" t="s">
        <v>4544</v>
      </c>
      <c r="D1116" s="110"/>
      <c r="E1116" s="111" t="s">
        <v>4545</v>
      </c>
      <c r="F1116" s="111" t="s">
        <v>4546</v>
      </c>
      <c r="G1116" s="110" t="s">
        <v>4546</v>
      </c>
      <c r="H1116" s="113">
        <v>10.0</v>
      </c>
      <c r="I1116" s="110" t="s">
        <v>70</v>
      </c>
      <c r="J1116" s="112">
        <v>6290.0</v>
      </c>
      <c r="K1116" s="113" t="s">
        <v>71</v>
      </c>
      <c r="L1116" s="113"/>
      <c r="M1116" s="113"/>
      <c r="N1116" s="113"/>
      <c r="O1116" s="113"/>
      <c r="P1116" s="113"/>
      <c r="Q1116" s="113"/>
      <c r="R1116" s="113"/>
      <c r="S1116" s="113"/>
      <c r="T1116" s="113"/>
      <c r="U1116" s="113"/>
      <c r="V1116" s="113" t="s">
        <v>72</v>
      </c>
      <c r="W1116" s="112" t="s">
        <v>3696</v>
      </c>
    </row>
    <row r="1117" ht="49.5" customHeight="1">
      <c r="A1117" s="110" t="s">
        <v>4547</v>
      </c>
      <c r="B1117" s="110" t="s">
        <v>4548</v>
      </c>
      <c r="C1117" s="110" t="s">
        <v>4549</v>
      </c>
      <c r="D1117" s="110"/>
      <c r="E1117" s="111" t="s">
        <v>4550</v>
      </c>
      <c r="F1117" s="111" t="s">
        <v>4551</v>
      </c>
      <c r="G1117" s="110" t="s">
        <v>4551</v>
      </c>
      <c r="H1117" s="113">
        <v>30.0</v>
      </c>
      <c r="I1117" s="110" t="s">
        <v>70</v>
      </c>
      <c r="J1117" s="112">
        <v>6290.0</v>
      </c>
      <c r="K1117" s="113" t="s">
        <v>71</v>
      </c>
      <c r="L1117" s="113"/>
      <c r="M1117" s="113"/>
      <c r="N1117" s="113"/>
      <c r="O1117" s="113"/>
      <c r="P1117" s="113"/>
      <c r="Q1117" s="113"/>
      <c r="R1117" s="113"/>
      <c r="S1117" s="113"/>
      <c r="T1117" s="113"/>
      <c r="U1117" s="113"/>
      <c r="V1117" s="113" t="s">
        <v>72</v>
      </c>
      <c r="W1117" s="112" t="s">
        <v>3696</v>
      </c>
    </row>
    <row r="1118" ht="49.5" customHeight="1">
      <c r="A1118" s="110" t="s">
        <v>4552</v>
      </c>
      <c r="B1118" s="110" t="s">
        <v>4553</v>
      </c>
      <c r="C1118" s="110" t="s">
        <v>4554</v>
      </c>
      <c r="D1118" s="110"/>
      <c r="E1118" s="111" t="s">
        <v>4555</v>
      </c>
      <c r="F1118" s="111" t="s">
        <v>4556</v>
      </c>
      <c r="G1118" s="110" t="s">
        <v>4556</v>
      </c>
      <c r="H1118" s="113">
        <v>30.0</v>
      </c>
      <c r="I1118" s="110" t="s">
        <v>70</v>
      </c>
      <c r="J1118" s="112">
        <v>6290.0</v>
      </c>
      <c r="K1118" s="113" t="s">
        <v>71</v>
      </c>
      <c r="L1118" s="113"/>
      <c r="M1118" s="113"/>
      <c r="N1118" s="113"/>
      <c r="O1118" s="113"/>
      <c r="P1118" s="113"/>
      <c r="Q1118" s="113"/>
      <c r="R1118" s="113"/>
      <c r="S1118" s="113"/>
      <c r="T1118" s="113"/>
      <c r="U1118" s="113"/>
      <c r="V1118" s="113" t="s">
        <v>72</v>
      </c>
      <c r="W1118" s="112" t="s">
        <v>3696</v>
      </c>
    </row>
    <row r="1119" ht="49.5" customHeight="1">
      <c r="A1119" s="110" t="s">
        <v>4557</v>
      </c>
      <c r="B1119" s="110" t="s">
        <v>4558</v>
      </c>
      <c r="C1119" s="110" t="s">
        <v>4559</v>
      </c>
      <c r="D1119" s="110"/>
      <c r="E1119" s="111" t="s">
        <v>4560</v>
      </c>
      <c r="F1119" s="111" t="s">
        <v>4561</v>
      </c>
      <c r="G1119" s="110" t="s">
        <v>4561</v>
      </c>
      <c r="H1119" s="113">
        <v>30.0</v>
      </c>
      <c r="I1119" s="110" t="s">
        <v>70</v>
      </c>
      <c r="J1119" s="112">
        <v>6290.0</v>
      </c>
      <c r="K1119" s="113" t="s">
        <v>71</v>
      </c>
      <c r="L1119" s="113"/>
      <c r="M1119" s="113"/>
      <c r="N1119" s="113"/>
      <c r="O1119" s="113"/>
      <c r="P1119" s="113"/>
      <c r="Q1119" s="113"/>
      <c r="R1119" s="113"/>
      <c r="S1119" s="113"/>
      <c r="T1119" s="113"/>
      <c r="U1119" s="113"/>
      <c r="V1119" s="113" t="s">
        <v>72</v>
      </c>
      <c r="W1119" s="112" t="s">
        <v>3696</v>
      </c>
    </row>
    <row r="1120" ht="49.5" customHeight="1">
      <c r="A1120" s="110" t="s">
        <v>4562</v>
      </c>
      <c r="B1120" s="110" t="s">
        <v>4563</v>
      </c>
      <c r="C1120" s="110" t="s">
        <v>4564</v>
      </c>
      <c r="D1120" s="110"/>
      <c r="E1120" s="111" t="s">
        <v>4565</v>
      </c>
      <c r="F1120" s="111" t="s">
        <v>4566</v>
      </c>
      <c r="G1120" s="110" t="s">
        <v>4566</v>
      </c>
      <c r="H1120" s="113">
        <v>30.0</v>
      </c>
      <c r="I1120" s="110" t="s">
        <v>70</v>
      </c>
      <c r="J1120" s="112">
        <v>5990.0</v>
      </c>
      <c r="K1120" s="113" t="s">
        <v>71</v>
      </c>
      <c r="L1120" s="113"/>
      <c r="M1120" s="113"/>
      <c r="N1120" s="113"/>
      <c r="O1120" s="113"/>
      <c r="P1120" s="113"/>
      <c r="Q1120" s="113"/>
      <c r="R1120" s="113"/>
      <c r="S1120" s="113"/>
      <c r="T1120" s="113"/>
      <c r="U1120" s="113"/>
      <c r="V1120" s="113" t="s">
        <v>72</v>
      </c>
      <c r="W1120" s="112" t="s">
        <v>3696</v>
      </c>
    </row>
    <row r="1121" ht="49.5" customHeight="1">
      <c r="A1121" s="110" t="s">
        <v>4567</v>
      </c>
      <c r="B1121" s="110" t="s">
        <v>4568</v>
      </c>
      <c r="C1121" s="110" t="s">
        <v>4569</v>
      </c>
      <c r="D1121" s="110"/>
      <c r="E1121" s="111" t="s">
        <v>4570</v>
      </c>
      <c r="F1121" s="111" t="s">
        <v>4571</v>
      </c>
      <c r="G1121" s="110" t="s">
        <v>4571</v>
      </c>
      <c r="H1121" s="113">
        <v>30.0</v>
      </c>
      <c r="I1121" s="110" t="s">
        <v>70</v>
      </c>
      <c r="J1121" s="112">
        <v>6290.0</v>
      </c>
      <c r="K1121" s="113" t="s">
        <v>71</v>
      </c>
      <c r="L1121" s="113"/>
      <c r="M1121" s="113"/>
      <c r="N1121" s="113"/>
      <c r="O1121" s="113"/>
      <c r="P1121" s="113"/>
      <c r="Q1121" s="113"/>
      <c r="R1121" s="113"/>
      <c r="S1121" s="113"/>
      <c r="T1121" s="113"/>
      <c r="U1121" s="113"/>
      <c r="V1121" s="113" t="s">
        <v>72</v>
      </c>
      <c r="W1121" s="112" t="s">
        <v>3696</v>
      </c>
    </row>
    <row r="1122" ht="49.5" customHeight="1">
      <c r="A1122" s="110" t="s">
        <v>4572</v>
      </c>
      <c r="B1122" s="110" t="s">
        <v>4573</v>
      </c>
      <c r="C1122" s="110" t="s">
        <v>4574</v>
      </c>
      <c r="D1122" s="110"/>
      <c r="E1122" s="111" t="s">
        <v>4575</v>
      </c>
      <c r="F1122" s="111" t="s">
        <v>4576</v>
      </c>
      <c r="G1122" s="110" t="s">
        <v>4576</v>
      </c>
      <c r="H1122" s="113">
        <v>30.0</v>
      </c>
      <c r="I1122" s="110" t="s">
        <v>70</v>
      </c>
      <c r="J1122" s="112">
        <v>6290.0</v>
      </c>
      <c r="K1122" s="113" t="s">
        <v>71</v>
      </c>
      <c r="L1122" s="113"/>
      <c r="M1122" s="113"/>
      <c r="N1122" s="113"/>
      <c r="O1122" s="113"/>
      <c r="P1122" s="113"/>
      <c r="Q1122" s="113"/>
      <c r="R1122" s="113"/>
      <c r="S1122" s="113"/>
      <c r="T1122" s="113"/>
      <c r="U1122" s="113"/>
      <c r="V1122" s="113" t="s">
        <v>72</v>
      </c>
      <c r="W1122" s="112" t="s">
        <v>3696</v>
      </c>
    </row>
    <row r="1123" ht="49.5" customHeight="1">
      <c r="A1123" s="110" t="s">
        <v>4577</v>
      </c>
      <c r="B1123" s="110" t="s">
        <v>4578</v>
      </c>
      <c r="C1123" s="110" t="s">
        <v>4579</v>
      </c>
      <c r="D1123" s="110"/>
      <c r="E1123" s="111" t="s">
        <v>4580</v>
      </c>
      <c r="F1123" s="111" t="s">
        <v>4581</v>
      </c>
      <c r="G1123" s="110" t="s">
        <v>4581</v>
      </c>
      <c r="H1123" s="113">
        <v>30.0</v>
      </c>
      <c r="I1123" s="110" t="s">
        <v>70</v>
      </c>
      <c r="J1123" s="112">
        <v>6290.0</v>
      </c>
      <c r="K1123" s="113" t="s">
        <v>71</v>
      </c>
      <c r="L1123" s="113"/>
      <c r="M1123" s="113"/>
      <c r="N1123" s="113"/>
      <c r="O1123" s="113"/>
      <c r="P1123" s="113"/>
      <c r="Q1123" s="113"/>
      <c r="R1123" s="113"/>
      <c r="S1123" s="113"/>
      <c r="T1123" s="113"/>
      <c r="U1123" s="113"/>
      <c r="V1123" s="113" t="s">
        <v>72</v>
      </c>
      <c r="W1123" s="112" t="s">
        <v>3696</v>
      </c>
    </row>
    <row r="1124" ht="49.5" customHeight="1">
      <c r="A1124" s="110" t="s">
        <v>4582</v>
      </c>
      <c r="B1124" s="110" t="s">
        <v>4583</v>
      </c>
      <c r="C1124" s="110" t="s">
        <v>4584</v>
      </c>
      <c r="D1124" s="110"/>
      <c r="E1124" s="111" t="s">
        <v>4585</v>
      </c>
      <c r="F1124" s="111" t="s">
        <v>4586</v>
      </c>
      <c r="G1124" s="110" t="s">
        <v>4586</v>
      </c>
      <c r="H1124" s="113">
        <v>0.0</v>
      </c>
      <c r="I1124" s="110" t="s">
        <v>70</v>
      </c>
      <c r="J1124" s="112">
        <v>5990.0</v>
      </c>
      <c r="K1124" s="113" t="s">
        <v>71</v>
      </c>
      <c r="L1124" s="113"/>
      <c r="M1124" s="113"/>
      <c r="N1124" s="113"/>
      <c r="O1124" s="113"/>
      <c r="P1124" s="113"/>
      <c r="Q1124" s="113"/>
      <c r="R1124" s="113"/>
      <c r="S1124" s="113"/>
      <c r="T1124" s="113"/>
      <c r="U1124" s="113"/>
      <c r="V1124" s="113" t="s">
        <v>72</v>
      </c>
      <c r="W1124" s="112" t="s">
        <v>3696</v>
      </c>
    </row>
    <row r="1125" ht="49.5" customHeight="1">
      <c r="A1125" s="110" t="s">
        <v>4587</v>
      </c>
      <c r="B1125" s="110" t="s">
        <v>4588</v>
      </c>
      <c r="C1125" s="110" t="s">
        <v>4589</v>
      </c>
      <c r="D1125" s="110"/>
      <c r="E1125" s="111" t="s">
        <v>4590</v>
      </c>
      <c r="F1125" s="111" t="s">
        <v>4591</v>
      </c>
      <c r="G1125" s="110" t="s">
        <v>4591</v>
      </c>
      <c r="H1125" s="113">
        <v>30.0</v>
      </c>
      <c r="I1125" s="110" t="s">
        <v>70</v>
      </c>
      <c r="J1125" s="112">
        <v>6290.0</v>
      </c>
      <c r="K1125" s="113" t="s">
        <v>71</v>
      </c>
      <c r="L1125" s="113"/>
      <c r="M1125" s="113"/>
      <c r="N1125" s="113"/>
      <c r="O1125" s="113"/>
      <c r="P1125" s="113"/>
      <c r="Q1125" s="113"/>
      <c r="R1125" s="113"/>
      <c r="S1125" s="113"/>
      <c r="T1125" s="113"/>
      <c r="U1125" s="113"/>
      <c r="V1125" s="113" t="s">
        <v>72</v>
      </c>
      <c r="W1125" s="112" t="s">
        <v>3696</v>
      </c>
    </row>
    <row r="1126" ht="49.5" customHeight="1">
      <c r="A1126" s="110" t="s">
        <v>4592</v>
      </c>
      <c r="B1126" s="110" t="s">
        <v>4593</v>
      </c>
      <c r="C1126" s="110" t="s">
        <v>4594</v>
      </c>
      <c r="D1126" s="110"/>
      <c r="E1126" s="111" t="s">
        <v>4595</v>
      </c>
      <c r="F1126" s="111" t="s">
        <v>4596</v>
      </c>
      <c r="G1126" s="110" t="s">
        <v>4596</v>
      </c>
      <c r="H1126" s="113">
        <v>30.0</v>
      </c>
      <c r="I1126" s="110" t="s">
        <v>70</v>
      </c>
      <c r="J1126" s="112">
        <v>6290.0</v>
      </c>
      <c r="K1126" s="113" t="s">
        <v>71</v>
      </c>
      <c r="L1126" s="113"/>
      <c r="M1126" s="113"/>
      <c r="N1126" s="113"/>
      <c r="O1126" s="113"/>
      <c r="P1126" s="113"/>
      <c r="Q1126" s="113"/>
      <c r="R1126" s="113"/>
      <c r="S1126" s="113"/>
      <c r="T1126" s="113"/>
      <c r="U1126" s="113"/>
      <c r="V1126" s="113" t="s">
        <v>72</v>
      </c>
      <c r="W1126" s="112" t="s">
        <v>3696</v>
      </c>
    </row>
    <row r="1127" ht="49.5" customHeight="1">
      <c r="A1127" s="110" t="s">
        <v>4597</v>
      </c>
      <c r="B1127" s="110" t="s">
        <v>4598</v>
      </c>
      <c r="C1127" s="110" t="s">
        <v>4599</v>
      </c>
      <c r="D1127" s="110"/>
      <c r="E1127" s="111" t="s">
        <v>4600</v>
      </c>
      <c r="F1127" s="111" t="s">
        <v>4601</v>
      </c>
      <c r="G1127" s="110" t="s">
        <v>4601</v>
      </c>
      <c r="H1127" s="113">
        <v>30.0</v>
      </c>
      <c r="I1127" s="110" t="s">
        <v>70</v>
      </c>
      <c r="J1127" s="112">
        <v>5990.0</v>
      </c>
      <c r="K1127" s="113" t="s">
        <v>71</v>
      </c>
      <c r="L1127" s="113"/>
      <c r="M1127" s="113"/>
      <c r="N1127" s="113"/>
      <c r="O1127" s="113"/>
      <c r="P1127" s="113"/>
      <c r="Q1127" s="113"/>
      <c r="R1127" s="113"/>
      <c r="S1127" s="113"/>
      <c r="T1127" s="113"/>
      <c r="U1127" s="113"/>
      <c r="V1127" s="113" t="s">
        <v>72</v>
      </c>
      <c r="W1127" s="112" t="s">
        <v>3696</v>
      </c>
    </row>
    <row r="1128" ht="49.5" customHeight="1">
      <c r="A1128" s="110" t="s">
        <v>4602</v>
      </c>
      <c r="B1128" s="110" t="s">
        <v>4603</v>
      </c>
      <c r="C1128" s="110" t="s">
        <v>4604</v>
      </c>
      <c r="D1128" s="110"/>
      <c r="E1128" s="111" t="s">
        <v>4605</v>
      </c>
      <c r="F1128" s="111" t="s">
        <v>4606</v>
      </c>
      <c r="G1128" s="110" t="s">
        <v>4606</v>
      </c>
      <c r="H1128" s="113">
        <v>30.0</v>
      </c>
      <c r="I1128" s="110" t="s">
        <v>70</v>
      </c>
      <c r="J1128" s="112">
        <v>5990.0</v>
      </c>
      <c r="K1128" s="113" t="s">
        <v>71</v>
      </c>
      <c r="L1128" s="113"/>
      <c r="M1128" s="113"/>
      <c r="N1128" s="113"/>
      <c r="O1128" s="113"/>
      <c r="P1128" s="113"/>
      <c r="Q1128" s="113"/>
      <c r="R1128" s="113"/>
      <c r="S1128" s="113"/>
      <c r="T1128" s="113"/>
      <c r="U1128" s="113"/>
      <c r="V1128" s="113" t="s">
        <v>72</v>
      </c>
      <c r="W1128" s="112" t="s">
        <v>3696</v>
      </c>
    </row>
    <row r="1129" ht="49.5" customHeight="1">
      <c r="A1129" s="110" t="s">
        <v>4607</v>
      </c>
      <c r="B1129" s="110" t="s">
        <v>4608</v>
      </c>
      <c r="C1129" s="110" t="s">
        <v>4609</v>
      </c>
      <c r="D1129" s="110"/>
      <c r="E1129" s="111" t="s">
        <v>4610</v>
      </c>
      <c r="F1129" s="111" t="s">
        <v>4611</v>
      </c>
      <c r="G1129" s="110" t="s">
        <v>4611</v>
      </c>
      <c r="H1129" s="113">
        <v>30.0</v>
      </c>
      <c r="I1129" s="110" t="s">
        <v>70</v>
      </c>
      <c r="J1129" s="112">
        <v>269890.0</v>
      </c>
      <c r="K1129" s="113" t="s">
        <v>71</v>
      </c>
      <c r="L1129" s="113"/>
      <c r="M1129" s="113"/>
      <c r="N1129" s="113"/>
      <c r="O1129" s="113"/>
      <c r="P1129" s="113"/>
      <c r="Q1129" s="113"/>
      <c r="R1129" s="113"/>
      <c r="S1129" s="113"/>
      <c r="T1129" s="113"/>
      <c r="U1129" s="113"/>
      <c r="V1129" s="113" t="s">
        <v>72</v>
      </c>
      <c r="W1129" s="112" t="s">
        <v>3696</v>
      </c>
    </row>
    <row r="1130" ht="49.5" customHeight="1">
      <c r="A1130" s="110" t="s">
        <v>4612</v>
      </c>
      <c r="B1130" s="110" t="s">
        <v>4613</v>
      </c>
      <c r="C1130" s="110" t="s">
        <v>4614</v>
      </c>
      <c r="D1130" s="110"/>
      <c r="E1130" s="111" t="s">
        <v>4615</v>
      </c>
      <c r="F1130" s="111" t="s">
        <v>4616</v>
      </c>
      <c r="G1130" s="110" t="s">
        <v>4616</v>
      </c>
      <c r="H1130" s="113">
        <v>0.0</v>
      </c>
      <c r="I1130" s="110" t="s">
        <v>70</v>
      </c>
      <c r="J1130" s="112">
        <v>95490.0</v>
      </c>
      <c r="K1130" s="113" t="s">
        <v>71</v>
      </c>
      <c r="L1130" s="113"/>
      <c r="M1130" s="113"/>
      <c r="N1130" s="113"/>
      <c r="O1130" s="113"/>
      <c r="P1130" s="113"/>
      <c r="Q1130" s="113"/>
      <c r="R1130" s="113"/>
      <c r="S1130" s="113"/>
      <c r="T1130" s="113"/>
      <c r="U1130" s="113"/>
      <c r="V1130" s="113" t="s">
        <v>72</v>
      </c>
      <c r="W1130" s="112" t="s">
        <v>3696</v>
      </c>
    </row>
    <row r="1131" ht="49.5" customHeight="1">
      <c r="A1131" s="110" t="s">
        <v>4617</v>
      </c>
      <c r="B1131" s="110" t="s">
        <v>4618</v>
      </c>
      <c r="C1131" s="110" t="s">
        <v>4619</v>
      </c>
      <c r="D1131" s="110"/>
      <c r="E1131" s="111" t="s">
        <v>4620</v>
      </c>
      <c r="F1131" s="111" t="s">
        <v>4621</v>
      </c>
      <c r="G1131" s="110" t="s">
        <v>4621</v>
      </c>
      <c r="H1131" s="113">
        <v>0.0</v>
      </c>
      <c r="I1131" s="110" t="s">
        <v>70</v>
      </c>
      <c r="J1131" s="112">
        <v>85790.0</v>
      </c>
      <c r="K1131" s="113" t="s">
        <v>71</v>
      </c>
      <c r="L1131" s="113"/>
      <c r="M1131" s="113"/>
      <c r="N1131" s="113"/>
      <c r="O1131" s="113"/>
      <c r="P1131" s="113"/>
      <c r="Q1131" s="113"/>
      <c r="R1131" s="113"/>
      <c r="S1131" s="113"/>
      <c r="T1131" s="113"/>
      <c r="U1131" s="113"/>
      <c r="V1131" s="113" t="s">
        <v>72</v>
      </c>
      <c r="W1131" s="112" t="s">
        <v>3696</v>
      </c>
    </row>
    <row r="1132" ht="49.5" customHeight="1">
      <c r="A1132" s="110" t="s">
        <v>4622</v>
      </c>
      <c r="B1132" s="110" t="s">
        <v>4623</v>
      </c>
      <c r="C1132" s="110" t="s">
        <v>4624</v>
      </c>
      <c r="D1132" s="110"/>
      <c r="E1132" s="111" t="s">
        <v>4625</v>
      </c>
      <c r="F1132" s="111" t="s">
        <v>4626</v>
      </c>
      <c r="G1132" s="110" t="s">
        <v>90</v>
      </c>
      <c r="H1132" s="113">
        <v>0.0</v>
      </c>
      <c r="I1132" s="110" t="s">
        <v>70</v>
      </c>
      <c r="J1132" s="112">
        <v>30990.0</v>
      </c>
      <c r="K1132" s="113" t="s">
        <v>71</v>
      </c>
      <c r="L1132" s="113"/>
      <c r="M1132" s="113"/>
      <c r="N1132" s="113"/>
      <c r="O1132" s="113"/>
      <c r="P1132" s="113"/>
      <c r="Q1132" s="113"/>
      <c r="R1132" s="113"/>
      <c r="S1132" s="113"/>
      <c r="T1132" s="113"/>
      <c r="U1132" s="113"/>
      <c r="V1132" s="113" t="s">
        <v>72</v>
      </c>
      <c r="W1132" s="112" t="s">
        <v>3696</v>
      </c>
    </row>
    <row r="1133" ht="49.5" customHeight="1">
      <c r="A1133" s="110" t="s">
        <v>63</v>
      </c>
      <c r="B1133" s="110" t="s">
        <v>4627</v>
      </c>
      <c r="C1133" s="110"/>
      <c r="D1133" s="110"/>
      <c r="E1133" s="112" t="s">
        <v>4627</v>
      </c>
      <c r="F1133" s="111" t="s">
        <v>4628</v>
      </c>
      <c r="G1133" s="110" t="s">
        <v>70</v>
      </c>
      <c r="H1133" s="110" t="s">
        <v>3699</v>
      </c>
      <c r="I1133" s="110" t="s">
        <v>70</v>
      </c>
      <c r="J1133" s="112">
        <v>13990.0</v>
      </c>
      <c r="K1133" s="113" t="s">
        <v>71</v>
      </c>
      <c r="L1133" s="113"/>
      <c r="M1133" s="113"/>
      <c r="N1133" s="113"/>
      <c r="O1133" s="113"/>
      <c r="P1133" s="113"/>
      <c r="Q1133" s="113"/>
      <c r="R1133" s="113"/>
      <c r="S1133" s="113"/>
      <c r="T1133" s="113"/>
      <c r="U1133" s="113"/>
      <c r="V1133" s="113" t="s">
        <v>72</v>
      </c>
      <c r="W1133" s="112" t="s">
        <v>3696</v>
      </c>
    </row>
    <row r="1134" ht="49.5" customHeight="1">
      <c r="A1134" s="110" t="s">
        <v>63</v>
      </c>
      <c r="B1134" s="110" t="s">
        <v>4627</v>
      </c>
      <c r="C1134" s="110" t="s">
        <v>4629</v>
      </c>
      <c r="D1134" s="110" t="s">
        <v>4629</v>
      </c>
      <c r="E1134" s="111" t="s">
        <v>4630</v>
      </c>
      <c r="F1134" s="114" t="str">
        <f>"     "&amp;F1133</f>
        <v>     Short Dama C/lycra Negro</v>
      </c>
      <c r="G1134" s="110" t="s">
        <v>660</v>
      </c>
      <c r="H1134" s="113">
        <v>0.0</v>
      </c>
      <c r="I1134" s="110" t="s">
        <v>70</v>
      </c>
      <c r="J1134" s="112">
        <f>J1133</f>
        <v>13990</v>
      </c>
      <c r="K1134" s="110" t="str">
        <f>K1133&amp;"     "</f>
        <v>$     </v>
      </c>
      <c r="L1134" s="110" t="str">
        <f t="shared" ref="L1134:U1134" si="711">L1133</f>
        <v/>
      </c>
      <c r="M1134" s="110" t="str">
        <f t="shared" si="711"/>
        <v/>
      </c>
      <c r="N1134" s="110" t="str">
        <f t="shared" si="711"/>
        <v/>
      </c>
      <c r="O1134" s="110" t="str">
        <f t="shared" si="711"/>
        <v/>
      </c>
      <c r="P1134" s="110" t="str">
        <f t="shared" si="711"/>
        <v/>
      </c>
      <c r="Q1134" s="110" t="str">
        <f t="shared" si="711"/>
        <v/>
      </c>
      <c r="R1134" s="110" t="str">
        <f t="shared" si="711"/>
        <v/>
      </c>
      <c r="S1134" s="110" t="str">
        <f t="shared" si="711"/>
        <v/>
      </c>
      <c r="T1134" s="110" t="str">
        <f t="shared" si="711"/>
        <v/>
      </c>
      <c r="U1134" s="110" t="str">
        <f t="shared" si="711"/>
        <v/>
      </c>
      <c r="V1134" s="110" t="str">
        <f t="shared" ref="V1134:W1134" si="712">V1133&amp;"     "</f>
        <v>Nuevo     </v>
      </c>
      <c r="W1134" s="112" t="str">
        <f t="shared" si="712"/>
        <v>Inactiva     </v>
      </c>
    </row>
    <row r="1135" ht="49.5" customHeight="1">
      <c r="A1135" s="110" t="s">
        <v>63</v>
      </c>
      <c r="B1135" s="110" t="s">
        <v>4627</v>
      </c>
      <c r="C1135" s="110" t="s">
        <v>4631</v>
      </c>
      <c r="D1135" s="110" t="s">
        <v>4631</v>
      </c>
      <c r="E1135" s="111" t="s">
        <v>4632</v>
      </c>
      <c r="F1135" s="114" t="str">
        <f>"     "&amp;F1133</f>
        <v>     Short Dama C/lycra Negro</v>
      </c>
      <c r="G1135" s="110" t="s">
        <v>657</v>
      </c>
      <c r="H1135" s="113">
        <v>0.0</v>
      </c>
      <c r="I1135" s="110" t="s">
        <v>70</v>
      </c>
      <c r="J1135" s="112">
        <f>J1133</f>
        <v>13990</v>
      </c>
      <c r="K1135" s="110" t="str">
        <f>K1133&amp;"     "</f>
        <v>$     </v>
      </c>
      <c r="L1135" s="110" t="str">
        <f t="shared" ref="L1135:U1135" si="713">L1133</f>
        <v/>
      </c>
      <c r="M1135" s="110" t="str">
        <f t="shared" si="713"/>
        <v/>
      </c>
      <c r="N1135" s="110" t="str">
        <f t="shared" si="713"/>
        <v/>
      </c>
      <c r="O1135" s="110" t="str">
        <f t="shared" si="713"/>
        <v/>
      </c>
      <c r="P1135" s="110" t="str">
        <f t="shared" si="713"/>
        <v/>
      </c>
      <c r="Q1135" s="110" t="str">
        <f t="shared" si="713"/>
        <v/>
      </c>
      <c r="R1135" s="110" t="str">
        <f t="shared" si="713"/>
        <v/>
      </c>
      <c r="S1135" s="110" t="str">
        <f t="shared" si="713"/>
        <v/>
      </c>
      <c r="T1135" s="110" t="str">
        <f t="shared" si="713"/>
        <v/>
      </c>
      <c r="U1135" s="110" t="str">
        <f t="shared" si="713"/>
        <v/>
      </c>
      <c r="V1135" s="110" t="str">
        <f t="shared" ref="V1135:W1135" si="714">V1133&amp;"     "</f>
        <v>Nuevo     </v>
      </c>
      <c r="W1135" s="112" t="str">
        <f t="shared" si="714"/>
        <v>Inactiva     </v>
      </c>
    </row>
    <row r="1136" ht="49.5" customHeight="1">
      <c r="A1136" s="110" t="s">
        <v>63</v>
      </c>
      <c r="B1136" s="110" t="s">
        <v>4627</v>
      </c>
      <c r="C1136" s="110" t="s">
        <v>4633</v>
      </c>
      <c r="D1136" s="110" t="s">
        <v>4633</v>
      </c>
      <c r="E1136" s="111" t="s">
        <v>4634</v>
      </c>
      <c r="F1136" s="114" t="str">
        <f>"     "&amp;F1133</f>
        <v>     Short Dama C/lycra Negro</v>
      </c>
      <c r="G1136" s="110" t="s">
        <v>654</v>
      </c>
      <c r="H1136" s="113">
        <v>0.0</v>
      </c>
      <c r="I1136" s="110" t="s">
        <v>70</v>
      </c>
      <c r="J1136" s="112">
        <f>J1133</f>
        <v>13990</v>
      </c>
      <c r="K1136" s="110" t="str">
        <f>K1133&amp;"     "</f>
        <v>$     </v>
      </c>
      <c r="L1136" s="110" t="str">
        <f t="shared" ref="L1136:U1136" si="715">L1133</f>
        <v/>
      </c>
      <c r="M1136" s="110" t="str">
        <f t="shared" si="715"/>
        <v/>
      </c>
      <c r="N1136" s="110" t="str">
        <f t="shared" si="715"/>
        <v/>
      </c>
      <c r="O1136" s="110" t="str">
        <f t="shared" si="715"/>
        <v/>
      </c>
      <c r="P1136" s="110" t="str">
        <f t="shared" si="715"/>
        <v/>
      </c>
      <c r="Q1136" s="110" t="str">
        <f t="shared" si="715"/>
        <v/>
      </c>
      <c r="R1136" s="110" t="str">
        <f t="shared" si="715"/>
        <v/>
      </c>
      <c r="S1136" s="110" t="str">
        <f t="shared" si="715"/>
        <v/>
      </c>
      <c r="T1136" s="110" t="str">
        <f t="shared" si="715"/>
        <v/>
      </c>
      <c r="U1136" s="110" t="str">
        <f t="shared" si="715"/>
        <v/>
      </c>
      <c r="V1136" s="110" t="str">
        <f t="shared" ref="V1136:W1136" si="716">V1133&amp;"     "</f>
        <v>Nuevo     </v>
      </c>
      <c r="W1136" s="112" t="str">
        <f t="shared" si="716"/>
        <v>Inactiva     </v>
      </c>
    </row>
    <row r="1137" ht="49.5" customHeight="1">
      <c r="A1137" s="110" t="s">
        <v>63</v>
      </c>
      <c r="B1137" s="110" t="s">
        <v>4627</v>
      </c>
      <c r="C1137" s="110" t="s">
        <v>4635</v>
      </c>
      <c r="D1137" s="110" t="s">
        <v>4635</v>
      </c>
      <c r="E1137" s="111" t="s">
        <v>4636</v>
      </c>
      <c r="F1137" s="114" t="str">
        <f>"     "&amp;F1133</f>
        <v>     Short Dama C/lycra Negro</v>
      </c>
      <c r="G1137" s="110" t="s">
        <v>663</v>
      </c>
      <c r="H1137" s="113">
        <v>0.0</v>
      </c>
      <c r="I1137" s="110" t="s">
        <v>70</v>
      </c>
      <c r="J1137" s="112">
        <f>J1133</f>
        <v>13990</v>
      </c>
      <c r="K1137" s="110" t="str">
        <f>K1133&amp;"     "</f>
        <v>$     </v>
      </c>
      <c r="L1137" s="110" t="str">
        <f t="shared" ref="L1137:U1137" si="717">L1133</f>
        <v/>
      </c>
      <c r="M1137" s="110" t="str">
        <f t="shared" si="717"/>
        <v/>
      </c>
      <c r="N1137" s="110" t="str">
        <f t="shared" si="717"/>
        <v/>
      </c>
      <c r="O1137" s="110" t="str">
        <f t="shared" si="717"/>
        <v/>
      </c>
      <c r="P1137" s="110" t="str">
        <f t="shared" si="717"/>
        <v/>
      </c>
      <c r="Q1137" s="110" t="str">
        <f t="shared" si="717"/>
        <v/>
      </c>
      <c r="R1137" s="110" t="str">
        <f t="shared" si="717"/>
        <v/>
      </c>
      <c r="S1137" s="110" t="str">
        <f t="shared" si="717"/>
        <v/>
      </c>
      <c r="T1137" s="110" t="str">
        <f t="shared" si="717"/>
        <v/>
      </c>
      <c r="U1137" s="110" t="str">
        <f t="shared" si="717"/>
        <v/>
      </c>
      <c r="V1137" s="110" t="str">
        <f t="shared" ref="V1137:W1137" si="718">V1133&amp;"     "</f>
        <v>Nuevo     </v>
      </c>
      <c r="W1137" s="112" t="str">
        <f t="shared" si="718"/>
        <v>Inactiva     </v>
      </c>
    </row>
    <row r="1138" ht="49.5" customHeight="1">
      <c r="A1138" s="110" t="s">
        <v>63</v>
      </c>
      <c r="B1138" s="110" t="s">
        <v>4637</v>
      </c>
      <c r="C1138" s="110"/>
      <c r="D1138" s="110"/>
      <c r="E1138" s="112" t="s">
        <v>4637</v>
      </c>
      <c r="F1138" s="111" t="s">
        <v>4638</v>
      </c>
      <c r="G1138" s="110" t="s">
        <v>70</v>
      </c>
      <c r="H1138" s="110" t="s">
        <v>321</v>
      </c>
      <c r="I1138" s="110" t="s">
        <v>70</v>
      </c>
      <c r="J1138" s="112">
        <v>7190.0</v>
      </c>
      <c r="K1138" s="113" t="s">
        <v>71</v>
      </c>
      <c r="L1138" s="113"/>
      <c r="M1138" s="113"/>
      <c r="N1138" s="113"/>
      <c r="O1138" s="113"/>
      <c r="P1138" s="113"/>
      <c r="Q1138" s="113"/>
      <c r="R1138" s="113"/>
      <c r="S1138" s="113"/>
      <c r="T1138" s="113"/>
      <c r="U1138" s="113"/>
      <c r="V1138" s="113" t="s">
        <v>72</v>
      </c>
      <c r="W1138" s="112" t="s">
        <v>3696</v>
      </c>
    </row>
    <row r="1139" ht="49.5" customHeight="1">
      <c r="A1139" s="110" t="s">
        <v>63</v>
      </c>
      <c r="B1139" s="110" t="s">
        <v>4637</v>
      </c>
      <c r="C1139" s="110" t="s">
        <v>4639</v>
      </c>
      <c r="D1139" s="110" t="s">
        <v>4639</v>
      </c>
      <c r="E1139" s="111" t="s">
        <v>4640</v>
      </c>
      <c r="F1139" s="114" t="str">
        <f>"     "&amp;F1138</f>
        <v>     Short Dama Drb 2.40.39 - Liso Negro</v>
      </c>
      <c r="G1139" s="110" t="s">
        <v>660</v>
      </c>
      <c r="H1139" s="113">
        <v>10.0</v>
      </c>
      <c r="I1139" s="110" t="s">
        <v>70</v>
      </c>
      <c r="J1139" s="112">
        <f>J1138</f>
        <v>7190</v>
      </c>
      <c r="K1139" s="110" t="str">
        <f>K1138&amp;"     "</f>
        <v>$     </v>
      </c>
      <c r="L1139" s="110" t="str">
        <f t="shared" ref="L1139:U1139" si="719">L1138</f>
        <v/>
      </c>
      <c r="M1139" s="110" t="str">
        <f t="shared" si="719"/>
        <v/>
      </c>
      <c r="N1139" s="110" t="str">
        <f t="shared" si="719"/>
        <v/>
      </c>
      <c r="O1139" s="110" t="str">
        <f t="shared" si="719"/>
        <v/>
      </c>
      <c r="P1139" s="110" t="str">
        <f t="shared" si="719"/>
        <v/>
      </c>
      <c r="Q1139" s="110" t="str">
        <f t="shared" si="719"/>
        <v/>
      </c>
      <c r="R1139" s="110" t="str">
        <f t="shared" si="719"/>
        <v/>
      </c>
      <c r="S1139" s="110" t="str">
        <f t="shared" si="719"/>
        <v/>
      </c>
      <c r="T1139" s="110" t="str">
        <f t="shared" si="719"/>
        <v/>
      </c>
      <c r="U1139" s="110" t="str">
        <f t="shared" si="719"/>
        <v/>
      </c>
      <c r="V1139" s="110" t="str">
        <f t="shared" ref="V1139:W1139" si="720">V1138&amp;"     "</f>
        <v>Nuevo     </v>
      </c>
      <c r="W1139" s="112" t="str">
        <f t="shared" si="720"/>
        <v>Inactiva     </v>
      </c>
    </row>
    <row r="1140" ht="49.5" customHeight="1">
      <c r="A1140" s="110" t="s">
        <v>63</v>
      </c>
      <c r="B1140" s="110" t="s">
        <v>4637</v>
      </c>
      <c r="C1140" s="110" t="s">
        <v>4641</v>
      </c>
      <c r="D1140" s="110" t="s">
        <v>4641</v>
      </c>
      <c r="E1140" s="111" t="s">
        <v>4642</v>
      </c>
      <c r="F1140" s="114" t="str">
        <f>"     "&amp;F1138</f>
        <v>     Short Dama Drb 2.40.39 - Liso Negro</v>
      </c>
      <c r="G1140" s="110" t="s">
        <v>663</v>
      </c>
      <c r="H1140" s="113">
        <v>10.0</v>
      </c>
      <c r="I1140" s="110" t="s">
        <v>70</v>
      </c>
      <c r="J1140" s="112">
        <f>J1138</f>
        <v>7190</v>
      </c>
      <c r="K1140" s="110" t="str">
        <f>K1138&amp;"     "</f>
        <v>$     </v>
      </c>
      <c r="L1140" s="110" t="str">
        <f t="shared" ref="L1140:U1140" si="721">L1138</f>
        <v/>
      </c>
      <c r="M1140" s="110" t="str">
        <f t="shared" si="721"/>
        <v/>
      </c>
      <c r="N1140" s="110" t="str">
        <f t="shared" si="721"/>
        <v/>
      </c>
      <c r="O1140" s="110" t="str">
        <f t="shared" si="721"/>
        <v/>
      </c>
      <c r="P1140" s="110" t="str">
        <f t="shared" si="721"/>
        <v/>
      </c>
      <c r="Q1140" s="110" t="str">
        <f t="shared" si="721"/>
        <v/>
      </c>
      <c r="R1140" s="110" t="str">
        <f t="shared" si="721"/>
        <v/>
      </c>
      <c r="S1140" s="110" t="str">
        <f t="shared" si="721"/>
        <v/>
      </c>
      <c r="T1140" s="110" t="str">
        <f t="shared" si="721"/>
        <v/>
      </c>
      <c r="U1140" s="110" t="str">
        <f t="shared" si="721"/>
        <v/>
      </c>
      <c r="V1140" s="110" t="str">
        <f t="shared" ref="V1140:W1140" si="722">V1138&amp;"     "</f>
        <v>Nuevo     </v>
      </c>
      <c r="W1140" s="112" t="str">
        <f t="shared" si="722"/>
        <v>Inactiva     </v>
      </c>
    </row>
    <row r="1141" ht="49.5" customHeight="1">
      <c r="A1141" s="110" t="s">
        <v>63</v>
      </c>
      <c r="B1141" s="110" t="s">
        <v>4637</v>
      </c>
      <c r="C1141" s="110" t="s">
        <v>4643</v>
      </c>
      <c r="D1141" s="110" t="s">
        <v>4643</v>
      </c>
      <c r="E1141" s="111" t="s">
        <v>4644</v>
      </c>
      <c r="F1141" s="114" t="str">
        <f>"     "&amp;F1138</f>
        <v>     Short Dama Drb 2.40.39 - Liso Negro</v>
      </c>
      <c r="G1141" s="110" t="s">
        <v>654</v>
      </c>
      <c r="H1141" s="113">
        <v>10.0</v>
      </c>
      <c r="I1141" s="110" t="s">
        <v>70</v>
      </c>
      <c r="J1141" s="112">
        <f>J1138</f>
        <v>7190</v>
      </c>
      <c r="K1141" s="110" t="str">
        <f>K1138&amp;"     "</f>
        <v>$     </v>
      </c>
      <c r="L1141" s="110" t="str">
        <f t="shared" ref="L1141:U1141" si="723">L1138</f>
        <v/>
      </c>
      <c r="M1141" s="110" t="str">
        <f t="shared" si="723"/>
        <v/>
      </c>
      <c r="N1141" s="110" t="str">
        <f t="shared" si="723"/>
        <v/>
      </c>
      <c r="O1141" s="110" t="str">
        <f t="shared" si="723"/>
        <v/>
      </c>
      <c r="P1141" s="110" t="str">
        <f t="shared" si="723"/>
        <v/>
      </c>
      <c r="Q1141" s="110" t="str">
        <f t="shared" si="723"/>
        <v/>
      </c>
      <c r="R1141" s="110" t="str">
        <f t="shared" si="723"/>
        <v/>
      </c>
      <c r="S1141" s="110" t="str">
        <f t="shared" si="723"/>
        <v/>
      </c>
      <c r="T1141" s="110" t="str">
        <f t="shared" si="723"/>
        <v/>
      </c>
      <c r="U1141" s="110" t="str">
        <f t="shared" si="723"/>
        <v/>
      </c>
      <c r="V1141" s="110" t="str">
        <f t="shared" ref="V1141:W1141" si="724">V1138&amp;"     "</f>
        <v>Nuevo     </v>
      </c>
      <c r="W1141" s="112" t="str">
        <f t="shared" si="724"/>
        <v>Inactiva     </v>
      </c>
    </row>
    <row r="1142" ht="49.5" customHeight="1">
      <c r="A1142" s="110" t="s">
        <v>63</v>
      </c>
      <c r="B1142" s="110" t="s">
        <v>4637</v>
      </c>
      <c r="C1142" s="110" t="s">
        <v>4645</v>
      </c>
      <c r="D1142" s="110" t="s">
        <v>4645</v>
      </c>
      <c r="E1142" s="111" t="s">
        <v>4646</v>
      </c>
      <c r="F1142" s="114" t="str">
        <f>"     "&amp;F1138</f>
        <v>     Short Dama Drb 2.40.39 - Liso Negro</v>
      </c>
      <c r="G1142" s="110" t="s">
        <v>657</v>
      </c>
      <c r="H1142" s="113">
        <v>0.0</v>
      </c>
      <c r="I1142" s="110" t="s">
        <v>70</v>
      </c>
      <c r="J1142" s="112">
        <f>J1138</f>
        <v>7190</v>
      </c>
      <c r="K1142" s="110" t="str">
        <f>K1138&amp;"     "</f>
        <v>$     </v>
      </c>
      <c r="L1142" s="110" t="str">
        <f t="shared" ref="L1142:U1142" si="725">L1138</f>
        <v/>
      </c>
      <c r="M1142" s="110" t="str">
        <f t="shared" si="725"/>
        <v/>
      </c>
      <c r="N1142" s="110" t="str">
        <f t="shared" si="725"/>
        <v/>
      </c>
      <c r="O1142" s="110" t="str">
        <f t="shared" si="725"/>
        <v/>
      </c>
      <c r="P1142" s="110" t="str">
        <f t="shared" si="725"/>
        <v/>
      </c>
      <c r="Q1142" s="110" t="str">
        <f t="shared" si="725"/>
        <v/>
      </c>
      <c r="R1142" s="110" t="str">
        <f t="shared" si="725"/>
        <v/>
      </c>
      <c r="S1142" s="110" t="str">
        <f t="shared" si="725"/>
        <v/>
      </c>
      <c r="T1142" s="110" t="str">
        <f t="shared" si="725"/>
        <v/>
      </c>
      <c r="U1142" s="110" t="str">
        <f t="shared" si="725"/>
        <v/>
      </c>
      <c r="V1142" s="110" t="str">
        <f t="shared" ref="V1142:W1142" si="726">V1138&amp;"     "</f>
        <v>Nuevo     </v>
      </c>
      <c r="W1142" s="112" t="str">
        <f t="shared" si="726"/>
        <v>Inactiva     </v>
      </c>
    </row>
    <row r="1143" ht="49.5" customHeight="1">
      <c r="A1143" s="110" t="s">
        <v>4647</v>
      </c>
      <c r="B1143" s="110" t="s">
        <v>4648</v>
      </c>
      <c r="C1143" s="110" t="s">
        <v>4649</v>
      </c>
      <c r="D1143" s="110"/>
      <c r="E1143" s="111" t="s">
        <v>4650</v>
      </c>
      <c r="F1143" s="111" t="s">
        <v>4651</v>
      </c>
      <c r="G1143" s="110" t="s">
        <v>3889</v>
      </c>
      <c r="H1143" s="113">
        <v>30.0</v>
      </c>
      <c r="I1143" s="110" t="s">
        <v>70</v>
      </c>
      <c r="J1143" s="112">
        <v>17090.0</v>
      </c>
      <c r="K1143" s="113" t="s">
        <v>71</v>
      </c>
      <c r="L1143" s="113"/>
      <c r="M1143" s="113"/>
      <c r="N1143" s="113"/>
      <c r="O1143" s="113"/>
      <c r="P1143" s="113"/>
      <c r="Q1143" s="113"/>
      <c r="R1143" s="113"/>
      <c r="S1143" s="113"/>
      <c r="T1143" s="113"/>
      <c r="U1143" s="113"/>
      <c r="V1143" s="113" t="s">
        <v>72</v>
      </c>
      <c r="W1143" s="112" t="s">
        <v>3696</v>
      </c>
    </row>
    <row r="1144" ht="49.5" customHeight="1">
      <c r="A1144" s="110" t="s">
        <v>4652</v>
      </c>
      <c r="B1144" s="110" t="s">
        <v>4653</v>
      </c>
      <c r="C1144" s="110" t="s">
        <v>4654</v>
      </c>
      <c r="D1144" s="110"/>
      <c r="E1144" s="111" t="s">
        <v>4655</v>
      </c>
      <c r="F1144" s="111" t="s">
        <v>4656</v>
      </c>
      <c r="G1144" s="110" t="s">
        <v>3889</v>
      </c>
      <c r="H1144" s="113">
        <v>30.0</v>
      </c>
      <c r="I1144" s="110" t="s">
        <v>70</v>
      </c>
      <c r="J1144" s="112">
        <v>16590.0</v>
      </c>
      <c r="K1144" s="113" t="s">
        <v>71</v>
      </c>
      <c r="L1144" s="113"/>
      <c r="M1144" s="113"/>
      <c r="N1144" s="113"/>
      <c r="O1144" s="113"/>
      <c r="P1144" s="113"/>
      <c r="Q1144" s="113"/>
      <c r="R1144" s="113"/>
      <c r="S1144" s="113"/>
      <c r="T1144" s="113"/>
      <c r="U1144" s="113"/>
      <c r="V1144" s="113" t="s">
        <v>72</v>
      </c>
      <c r="W1144" s="112" t="s">
        <v>3696</v>
      </c>
    </row>
    <row r="1145" ht="49.5" customHeight="1">
      <c r="A1145" s="110" t="s">
        <v>4657</v>
      </c>
      <c r="B1145" s="110" t="s">
        <v>4658</v>
      </c>
      <c r="C1145" s="110" t="s">
        <v>4659</v>
      </c>
      <c r="D1145" s="110"/>
      <c r="E1145" s="111" t="s">
        <v>4660</v>
      </c>
      <c r="F1145" s="111" t="s">
        <v>4661</v>
      </c>
      <c r="G1145" s="110" t="s">
        <v>4662</v>
      </c>
      <c r="H1145" s="113">
        <v>10.0</v>
      </c>
      <c r="I1145" s="110" t="s">
        <v>70</v>
      </c>
      <c r="J1145" s="112">
        <v>17790.0</v>
      </c>
      <c r="K1145" s="113" t="s">
        <v>71</v>
      </c>
      <c r="L1145" s="113"/>
      <c r="M1145" s="113"/>
      <c r="N1145" s="113"/>
      <c r="O1145" s="113"/>
      <c r="P1145" s="113"/>
      <c r="Q1145" s="113"/>
      <c r="R1145" s="113"/>
      <c r="S1145" s="113"/>
      <c r="T1145" s="113"/>
      <c r="U1145" s="113"/>
      <c r="V1145" s="113" t="s">
        <v>72</v>
      </c>
      <c r="W1145" s="112" t="s">
        <v>3696</v>
      </c>
    </row>
    <row r="1146" ht="49.5" customHeight="1">
      <c r="A1146" s="110" t="s">
        <v>4663</v>
      </c>
      <c r="B1146" s="110" t="s">
        <v>4664</v>
      </c>
      <c r="C1146" s="110" t="s">
        <v>4665</v>
      </c>
      <c r="D1146" s="110"/>
      <c r="E1146" s="111" t="s">
        <v>4666</v>
      </c>
      <c r="F1146" s="111" t="s">
        <v>4667</v>
      </c>
      <c r="G1146" s="110" t="s">
        <v>3900</v>
      </c>
      <c r="H1146" s="113">
        <v>0.0</v>
      </c>
      <c r="I1146" s="110" t="s">
        <v>70</v>
      </c>
      <c r="J1146" s="112">
        <v>26390.0</v>
      </c>
      <c r="K1146" s="113" t="s">
        <v>71</v>
      </c>
      <c r="L1146" s="113"/>
      <c r="M1146" s="113"/>
      <c r="N1146" s="113"/>
      <c r="O1146" s="113"/>
      <c r="P1146" s="113"/>
      <c r="Q1146" s="113"/>
      <c r="R1146" s="113"/>
      <c r="S1146" s="113"/>
      <c r="T1146" s="113"/>
      <c r="U1146" s="113"/>
      <c r="V1146" s="113" t="s">
        <v>72</v>
      </c>
      <c r="W1146" s="112" t="s">
        <v>3696</v>
      </c>
    </row>
    <row r="1147" ht="49.5" customHeight="1">
      <c r="A1147" s="110" t="s">
        <v>4668</v>
      </c>
      <c r="B1147" s="110" t="s">
        <v>4669</v>
      </c>
      <c r="C1147" s="110" t="s">
        <v>4670</v>
      </c>
      <c r="D1147" s="110"/>
      <c r="E1147" s="111" t="s">
        <v>4671</v>
      </c>
      <c r="F1147" s="111" t="s">
        <v>4672</v>
      </c>
      <c r="G1147" s="110" t="s">
        <v>3900</v>
      </c>
      <c r="H1147" s="113">
        <v>10.0</v>
      </c>
      <c r="I1147" s="110" t="s">
        <v>70</v>
      </c>
      <c r="J1147" s="112">
        <v>35390.0</v>
      </c>
      <c r="K1147" s="113" t="s">
        <v>71</v>
      </c>
      <c r="L1147" s="113"/>
      <c r="M1147" s="113"/>
      <c r="N1147" s="113"/>
      <c r="O1147" s="113"/>
      <c r="P1147" s="113"/>
      <c r="Q1147" s="113"/>
      <c r="R1147" s="113"/>
      <c r="S1147" s="113"/>
      <c r="T1147" s="113"/>
      <c r="U1147" s="113"/>
      <c r="V1147" s="113" t="s">
        <v>72</v>
      </c>
      <c r="W1147" s="112" t="s">
        <v>3696</v>
      </c>
    </row>
    <row r="1148" ht="49.5" customHeight="1">
      <c r="A1148" s="110" t="s">
        <v>4673</v>
      </c>
      <c r="B1148" s="110" t="s">
        <v>4674</v>
      </c>
      <c r="C1148" s="110" t="s">
        <v>4675</v>
      </c>
      <c r="D1148" s="110"/>
      <c r="E1148" s="111" t="s">
        <v>4676</v>
      </c>
      <c r="F1148" s="111" t="s">
        <v>4677</v>
      </c>
      <c r="G1148" s="110" t="s">
        <v>4677</v>
      </c>
      <c r="H1148" s="113">
        <v>10.0</v>
      </c>
      <c r="I1148" s="110" t="s">
        <v>70</v>
      </c>
      <c r="J1148" s="112">
        <v>4790.0</v>
      </c>
      <c r="K1148" s="113" t="s">
        <v>71</v>
      </c>
      <c r="L1148" s="113"/>
      <c r="M1148" s="113"/>
      <c r="N1148" s="113"/>
      <c r="O1148" s="113"/>
      <c r="P1148" s="113"/>
      <c r="Q1148" s="113"/>
      <c r="R1148" s="113"/>
      <c r="S1148" s="113"/>
      <c r="T1148" s="113"/>
      <c r="U1148" s="113"/>
      <c r="V1148" s="113" t="s">
        <v>72</v>
      </c>
      <c r="W1148" s="112" t="s">
        <v>3696</v>
      </c>
    </row>
    <row r="1149" ht="49.5" customHeight="1">
      <c r="A1149" s="110" t="s">
        <v>3921</v>
      </c>
      <c r="B1149" s="110" t="s">
        <v>4678</v>
      </c>
      <c r="C1149" s="110" t="s">
        <v>3923</v>
      </c>
      <c r="D1149" s="110"/>
      <c r="E1149" s="111" t="s">
        <v>3924</v>
      </c>
      <c r="F1149" s="112" t="s">
        <v>4679</v>
      </c>
      <c r="G1149" s="110" t="s">
        <v>70</v>
      </c>
      <c r="H1149" s="113">
        <v>30.0</v>
      </c>
      <c r="I1149" s="110" t="s">
        <v>70</v>
      </c>
      <c r="J1149" s="112">
        <v>8690.0</v>
      </c>
      <c r="K1149" s="113" t="s">
        <v>71</v>
      </c>
      <c r="L1149" s="113"/>
      <c r="M1149" s="113"/>
      <c r="N1149" s="113"/>
      <c r="O1149" s="113"/>
      <c r="P1149" s="113"/>
      <c r="Q1149" s="113"/>
      <c r="R1149" s="113"/>
      <c r="S1149" s="113"/>
      <c r="T1149" s="113"/>
      <c r="U1149" s="113"/>
      <c r="V1149" s="110" t="s">
        <v>72</v>
      </c>
      <c r="W1149" s="112" t="s">
        <v>3696</v>
      </c>
    </row>
    <row r="1150" ht="49.5" customHeight="1">
      <c r="A1150" s="110" t="s">
        <v>4680</v>
      </c>
      <c r="B1150" s="110" t="s">
        <v>4681</v>
      </c>
      <c r="C1150" s="110" t="s">
        <v>4682</v>
      </c>
      <c r="D1150" s="110"/>
      <c r="E1150" s="111" t="s">
        <v>4683</v>
      </c>
      <c r="F1150" s="112" t="s">
        <v>4684</v>
      </c>
      <c r="G1150" s="110" t="s">
        <v>70</v>
      </c>
      <c r="H1150" s="113">
        <v>0.0</v>
      </c>
      <c r="I1150" s="110" t="s">
        <v>70</v>
      </c>
      <c r="J1150" s="112">
        <v>10390.0</v>
      </c>
      <c r="K1150" s="113" t="s">
        <v>71</v>
      </c>
      <c r="L1150" s="113"/>
      <c r="M1150" s="113"/>
      <c r="N1150" s="113"/>
      <c r="O1150" s="113"/>
      <c r="P1150" s="113"/>
      <c r="Q1150" s="113"/>
      <c r="R1150" s="113"/>
      <c r="S1150" s="113"/>
      <c r="T1150" s="113"/>
      <c r="U1150" s="113"/>
      <c r="V1150" s="110" t="s">
        <v>72</v>
      </c>
      <c r="W1150" s="112" t="s">
        <v>3696</v>
      </c>
    </row>
    <row r="1151" ht="49.5" customHeight="1">
      <c r="A1151" s="110" t="s">
        <v>4685</v>
      </c>
      <c r="B1151" s="110" t="s">
        <v>4686</v>
      </c>
      <c r="C1151" s="110" t="s">
        <v>4687</v>
      </c>
      <c r="D1151" s="110"/>
      <c r="E1151" s="111" t="s">
        <v>4688</v>
      </c>
      <c r="F1151" s="111" t="s">
        <v>4689</v>
      </c>
      <c r="G1151" s="110" t="s">
        <v>4689</v>
      </c>
      <c r="H1151" s="113">
        <v>0.0</v>
      </c>
      <c r="I1151" s="110" t="s">
        <v>70</v>
      </c>
      <c r="J1151" s="112">
        <v>53690.0</v>
      </c>
      <c r="K1151" s="113" t="s">
        <v>71</v>
      </c>
      <c r="L1151" s="113"/>
      <c r="M1151" s="113"/>
      <c r="N1151" s="113"/>
      <c r="O1151" s="113"/>
      <c r="P1151" s="113"/>
      <c r="Q1151" s="113"/>
      <c r="R1151" s="113"/>
      <c r="S1151" s="113"/>
      <c r="T1151" s="113"/>
      <c r="U1151" s="113"/>
      <c r="V1151" s="113" t="s">
        <v>72</v>
      </c>
      <c r="W1151" s="112" t="s">
        <v>3696</v>
      </c>
    </row>
    <row r="1152" ht="49.5" customHeight="1">
      <c r="A1152" s="110" t="s">
        <v>3890</v>
      </c>
      <c r="B1152" s="110" t="s">
        <v>4690</v>
      </c>
      <c r="C1152" s="110" t="s">
        <v>3892</v>
      </c>
      <c r="D1152" s="110"/>
      <c r="E1152" s="111" t="s">
        <v>3893</v>
      </c>
      <c r="F1152" s="112" t="s">
        <v>3894</v>
      </c>
      <c r="G1152" s="110" t="s">
        <v>70</v>
      </c>
      <c r="H1152" s="113">
        <v>0.0</v>
      </c>
      <c r="I1152" s="110" t="s">
        <v>70</v>
      </c>
      <c r="J1152" s="112">
        <v>25490.0</v>
      </c>
      <c r="K1152" s="113" t="s">
        <v>71</v>
      </c>
      <c r="L1152" s="113"/>
      <c r="M1152" s="113"/>
      <c r="N1152" s="113"/>
      <c r="O1152" s="113"/>
      <c r="P1152" s="113"/>
      <c r="Q1152" s="113"/>
      <c r="R1152" s="113"/>
      <c r="S1152" s="113"/>
      <c r="T1152" s="113"/>
      <c r="U1152" s="113"/>
      <c r="V1152" s="110" t="s">
        <v>72</v>
      </c>
      <c r="W1152" s="112" t="s">
        <v>3696</v>
      </c>
    </row>
    <row r="1153" ht="49.5" customHeight="1">
      <c r="A1153" s="110" t="s">
        <v>4302</v>
      </c>
      <c r="B1153" s="110" t="s">
        <v>4691</v>
      </c>
      <c r="C1153" s="110" t="s">
        <v>4304</v>
      </c>
      <c r="D1153" s="110"/>
      <c r="E1153" s="111" t="s">
        <v>4305</v>
      </c>
      <c r="F1153" s="112" t="s">
        <v>437</v>
      </c>
      <c r="G1153" s="110" t="s">
        <v>70</v>
      </c>
      <c r="H1153" s="113">
        <v>0.0</v>
      </c>
      <c r="I1153" s="110" t="s">
        <v>70</v>
      </c>
      <c r="J1153" s="112">
        <v>104990.0</v>
      </c>
      <c r="K1153" s="113" t="s">
        <v>71</v>
      </c>
      <c r="L1153" s="113"/>
      <c r="M1153" s="113"/>
      <c r="N1153" s="113"/>
      <c r="O1153" s="113"/>
      <c r="P1153" s="113"/>
      <c r="Q1153" s="113"/>
      <c r="R1153" s="113"/>
      <c r="S1153" s="113"/>
      <c r="T1153" s="113"/>
      <c r="U1153" s="113"/>
      <c r="V1153" s="110" t="s">
        <v>72</v>
      </c>
      <c r="W1153" s="112" t="s">
        <v>3696</v>
      </c>
    </row>
    <row r="1154" ht="49.5" customHeight="1">
      <c r="A1154" s="110" t="s">
        <v>63</v>
      </c>
      <c r="B1154" s="110" t="s">
        <v>4692</v>
      </c>
      <c r="C1154" s="110"/>
      <c r="D1154" s="110"/>
      <c r="E1154" s="111" t="s">
        <v>4371</v>
      </c>
      <c r="F1154" s="112" t="s">
        <v>4693</v>
      </c>
      <c r="G1154" s="110" t="s">
        <v>70</v>
      </c>
      <c r="H1154" s="113">
        <v>0.0</v>
      </c>
      <c r="I1154" s="110" t="s">
        <v>70</v>
      </c>
      <c r="J1154" s="112">
        <v>27490.0</v>
      </c>
      <c r="K1154" s="113" t="s">
        <v>71</v>
      </c>
      <c r="L1154" s="113"/>
      <c r="M1154" s="113"/>
      <c r="N1154" s="113"/>
      <c r="O1154" s="113"/>
      <c r="P1154" s="113"/>
      <c r="Q1154" s="113"/>
      <c r="R1154" s="113"/>
      <c r="S1154" s="113"/>
      <c r="T1154" s="113"/>
      <c r="U1154" s="113"/>
      <c r="V1154" s="110" t="s">
        <v>72</v>
      </c>
      <c r="W1154" s="112" t="s">
        <v>3696</v>
      </c>
    </row>
    <row r="1155" ht="49.5" customHeight="1">
      <c r="A1155" s="110" t="s">
        <v>63</v>
      </c>
      <c r="B1155" s="110" t="s">
        <v>4694</v>
      </c>
      <c r="C1155" s="110"/>
      <c r="D1155" s="110"/>
      <c r="E1155" s="112" t="s">
        <v>63</v>
      </c>
      <c r="F1155" s="111" t="s">
        <v>4695</v>
      </c>
      <c r="G1155" s="110" t="s">
        <v>70</v>
      </c>
      <c r="H1155" s="110" t="s">
        <v>3699</v>
      </c>
      <c r="I1155" s="110" t="s">
        <v>70</v>
      </c>
      <c r="J1155" s="112">
        <v>7790.0</v>
      </c>
      <c r="K1155" s="113" t="s">
        <v>71</v>
      </c>
      <c r="L1155" s="113"/>
      <c r="M1155" s="113"/>
      <c r="N1155" s="113"/>
      <c r="O1155" s="113"/>
      <c r="P1155" s="113"/>
      <c r="Q1155" s="113"/>
      <c r="R1155" s="113"/>
      <c r="S1155" s="113"/>
      <c r="T1155" s="113"/>
      <c r="U1155" s="113"/>
      <c r="V1155" s="113" t="s">
        <v>72</v>
      </c>
      <c r="W1155" s="112" t="s">
        <v>3696</v>
      </c>
    </row>
    <row r="1156" ht="49.5" customHeight="1">
      <c r="A1156" s="110" t="s">
        <v>63</v>
      </c>
      <c r="B1156" s="110" t="s">
        <v>4694</v>
      </c>
      <c r="C1156" s="110" t="s">
        <v>4696</v>
      </c>
      <c r="D1156" s="110" t="s">
        <v>4696</v>
      </c>
      <c r="E1156" s="111" t="s">
        <v>4697</v>
      </c>
      <c r="F1156" s="114" t="str">
        <f>"     "&amp;F1155</f>
        <v>     Pack Media Juvenil 2.20.17 Antideslizante</v>
      </c>
      <c r="G1156" s="110" t="s">
        <v>2402</v>
      </c>
      <c r="H1156" s="113">
        <v>0.0</v>
      </c>
      <c r="I1156" s="110" t="s">
        <v>70</v>
      </c>
      <c r="J1156" s="112">
        <f>J1155</f>
        <v>7790</v>
      </c>
      <c r="K1156" s="110" t="str">
        <f>K1155&amp;"     "</f>
        <v>$     </v>
      </c>
      <c r="L1156" s="110" t="str">
        <f t="shared" ref="L1156:U1156" si="727">L1155</f>
        <v/>
      </c>
      <c r="M1156" s="110" t="str">
        <f t="shared" si="727"/>
        <v/>
      </c>
      <c r="N1156" s="110" t="str">
        <f t="shared" si="727"/>
        <v/>
      </c>
      <c r="O1156" s="110" t="str">
        <f t="shared" si="727"/>
        <v/>
      </c>
      <c r="P1156" s="110" t="str">
        <f t="shared" si="727"/>
        <v/>
      </c>
      <c r="Q1156" s="110" t="str">
        <f t="shared" si="727"/>
        <v/>
      </c>
      <c r="R1156" s="110" t="str">
        <f t="shared" si="727"/>
        <v/>
      </c>
      <c r="S1156" s="110" t="str">
        <f t="shared" si="727"/>
        <v/>
      </c>
      <c r="T1156" s="110" t="str">
        <f t="shared" si="727"/>
        <v/>
      </c>
      <c r="U1156" s="110" t="str">
        <f t="shared" si="727"/>
        <v/>
      </c>
      <c r="V1156" s="110" t="str">
        <f t="shared" ref="V1156:W1156" si="728">V1155&amp;"     "</f>
        <v>Nuevo     </v>
      </c>
      <c r="W1156" s="112" t="str">
        <f t="shared" si="728"/>
        <v>Inactiva     </v>
      </c>
    </row>
    <row r="1157" ht="49.5" customHeight="1">
      <c r="A1157" s="110" t="s">
        <v>63</v>
      </c>
      <c r="B1157" s="110" t="s">
        <v>4694</v>
      </c>
      <c r="C1157" s="110" t="s">
        <v>4698</v>
      </c>
      <c r="D1157" s="110" t="s">
        <v>4698</v>
      </c>
      <c r="E1157" s="111" t="s">
        <v>4699</v>
      </c>
      <c r="F1157" s="114" t="str">
        <f>"     "&amp;F1155</f>
        <v>     Pack Media Juvenil 2.20.17 Antideslizante</v>
      </c>
      <c r="G1157" s="110" t="s">
        <v>886</v>
      </c>
      <c r="H1157" s="113">
        <v>0.0</v>
      </c>
      <c r="I1157" s="110" t="s">
        <v>70</v>
      </c>
      <c r="J1157" s="112">
        <f>J1155</f>
        <v>7790</v>
      </c>
      <c r="K1157" s="110" t="str">
        <f>K1155&amp;"     "</f>
        <v>$     </v>
      </c>
      <c r="L1157" s="110" t="str">
        <f t="shared" ref="L1157:U1157" si="729">L1155</f>
        <v/>
      </c>
      <c r="M1157" s="110" t="str">
        <f t="shared" si="729"/>
        <v/>
      </c>
      <c r="N1157" s="110" t="str">
        <f t="shared" si="729"/>
        <v/>
      </c>
      <c r="O1157" s="110" t="str">
        <f t="shared" si="729"/>
        <v/>
      </c>
      <c r="P1157" s="110" t="str">
        <f t="shared" si="729"/>
        <v/>
      </c>
      <c r="Q1157" s="110" t="str">
        <f t="shared" si="729"/>
        <v/>
      </c>
      <c r="R1157" s="110" t="str">
        <f t="shared" si="729"/>
        <v/>
      </c>
      <c r="S1157" s="110" t="str">
        <f t="shared" si="729"/>
        <v/>
      </c>
      <c r="T1157" s="110" t="str">
        <f t="shared" si="729"/>
        <v/>
      </c>
      <c r="U1157" s="110" t="str">
        <f t="shared" si="729"/>
        <v/>
      </c>
      <c r="V1157" s="110" t="str">
        <f t="shared" ref="V1157:W1157" si="730">V1155&amp;"     "</f>
        <v>Nuevo     </v>
      </c>
      <c r="W1157" s="112" t="str">
        <f t="shared" si="730"/>
        <v>Inactiva     </v>
      </c>
    </row>
    <row r="1158" ht="49.5" customHeight="1">
      <c r="A1158" s="110" t="s">
        <v>63</v>
      </c>
      <c r="B1158" s="110" t="s">
        <v>4694</v>
      </c>
      <c r="C1158" s="110" t="s">
        <v>4700</v>
      </c>
      <c r="D1158" s="110" t="s">
        <v>4700</v>
      </c>
      <c r="E1158" s="111" t="s">
        <v>4701</v>
      </c>
      <c r="F1158" s="114" t="str">
        <f>"     "&amp;F1155</f>
        <v>     Pack Media Juvenil 2.20.17 Antideslizante</v>
      </c>
      <c r="G1158" s="110" t="s">
        <v>4702</v>
      </c>
      <c r="H1158" s="113">
        <v>0.0</v>
      </c>
      <c r="I1158" s="110" t="s">
        <v>70</v>
      </c>
      <c r="J1158" s="112">
        <f>J1155</f>
        <v>7790</v>
      </c>
      <c r="K1158" s="110" t="str">
        <f>K1155&amp;"     "</f>
        <v>$     </v>
      </c>
      <c r="L1158" s="110" t="str">
        <f t="shared" ref="L1158:U1158" si="731">L1155</f>
        <v/>
      </c>
      <c r="M1158" s="110" t="str">
        <f t="shared" si="731"/>
        <v/>
      </c>
      <c r="N1158" s="110" t="str">
        <f t="shared" si="731"/>
        <v/>
      </c>
      <c r="O1158" s="110" t="str">
        <f t="shared" si="731"/>
        <v/>
      </c>
      <c r="P1158" s="110" t="str">
        <f t="shared" si="731"/>
        <v/>
      </c>
      <c r="Q1158" s="110" t="str">
        <f t="shared" si="731"/>
        <v/>
      </c>
      <c r="R1158" s="110" t="str">
        <f t="shared" si="731"/>
        <v/>
      </c>
      <c r="S1158" s="110" t="str">
        <f t="shared" si="731"/>
        <v/>
      </c>
      <c r="T1158" s="110" t="str">
        <f t="shared" si="731"/>
        <v/>
      </c>
      <c r="U1158" s="110" t="str">
        <f t="shared" si="731"/>
        <v/>
      </c>
      <c r="V1158" s="110" t="str">
        <f t="shared" ref="V1158:W1158" si="732">V1155&amp;"     "</f>
        <v>Nuevo     </v>
      </c>
      <c r="W1158" s="112" t="str">
        <f t="shared" si="732"/>
        <v>Inactiva     </v>
      </c>
    </row>
    <row r="1159" ht="49.5" customHeight="1">
      <c r="A1159" s="110" t="s">
        <v>4703</v>
      </c>
      <c r="B1159" s="110" t="s">
        <v>4704</v>
      </c>
      <c r="C1159" s="110" t="s">
        <v>4705</v>
      </c>
      <c r="D1159" s="110"/>
      <c r="E1159" s="111" t="s">
        <v>4706</v>
      </c>
      <c r="F1159" s="111" t="s">
        <v>4707</v>
      </c>
      <c r="G1159" s="110" t="s">
        <v>84</v>
      </c>
      <c r="H1159" s="113">
        <v>10.0</v>
      </c>
      <c r="I1159" s="110" t="s">
        <v>70</v>
      </c>
      <c r="J1159" s="112">
        <v>37690.0</v>
      </c>
      <c r="K1159" s="113" t="s">
        <v>71</v>
      </c>
      <c r="L1159" s="113"/>
      <c r="M1159" s="113"/>
      <c r="N1159" s="113"/>
      <c r="O1159" s="113"/>
      <c r="P1159" s="113"/>
      <c r="Q1159" s="113"/>
      <c r="R1159" s="113"/>
      <c r="S1159" s="113"/>
      <c r="T1159" s="113"/>
      <c r="U1159" s="113"/>
      <c r="V1159" s="113" t="s">
        <v>72</v>
      </c>
      <c r="W1159" s="112" t="s">
        <v>3696</v>
      </c>
    </row>
    <row r="1160" ht="49.5" customHeight="1">
      <c r="A1160" s="110" t="s">
        <v>4708</v>
      </c>
      <c r="B1160" s="110" t="s">
        <v>4709</v>
      </c>
      <c r="C1160" s="110" t="s">
        <v>4710</v>
      </c>
      <c r="D1160" s="110"/>
      <c r="E1160" s="111" t="s">
        <v>4711</v>
      </c>
      <c r="F1160" s="111" t="s">
        <v>4712</v>
      </c>
      <c r="G1160" s="110" t="s">
        <v>144</v>
      </c>
      <c r="H1160" s="113">
        <v>10.0</v>
      </c>
      <c r="I1160" s="110" t="s">
        <v>70</v>
      </c>
      <c r="J1160" s="112">
        <v>5390.0</v>
      </c>
      <c r="K1160" s="113" t="s">
        <v>71</v>
      </c>
      <c r="L1160" s="113"/>
      <c r="M1160" s="113"/>
      <c r="N1160" s="113"/>
      <c r="O1160" s="113"/>
      <c r="P1160" s="113"/>
      <c r="Q1160" s="113"/>
      <c r="R1160" s="113"/>
      <c r="S1160" s="113"/>
      <c r="T1160" s="113"/>
      <c r="U1160" s="113"/>
      <c r="V1160" s="113" t="s">
        <v>72</v>
      </c>
      <c r="W1160" s="112" t="s">
        <v>3696</v>
      </c>
    </row>
    <row r="1161" ht="49.5" customHeight="1">
      <c r="A1161" s="110" t="s">
        <v>4713</v>
      </c>
      <c r="B1161" s="110" t="s">
        <v>4714</v>
      </c>
      <c r="C1161" s="110" t="s">
        <v>4715</v>
      </c>
      <c r="D1161" s="110"/>
      <c r="E1161" s="111" t="s">
        <v>4716</v>
      </c>
      <c r="F1161" s="111" t="s">
        <v>4717</v>
      </c>
      <c r="G1161" s="110" t="s">
        <v>4718</v>
      </c>
      <c r="H1161" s="113">
        <v>10.0</v>
      </c>
      <c r="I1161" s="110" t="s">
        <v>70</v>
      </c>
      <c r="J1161" s="112">
        <v>9490.0</v>
      </c>
      <c r="K1161" s="113" t="s">
        <v>71</v>
      </c>
      <c r="L1161" s="113"/>
      <c r="M1161" s="113"/>
      <c r="N1161" s="113"/>
      <c r="O1161" s="113"/>
      <c r="P1161" s="113"/>
      <c r="Q1161" s="113"/>
      <c r="R1161" s="113"/>
      <c r="S1161" s="113"/>
      <c r="T1161" s="113"/>
      <c r="U1161" s="113"/>
      <c r="V1161" s="113" t="s">
        <v>72</v>
      </c>
      <c r="W1161" s="112" t="s">
        <v>3696</v>
      </c>
    </row>
    <row r="1162" ht="49.5" customHeight="1">
      <c r="A1162" s="110" t="s">
        <v>4719</v>
      </c>
      <c r="B1162" s="110" t="s">
        <v>4720</v>
      </c>
      <c r="C1162" s="110" t="s">
        <v>4721</v>
      </c>
      <c r="D1162" s="110"/>
      <c r="E1162" s="111" t="s">
        <v>4722</v>
      </c>
      <c r="F1162" s="111" t="s">
        <v>4723</v>
      </c>
      <c r="G1162" s="110" t="s">
        <v>1758</v>
      </c>
      <c r="H1162" s="113">
        <v>10.0</v>
      </c>
      <c r="I1162" s="110" t="s">
        <v>70</v>
      </c>
      <c r="J1162" s="112">
        <v>53290.0</v>
      </c>
      <c r="K1162" s="113" t="s">
        <v>71</v>
      </c>
      <c r="L1162" s="113"/>
      <c r="M1162" s="113"/>
      <c r="N1162" s="113"/>
      <c r="O1162" s="113"/>
      <c r="P1162" s="113"/>
      <c r="Q1162" s="113"/>
      <c r="R1162" s="113"/>
      <c r="S1162" s="113"/>
      <c r="T1162" s="113"/>
      <c r="U1162" s="113"/>
      <c r="V1162" s="113" t="s">
        <v>72</v>
      </c>
      <c r="W1162" s="112" t="s">
        <v>3696</v>
      </c>
    </row>
    <row r="1163" ht="49.5" customHeight="1">
      <c r="A1163" s="110" t="s">
        <v>63</v>
      </c>
      <c r="B1163" s="110" t="s">
        <v>4724</v>
      </c>
      <c r="C1163" s="110"/>
      <c r="D1163" s="110"/>
      <c r="E1163" s="112" t="s">
        <v>63</v>
      </c>
      <c r="F1163" s="111" t="s">
        <v>4725</v>
      </c>
      <c r="G1163" s="110" t="s">
        <v>70</v>
      </c>
      <c r="H1163" s="110" t="s">
        <v>3699</v>
      </c>
      <c r="I1163" s="110" t="s">
        <v>70</v>
      </c>
      <c r="J1163" s="112">
        <v>10490.0</v>
      </c>
      <c r="K1163" s="113" t="s">
        <v>71</v>
      </c>
      <c r="L1163" s="113"/>
      <c r="M1163" s="113"/>
      <c r="N1163" s="113"/>
      <c r="O1163" s="113"/>
      <c r="P1163" s="113"/>
      <c r="Q1163" s="113"/>
      <c r="R1163" s="113"/>
      <c r="S1163" s="113"/>
      <c r="T1163" s="113"/>
      <c r="U1163" s="113"/>
      <c r="V1163" s="113" t="s">
        <v>72</v>
      </c>
      <c r="W1163" s="112" t="s">
        <v>3696</v>
      </c>
    </row>
    <row r="1164" ht="49.5" customHeight="1">
      <c r="A1164" s="110" t="s">
        <v>63</v>
      </c>
      <c r="B1164" s="110" t="s">
        <v>4724</v>
      </c>
      <c r="C1164" s="110" t="s">
        <v>4726</v>
      </c>
      <c r="D1164" s="110" t="s">
        <v>4726</v>
      </c>
      <c r="E1164" s="111" t="s">
        <v>4727</v>
      </c>
      <c r="F1164" s="114" t="str">
        <f>"     "&amp;F1163</f>
        <v>     Tripack Media Adulto Drb 2.20.17 - Antideslizante Juv</v>
      </c>
      <c r="G1164" s="110" t="s">
        <v>4728</v>
      </c>
      <c r="H1164" s="113">
        <v>0.0</v>
      </c>
      <c r="I1164" s="110" t="s">
        <v>70</v>
      </c>
      <c r="J1164" s="112">
        <f>J1163</f>
        <v>10490</v>
      </c>
      <c r="K1164" s="110" t="str">
        <f>K1163&amp;"     "</f>
        <v>$     </v>
      </c>
      <c r="L1164" s="110" t="str">
        <f t="shared" ref="L1164:U1164" si="733">L1163</f>
        <v/>
      </c>
      <c r="M1164" s="110" t="str">
        <f t="shared" si="733"/>
        <v/>
      </c>
      <c r="N1164" s="110" t="str">
        <f t="shared" si="733"/>
        <v/>
      </c>
      <c r="O1164" s="110" t="str">
        <f t="shared" si="733"/>
        <v/>
      </c>
      <c r="P1164" s="110" t="str">
        <f t="shared" si="733"/>
        <v/>
      </c>
      <c r="Q1164" s="110" t="str">
        <f t="shared" si="733"/>
        <v/>
      </c>
      <c r="R1164" s="110" t="str">
        <f t="shared" si="733"/>
        <v/>
      </c>
      <c r="S1164" s="110" t="str">
        <f t="shared" si="733"/>
        <v/>
      </c>
      <c r="T1164" s="110" t="str">
        <f t="shared" si="733"/>
        <v/>
      </c>
      <c r="U1164" s="110" t="str">
        <f t="shared" si="733"/>
        <v/>
      </c>
      <c r="V1164" s="110" t="str">
        <f t="shared" ref="V1164:W1164" si="734">V1163&amp;"     "</f>
        <v>Nuevo     </v>
      </c>
      <c r="W1164" s="112" t="str">
        <f t="shared" si="734"/>
        <v>Inactiva     </v>
      </c>
    </row>
    <row r="1165" ht="49.5" customHeight="1">
      <c r="A1165" s="110" t="s">
        <v>63</v>
      </c>
      <c r="B1165" s="110" t="s">
        <v>4724</v>
      </c>
      <c r="C1165" s="110" t="s">
        <v>4729</v>
      </c>
      <c r="D1165" s="110" t="s">
        <v>4729</v>
      </c>
      <c r="E1165" s="111" t="s">
        <v>4730</v>
      </c>
      <c r="F1165" s="114" t="str">
        <f>"     "&amp;F1163</f>
        <v>     Tripack Media Adulto Drb 2.20.17 - Antideslizante Juv</v>
      </c>
      <c r="G1165" s="110" t="s">
        <v>900</v>
      </c>
      <c r="H1165" s="113">
        <v>0.0</v>
      </c>
      <c r="I1165" s="110" t="s">
        <v>70</v>
      </c>
      <c r="J1165" s="112">
        <f>J1163</f>
        <v>10490</v>
      </c>
      <c r="K1165" s="110" t="str">
        <f>K1163&amp;"     "</f>
        <v>$     </v>
      </c>
      <c r="L1165" s="110" t="str">
        <f t="shared" ref="L1165:U1165" si="735">L1163</f>
        <v/>
      </c>
      <c r="M1165" s="110" t="str">
        <f t="shared" si="735"/>
        <v/>
      </c>
      <c r="N1165" s="110" t="str">
        <f t="shared" si="735"/>
        <v/>
      </c>
      <c r="O1165" s="110" t="str">
        <f t="shared" si="735"/>
        <v/>
      </c>
      <c r="P1165" s="110" t="str">
        <f t="shared" si="735"/>
        <v/>
      </c>
      <c r="Q1165" s="110" t="str">
        <f t="shared" si="735"/>
        <v/>
      </c>
      <c r="R1165" s="110" t="str">
        <f t="shared" si="735"/>
        <v/>
      </c>
      <c r="S1165" s="110" t="str">
        <f t="shared" si="735"/>
        <v/>
      </c>
      <c r="T1165" s="110" t="str">
        <f t="shared" si="735"/>
        <v/>
      </c>
      <c r="U1165" s="110" t="str">
        <f t="shared" si="735"/>
        <v/>
      </c>
      <c r="V1165" s="110" t="str">
        <f t="shared" ref="V1165:W1165" si="736">V1163&amp;"     "</f>
        <v>Nuevo     </v>
      </c>
      <c r="W1165" s="112" t="str">
        <f t="shared" si="736"/>
        <v>Inactiva     </v>
      </c>
    </row>
    <row r="1166" ht="49.5" customHeight="1">
      <c r="A1166" s="110" t="s">
        <v>63</v>
      </c>
      <c r="B1166" s="110" t="s">
        <v>4724</v>
      </c>
      <c r="C1166" s="110" t="s">
        <v>4731</v>
      </c>
      <c r="D1166" s="110" t="s">
        <v>4731</v>
      </c>
      <c r="E1166" s="111" t="s">
        <v>4732</v>
      </c>
      <c r="F1166" s="114" t="str">
        <f>"     "&amp;F1163</f>
        <v>     Tripack Media Adulto Drb 2.20.17 - Antideslizante Juv</v>
      </c>
      <c r="G1166" s="110" t="s">
        <v>4733</v>
      </c>
      <c r="H1166" s="113">
        <v>0.0</v>
      </c>
      <c r="I1166" s="110" t="s">
        <v>70</v>
      </c>
      <c r="J1166" s="112">
        <f>J1163</f>
        <v>10490</v>
      </c>
      <c r="K1166" s="110" t="str">
        <f>K1163&amp;"     "</f>
        <v>$     </v>
      </c>
      <c r="L1166" s="110" t="str">
        <f t="shared" ref="L1166:U1166" si="737">L1163</f>
        <v/>
      </c>
      <c r="M1166" s="110" t="str">
        <f t="shared" si="737"/>
        <v/>
      </c>
      <c r="N1166" s="110" t="str">
        <f t="shared" si="737"/>
        <v/>
      </c>
      <c r="O1166" s="110" t="str">
        <f t="shared" si="737"/>
        <v/>
      </c>
      <c r="P1166" s="110" t="str">
        <f t="shared" si="737"/>
        <v/>
      </c>
      <c r="Q1166" s="110" t="str">
        <f t="shared" si="737"/>
        <v/>
      </c>
      <c r="R1166" s="110" t="str">
        <f t="shared" si="737"/>
        <v/>
      </c>
      <c r="S1166" s="110" t="str">
        <f t="shared" si="737"/>
        <v/>
      </c>
      <c r="T1166" s="110" t="str">
        <f t="shared" si="737"/>
        <v/>
      </c>
      <c r="U1166" s="110" t="str">
        <f t="shared" si="737"/>
        <v/>
      </c>
      <c r="V1166" s="110" t="str">
        <f t="shared" ref="V1166:W1166" si="738">V1163&amp;"     "</f>
        <v>Nuevo     </v>
      </c>
      <c r="W1166" s="112" t="str">
        <f t="shared" si="738"/>
        <v>Inactiva     </v>
      </c>
    </row>
    <row r="1167" ht="49.5" customHeight="1">
      <c r="A1167" s="110" t="s">
        <v>63</v>
      </c>
      <c r="B1167" s="110" t="s">
        <v>4734</v>
      </c>
      <c r="C1167" s="110"/>
      <c r="D1167" s="110"/>
      <c r="E1167" s="112" t="s">
        <v>63</v>
      </c>
      <c r="F1167" s="111" t="s">
        <v>4735</v>
      </c>
      <c r="G1167" s="110" t="s">
        <v>70</v>
      </c>
      <c r="H1167" s="110" t="s">
        <v>3699</v>
      </c>
      <c r="I1167" s="110" t="s">
        <v>70</v>
      </c>
      <c r="J1167" s="112">
        <v>10990.0</v>
      </c>
      <c r="K1167" s="113" t="s">
        <v>71</v>
      </c>
      <c r="L1167" s="113"/>
      <c r="M1167" s="113"/>
      <c r="N1167" s="113"/>
      <c r="O1167" s="113"/>
      <c r="P1167" s="113"/>
      <c r="Q1167" s="113"/>
      <c r="R1167" s="113"/>
      <c r="S1167" s="113"/>
      <c r="T1167" s="113"/>
      <c r="U1167" s="113"/>
      <c r="V1167" s="113" t="s">
        <v>72</v>
      </c>
      <c r="W1167" s="112" t="s">
        <v>3696</v>
      </c>
    </row>
    <row r="1168" ht="49.5" customHeight="1">
      <c r="A1168" s="110" t="s">
        <v>63</v>
      </c>
      <c r="B1168" s="110" t="s">
        <v>4734</v>
      </c>
      <c r="C1168" s="110" t="s">
        <v>4736</v>
      </c>
      <c r="D1168" s="110" t="s">
        <v>4736</v>
      </c>
      <c r="E1168" s="111" t="s">
        <v>4737</v>
      </c>
      <c r="F1168" s="114" t="str">
        <f>"     "&amp;F1167</f>
        <v>     Tripack Media Adulto Drb 2.20.16 - Antideslizante</v>
      </c>
      <c r="G1168" s="110" t="s">
        <v>4738</v>
      </c>
      <c r="H1168" s="113">
        <v>0.0</v>
      </c>
      <c r="I1168" s="110" t="s">
        <v>70</v>
      </c>
      <c r="J1168" s="112">
        <f>J1167</f>
        <v>10990</v>
      </c>
      <c r="K1168" s="110" t="str">
        <f>K1167&amp;"     "</f>
        <v>$     </v>
      </c>
      <c r="L1168" s="110" t="str">
        <f t="shared" ref="L1168:U1168" si="739">L1167</f>
        <v/>
      </c>
      <c r="M1168" s="110" t="str">
        <f t="shared" si="739"/>
        <v/>
      </c>
      <c r="N1168" s="110" t="str">
        <f t="shared" si="739"/>
        <v/>
      </c>
      <c r="O1168" s="110" t="str">
        <f t="shared" si="739"/>
        <v/>
      </c>
      <c r="P1168" s="110" t="str">
        <f t="shared" si="739"/>
        <v/>
      </c>
      <c r="Q1168" s="110" t="str">
        <f t="shared" si="739"/>
        <v/>
      </c>
      <c r="R1168" s="110" t="str">
        <f t="shared" si="739"/>
        <v/>
      </c>
      <c r="S1168" s="110" t="str">
        <f t="shared" si="739"/>
        <v/>
      </c>
      <c r="T1168" s="110" t="str">
        <f t="shared" si="739"/>
        <v/>
      </c>
      <c r="U1168" s="110" t="str">
        <f t="shared" si="739"/>
        <v/>
      </c>
      <c r="V1168" s="110" t="str">
        <f t="shared" ref="V1168:W1168" si="740">V1167&amp;"     "</f>
        <v>Nuevo     </v>
      </c>
      <c r="W1168" s="112" t="str">
        <f t="shared" si="740"/>
        <v>Inactiva     </v>
      </c>
    </row>
    <row r="1169" ht="49.5" customHeight="1">
      <c r="A1169" s="110" t="s">
        <v>63</v>
      </c>
      <c r="B1169" s="110" t="s">
        <v>4734</v>
      </c>
      <c r="C1169" s="110" t="s">
        <v>4739</v>
      </c>
      <c r="D1169" s="110" t="s">
        <v>4739</v>
      </c>
      <c r="E1169" s="111" t="s">
        <v>4740</v>
      </c>
      <c r="F1169" s="114" t="str">
        <f>"     "&amp;F1167</f>
        <v>     Tripack Media Adulto Drb 2.20.16 - Antideslizante</v>
      </c>
      <c r="G1169" s="110" t="s">
        <v>4741</v>
      </c>
      <c r="H1169" s="113">
        <v>0.0</v>
      </c>
      <c r="I1169" s="110" t="s">
        <v>70</v>
      </c>
      <c r="J1169" s="112">
        <f>J1167</f>
        <v>10990</v>
      </c>
      <c r="K1169" s="110" t="str">
        <f>K1167&amp;"     "</f>
        <v>$     </v>
      </c>
      <c r="L1169" s="110" t="str">
        <f t="shared" ref="L1169:U1169" si="741">L1167</f>
        <v/>
      </c>
      <c r="M1169" s="110" t="str">
        <f t="shared" si="741"/>
        <v/>
      </c>
      <c r="N1169" s="110" t="str">
        <f t="shared" si="741"/>
        <v/>
      </c>
      <c r="O1169" s="110" t="str">
        <f t="shared" si="741"/>
        <v/>
      </c>
      <c r="P1169" s="110" t="str">
        <f t="shared" si="741"/>
        <v/>
      </c>
      <c r="Q1169" s="110" t="str">
        <f t="shared" si="741"/>
        <v/>
      </c>
      <c r="R1169" s="110" t="str">
        <f t="shared" si="741"/>
        <v/>
      </c>
      <c r="S1169" s="110" t="str">
        <f t="shared" si="741"/>
        <v/>
      </c>
      <c r="T1169" s="110" t="str">
        <f t="shared" si="741"/>
        <v/>
      </c>
      <c r="U1169" s="110" t="str">
        <f t="shared" si="741"/>
        <v/>
      </c>
      <c r="V1169" s="110" t="str">
        <f t="shared" ref="V1169:W1169" si="742">V1167&amp;"     "</f>
        <v>Nuevo     </v>
      </c>
      <c r="W1169" s="112" t="str">
        <f t="shared" si="742"/>
        <v>Inactiva     </v>
      </c>
    </row>
    <row r="1170" ht="49.5" customHeight="1">
      <c r="A1170" s="110" t="s">
        <v>63</v>
      </c>
      <c r="B1170" s="110" t="s">
        <v>4734</v>
      </c>
      <c r="C1170" s="110" t="s">
        <v>4742</v>
      </c>
      <c r="D1170" s="110" t="s">
        <v>4742</v>
      </c>
      <c r="E1170" s="111" t="s">
        <v>4743</v>
      </c>
      <c r="F1170" s="114" t="str">
        <f>"     "&amp;F1167</f>
        <v>     Tripack Media Adulto Drb 2.20.16 - Antideslizante</v>
      </c>
      <c r="G1170" s="110" t="s">
        <v>4744</v>
      </c>
      <c r="H1170" s="113">
        <v>0.0</v>
      </c>
      <c r="I1170" s="110" t="s">
        <v>70</v>
      </c>
      <c r="J1170" s="112">
        <f>J1167</f>
        <v>10990</v>
      </c>
      <c r="K1170" s="110" t="str">
        <f>K1167&amp;"     "</f>
        <v>$     </v>
      </c>
      <c r="L1170" s="110" t="str">
        <f t="shared" ref="L1170:U1170" si="743">L1167</f>
        <v/>
      </c>
      <c r="M1170" s="110" t="str">
        <f t="shared" si="743"/>
        <v/>
      </c>
      <c r="N1170" s="110" t="str">
        <f t="shared" si="743"/>
        <v/>
      </c>
      <c r="O1170" s="110" t="str">
        <f t="shared" si="743"/>
        <v/>
      </c>
      <c r="P1170" s="110" t="str">
        <f t="shared" si="743"/>
        <v/>
      </c>
      <c r="Q1170" s="110" t="str">
        <f t="shared" si="743"/>
        <v/>
      </c>
      <c r="R1170" s="110" t="str">
        <f t="shared" si="743"/>
        <v/>
      </c>
      <c r="S1170" s="110" t="str">
        <f t="shared" si="743"/>
        <v/>
      </c>
      <c r="T1170" s="110" t="str">
        <f t="shared" si="743"/>
        <v/>
      </c>
      <c r="U1170" s="110" t="str">
        <f t="shared" si="743"/>
        <v/>
      </c>
      <c r="V1170" s="110" t="str">
        <f t="shared" ref="V1170:W1170" si="744">V1167&amp;"     "</f>
        <v>Nuevo     </v>
      </c>
      <c r="W1170" s="112" t="str">
        <f t="shared" si="744"/>
        <v>Inactiva     </v>
      </c>
    </row>
    <row r="1171" ht="49.5" customHeight="1">
      <c r="A1171" s="110" t="s">
        <v>4745</v>
      </c>
      <c r="B1171" s="110" t="s">
        <v>4746</v>
      </c>
      <c r="C1171" s="110" t="s">
        <v>4747</v>
      </c>
      <c r="D1171" s="110"/>
      <c r="E1171" s="111" t="s">
        <v>4748</v>
      </c>
      <c r="F1171" s="111" t="s">
        <v>4749</v>
      </c>
      <c r="G1171" s="110" t="s">
        <v>4749</v>
      </c>
      <c r="H1171" s="113">
        <v>10.0</v>
      </c>
      <c r="I1171" s="110" t="s">
        <v>70</v>
      </c>
      <c r="J1171" s="112">
        <v>22490.0</v>
      </c>
      <c r="K1171" s="113" t="s">
        <v>71</v>
      </c>
      <c r="L1171" s="113"/>
      <c r="M1171" s="113"/>
      <c r="N1171" s="113"/>
      <c r="O1171" s="113"/>
      <c r="P1171" s="113"/>
      <c r="Q1171" s="113"/>
      <c r="R1171" s="113"/>
      <c r="S1171" s="113"/>
      <c r="T1171" s="113"/>
      <c r="U1171" s="113"/>
      <c r="V1171" s="113" t="s">
        <v>72</v>
      </c>
      <c r="W1171" s="112" t="s">
        <v>3696</v>
      </c>
    </row>
    <row r="1172" ht="49.5" customHeight="1">
      <c r="A1172" s="110" t="s">
        <v>4750</v>
      </c>
      <c r="B1172" s="110" t="s">
        <v>4751</v>
      </c>
      <c r="C1172" s="110" t="s">
        <v>4752</v>
      </c>
      <c r="D1172" s="110"/>
      <c r="E1172" s="111" t="s">
        <v>4753</v>
      </c>
      <c r="F1172" s="111" t="s">
        <v>4754</v>
      </c>
      <c r="G1172" s="110" t="s">
        <v>165</v>
      </c>
      <c r="H1172" s="113">
        <v>1.0</v>
      </c>
      <c r="I1172" s="110" t="s">
        <v>70</v>
      </c>
      <c r="J1172" s="112">
        <v>36290.0</v>
      </c>
      <c r="K1172" s="113" t="s">
        <v>71</v>
      </c>
      <c r="L1172" s="113"/>
      <c r="M1172" s="113"/>
      <c r="N1172" s="113"/>
      <c r="O1172" s="113"/>
      <c r="P1172" s="113"/>
      <c r="Q1172" s="113"/>
      <c r="R1172" s="113"/>
      <c r="S1172" s="113"/>
      <c r="T1172" s="113"/>
      <c r="U1172" s="113"/>
      <c r="V1172" s="113" t="s">
        <v>72</v>
      </c>
      <c r="W1172" s="112" t="s">
        <v>3696</v>
      </c>
    </row>
    <row r="1173" ht="49.5" customHeight="1">
      <c r="A1173" s="110" t="s">
        <v>4133</v>
      </c>
      <c r="B1173" s="110" t="s">
        <v>4755</v>
      </c>
      <c r="C1173" s="110" t="s">
        <v>4135</v>
      </c>
      <c r="D1173" s="110"/>
      <c r="E1173" s="111" t="s">
        <v>4136</v>
      </c>
      <c r="F1173" s="111" t="s">
        <v>4756</v>
      </c>
      <c r="G1173" s="110" t="s">
        <v>2908</v>
      </c>
      <c r="H1173" s="113">
        <v>1.0</v>
      </c>
      <c r="I1173" s="110" t="s">
        <v>70</v>
      </c>
      <c r="J1173" s="112">
        <v>35290.0</v>
      </c>
      <c r="K1173" s="113" t="s">
        <v>71</v>
      </c>
      <c r="L1173" s="113"/>
      <c r="M1173" s="113"/>
      <c r="N1173" s="113"/>
      <c r="O1173" s="113"/>
      <c r="P1173" s="113"/>
      <c r="Q1173" s="113"/>
      <c r="R1173" s="113"/>
      <c r="S1173" s="113"/>
      <c r="T1173" s="113"/>
      <c r="U1173" s="113"/>
      <c r="V1173" s="113" t="s">
        <v>72</v>
      </c>
      <c r="W1173" s="112" t="s">
        <v>3696</v>
      </c>
    </row>
    <row r="1174" ht="49.5" customHeight="1">
      <c r="A1174" s="110" t="s">
        <v>4757</v>
      </c>
      <c r="B1174" s="110" t="s">
        <v>4758</v>
      </c>
      <c r="C1174" s="110" t="s">
        <v>4759</v>
      </c>
      <c r="D1174" s="110"/>
      <c r="E1174" s="111" t="s">
        <v>4760</v>
      </c>
      <c r="F1174" s="111" t="s">
        <v>4761</v>
      </c>
      <c r="G1174" s="110" t="s">
        <v>165</v>
      </c>
      <c r="H1174" s="113">
        <v>1.0</v>
      </c>
      <c r="I1174" s="110" t="s">
        <v>70</v>
      </c>
      <c r="J1174" s="112">
        <v>31290.0</v>
      </c>
      <c r="K1174" s="113" t="s">
        <v>71</v>
      </c>
      <c r="L1174" s="113"/>
      <c r="M1174" s="113"/>
      <c r="N1174" s="113"/>
      <c r="O1174" s="113"/>
      <c r="P1174" s="113"/>
      <c r="Q1174" s="113"/>
      <c r="R1174" s="113"/>
      <c r="S1174" s="113"/>
      <c r="T1174" s="113"/>
      <c r="U1174" s="113"/>
      <c r="V1174" s="113" t="s">
        <v>72</v>
      </c>
      <c r="W1174" s="112" t="s">
        <v>3696</v>
      </c>
    </row>
    <row r="1175" ht="49.5" customHeight="1">
      <c r="A1175" s="110" t="s">
        <v>4762</v>
      </c>
      <c r="B1175" s="110" t="s">
        <v>4763</v>
      </c>
      <c r="C1175" s="110" t="s">
        <v>4764</v>
      </c>
      <c r="D1175" s="110"/>
      <c r="E1175" s="111" t="s">
        <v>4765</v>
      </c>
      <c r="F1175" s="111" t="s">
        <v>4766</v>
      </c>
      <c r="G1175" s="110" t="s">
        <v>4766</v>
      </c>
      <c r="H1175" s="113">
        <v>10.0</v>
      </c>
      <c r="I1175" s="110" t="s">
        <v>70</v>
      </c>
      <c r="J1175" s="112">
        <v>24590.0</v>
      </c>
      <c r="K1175" s="113" t="s">
        <v>71</v>
      </c>
      <c r="L1175" s="113"/>
      <c r="M1175" s="113"/>
      <c r="N1175" s="113"/>
      <c r="O1175" s="113"/>
      <c r="P1175" s="113"/>
      <c r="Q1175" s="113"/>
      <c r="R1175" s="113"/>
      <c r="S1175" s="113"/>
      <c r="T1175" s="113"/>
      <c r="U1175" s="113"/>
      <c r="V1175" s="113" t="s">
        <v>72</v>
      </c>
      <c r="W1175" s="112" t="s">
        <v>3696</v>
      </c>
    </row>
    <row r="1176" ht="49.5" customHeight="1">
      <c r="A1176" s="110" t="s">
        <v>63</v>
      </c>
      <c r="B1176" s="110" t="s">
        <v>4767</v>
      </c>
      <c r="C1176" s="110"/>
      <c r="D1176" s="110"/>
      <c r="E1176" s="112" t="s">
        <v>63</v>
      </c>
      <c r="F1176" s="111" t="s">
        <v>4768</v>
      </c>
      <c r="G1176" s="110" t="s">
        <v>70</v>
      </c>
      <c r="H1176" s="110" t="s">
        <v>321</v>
      </c>
      <c r="I1176" s="110" t="s">
        <v>70</v>
      </c>
      <c r="J1176" s="112">
        <v>9590.0</v>
      </c>
      <c r="K1176" s="113" t="s">
        <v>71</v>
      </c>
      <c r="L1176" s="113"/>
      <c r="M1176" s="113"/>
      <c r="N1176" s="113"/>
      <c r="O1176" s="113"/>
      <c r="P1176" s="113"/>
      <c r="Q1176" s="113"/>
      <c r="R1176" s="113"/>
      <c r="S1176" s="113"/>
      <c r="T1176" s="113"/>
      <c r="U1176" s="113"/>
      <c r="V1176" s="113" t="s">
        <v>72</v>
      </c>
      <c r="W1176" s="112" t="s">
        <v>3696</v>
      </c>
    </row>
    <row r="1177" ht="49.5" customHeight="1">
      <c r="A1177" s="110" t="s">
        <v>63</v>
      </c>
      <c r="B1177" s="110" t="s">
        <v>4767</v>
      </c>
      <c r="C1177" s="110" t="s">
        <v>4769</v>
      </c>
      <c r="D1177" s="110" t="s">
        <v>4769</v>
      </c>
      <c r="E1177" s="111" t="s">
        <v>4770</v>
      </c>
      <c r="F1177" s="114" t="str">
        <f>"     "&amp;F1176</f>
        <v>     Conjunto Canillera Y Media Adulto 80.20 Psg</v>
      </c>
      <c r="G1177" s="110" t="s">
        <v>202</v>
      </c>
      <c r="H1177" s="113">
        <v>10.0</v>
      </c>
      <c r="I1177" s="110" t="s">
        <v>70</v>
      </c>
      <c r="J1177" s="112">
        <f>J1176</f>
        <v>9590</v>
      </c>
      <c r="K1177" s="110" t="str">
        <f>K1176&amp;"     "</f>
        <v>$     </v>
      </c>
      <c r="L1177" s="110" t="str">
        <f t="shared" ref="L1177:U1177" si="745">L1176</f>
        <v/>
      </c>
      <c r="M1177" s="110" t="str">
        <f t="shared" si="745"/>
        <v/>
      </c>
      <c r="N1177" s="110" t="str">
        <f t="shared" si="745"/>
        <v/>
      </c>
      <c r="O1177" s="110" t="str">
        <f t="shared" si="745"/>
        <v/>
      </c>
      <c r="P1177" s="110" t="str">
        <f t="shared" si="745"/>
        <v/>
      </c>
      <c r="Q1177" s="110" t="str">
        <f t="shared" si="745"/>
        <v/>
      </c>
      <c r="R1177" s="110" t="str">
        <f t="shared" si="745"/>
        <v/>
      </c>
      <c r="S1177" s="110" t="str">
        <f t="shared" si="745"/>
        <v/>
      </c>
      <c r="T1177" s="110" t="str">
        <f t="shared" si="745"/>
        <v/>
      </c>
      <c r="U1177" s="110" t="str">
        <f t="shared" si="745"/>
        <v/>
      </c>
      <c r="V1177" s="110" t="str">
        <f t="shared" ref="V1177:W1177" si="746">V1176&amp;"     "</f>
        <v>Nuevo     </v>
      </c>
      <c r="W1177" s="112" t="str">
        <f t="shared" si="746"/>
        <v>Inactiva     </v>
      </c>
    </row>
    <row r="1178" ht="49.5" customHeight="1">
      <c r="A1178" s="110" t="s">
        <v>63</v>
      </c>
      <c r="B1178" s="110" t="s">
        <v>4767</v>
      </c>
      <c r="C1178" s="110" t="s">
        <v>4771</v>
      </c>
      <c r="D1178" s="110" t="s">
        <v>4771</v>
      </c>
      <c r="E1178" s="111" t="s">
        <v>4772</v>
      </c>
      <c r="F1178" s="114" t="str">
        <f>"     "&amp;F1176</f>
        <v>     Conjunto Canillera Y Media Adulto 80.20 Psg</v>
      </c>
      <c r="G1178" s="110" t="s">
        <v>193</v>
      </c>
      <c r="H1178" s="113">
        <v>10.0</v>
      </c>
      <c r="I1178" s="110" t="s">
        <v>70</v>
      </c>
      <c r="J1178" s="112">
        <f>J1176</f>
        <v>9590</v>
      </c>
      <c r="K1178" s="110" t="str">
        <f>K1176&amp;"     "</f>
        <v>$     </v>
      </c>
      <c r="L1178" s="110" t="str">
        <f t="shared" ref="L1178:U1178" si="747">L1176</f>
        <v/>
      </c>
      <c r="M1178" s="110" t="str">
        <f t="shared" si="747"/>
        <v/>
      </c>
      <c r="N1178" s="110" t="str">
        <f t="shared" si="747"/>
        <v/>
      </c>
      <c r="O1178" s="110" t="str">
        <f t="shared" si="747"/>
        <v/>
      </c>
      <c r="P1178" s="110" t="str">
        <f t="shared" si="747"/>
        <v/>
      </c>
      <c r="Q1178" s="110" t="str">
        <f t="shared" si="747"/>
        <v/>
      </c>
      <c r="R1178" s="110" t="str">
        <f t="shared" si="747"/>
        <v/>
      </c>
      <c r="S1178" s="110" t="str">
        <f t="shared" si="747"/>
        <v/>
      </c>
      <c r="T1178" s="110" t="str">
        <f t="shared" si="747"/>
        <v/>
      </c>
      <c r="U1178" s="110" t="str">
        <f t="shared" si="747"/>
        <v/>
      </c>
      <c r="V1178" s="110" t="str">
        <f t="shared" ref="V1178:W1178" si="748">V1176&amp;"     "</f>
        <v>Nuevo     </v>
      </c>
      <c r="W1178" s="112" t="str">
        <f t="shared" si="748"/>
        <v>Inactiva     </v>
      </c>
    </row>
    <row r="1179" ht="49.5" customHeight="1">
      <c r="A1179" s="110" t="s">
        <v>63</v>
      </c>
      <c r="B1179" s="110" t="s">
        <v>4767</v>
      </c>
      <c r="C1179" s="110" t="s">
        <v>4773</v>
      </c>
      <c r="D1179" s="110" t="s">
        <v>4773</v>
      </c>
      <c r="E1179" s="111" t="s">
        <v>4774</v>
      </c>
      <c r="F1179" s="114" t="str">
        <f>"     "&amp;F1176</f>
        <v>     Conjunto Canillera Y Media Adulto 80.20 Psg</v>
      </c>
      <c r="G1179" s="110" t="s">
        <v>159</v>
      </c>
      <c r="H1179" s="113">
        <v>10.0</v>
      </c>
      <c r="I1179" s="110" t="s">
        <v>70</v>
      </c>
      <c r="J1179" s="112">
        <f>J1176</f>
        <v>9590</v>
      </c>
      <c r="K1179" s="110" t="str">
        <f>K1176&amp;"     "</f>
        <v>$     </v>
      </c>
      <c r="L1179" s="110" t="str">
        <f t="shared" ref="L1179:U1179" si="749">L1176</f>
        <v/>
      </c>
      <c r="M1179" s="110" t="str">
        <f t="shared" si="749"/>
        <v/>
      </c>
      <c r="N1179" s="110" t="str">
        <f t="shared" si="749"/>
        <v/>
      </c>
      <c r="O1179" s="110" t="str">
        <f t="shared" si="749"/>
        <v/>
      </c>
      <c r="P1179" s="110" t="str">
        <f t="shared" si="749"/>
        <v/>
      </c>
      <c r="Q1179" s="110" t="str">
        <f t="shared" si="749"/>
        <v/>
      </c>
      <c r="R1179" s="110" t="str">
        <f t="shared" si="749"/>
        <v/>
      </c>
      <c r="S1179" s="110" t="str">
        <f t="shared" si="749"/>
        <v/>
      </c>
      <c r="T1179" s="110" t="str">
        <f t="shared" si="749"/>
        <v/>
      </c>
      <c r="U1179" s="110" t="str">
        <f t="shared" si="749"/>
        <v/>
      </c>
      <c r="V1179" s="110" t="str">
        <f t="shared" ref="V1179:W1179" si="750">V1176&amp;"     "</f>
        <v>Nuevo     </v>
      </c>
      <c r="W1179" s="112" t="str">
        <f t="shared" si="750"/>
        <v>Inactiva     </v>
      </c>
    </row>
    <row r="1180" ht="49.5" customHeight="1">
      <c r="A1180" s="110" t="s">
        <v>4775</v>
      </c>
      <c r="B1180" s="110" t="s">
        <v>4776</v>
      </c>
      <c r="C1180" s="110" t="s">
        <v>4777</v>
      </c>
      <c r="D1180" s="110"/>
      <c r="E1180" s="111" t="s">
        <v>4778</v>
      </c>
      <c r="F1180" s="111" t="s">
        <v>4779</v>
      </c>
      <c r="G1180" s="110" t="s">
        <v>4780</v>
      </c>
      <c r="H1180" s="113">
        <v>1.0</v>
      </c>
      <c r="I1180" s="110" t="s">
        <v>70</v>
      </c>
      <c r="J1180" s="112">
        <v>14090.0</v>
      </c>
      <c r="K1180" s="113" t="s">
        <v>71</v>
      </c>
      <c r="L1180" s="113"/>
      <c r="M1180" s="113"/>
      <c r="N1180" s="113"/>
      <c r="O1180" s="113"/>
      <c r="P1180" s="113"/>
      <c r="Q1180" s="113"/>
      <c r="R1180" s="113"/>
      <c r="S1180" s="113"/>
      <c r="T1180" s="113"/>
      <c r="U1180" s="113"/>
      <c r="V1180" s="113" t="s">
        <v>72</v>
      </c>
      <c r="W1180" s="112" t="s">
        <v>3696</v>
      </c>
    </row>
    <row r="1181" ht="49.5" customHeight="1">
      <c r="A1181" s="110" t="s">
        <v>63</v>
      </c>
      <c r="B1181" s="110" t="s">
        <v>4781</v>
      </c>
      <c r="C1181" s="110"/>
      <c r="D1181" s="110"/>
      <c r="E1181" s="112" t="s">
        <v>63</v>
      </c>
      <c r="F1181" s="111" t="s">
        <v>4782</v>
      </c>
      <c r="G1181" s="110" t="s">
        <v>70</v>
      </c>
      <c r="H1181" s="110" t="s">
        <v>321</v>
      </c>
      <c r="I1181" s="110" t="s">
        <v>70</v>
      </c>
      <c r="J1181" s="112">
        <v>10390.0</v>
      </c>
      <c r="K1181" s="113" t="s">
        <v>71</v>
      </c>
      <c r="L1181" s="113"/>
      <c r="M1181" s="113"/>
      <c r="N1181" s="113"/>
      <c r="O1181" s="113"/>
      <c r="P1181" s="113"/>
      <c r="Q1181" s="113"/>
      <c r="R1181" s="113"/>
      <c r="S1181" s="113"/>
      <c r="T1181" s="113"/>
      <c r="U1181" s="113"/>
      <c r="V1181" s="113" t="s">
        <v>72</v>
      </c>
      <c r="W1181" s="112" t="s">
        <v>3696</v>
      </c>
    </row>
    <row r="1182" ht="49.5" customHeight="1">
      <c r="A1182" s="110" t="s">
        <v>63</v>
      </c>
      <c r="B1182" s="110" t="s">
        <v>4781</v>
      </c>
      <c r="C1182" s="110" t="s">
        <v>4783</v>
      </c>
      <c r="D1182" s="110" t="s">
        <v>4783</v>
      </c>
      <c r="E1182" s="111" t="s">
        <v>4784</v>
      </c>
      <c r="F1182" s="114" t="str">
        <f>"     "&amp;F1181</f>
        <v>     Conjunto Canillera Y Media Adulto 80.20 Barcelona</v>
      </c>
      <c r="G1182" s="110" t="s">
        <v>202</v>
      </c>
      <c r="H1182" s="113">
        <v>10.0</v>
      </c>
      <c r="I1182" s="110" t="s">
        <v>70</v>
      </c>
      <c r="J1182" s="112">
        <f>J1181</f>
        <v>10390</v>
      </c>
      <c r="K1182" s="110" t="str">
        <f>K1181&amp;"     "</f>
        <v>$     </v>
      </c>
      <c r="L1182" s="110" t="str">
        <f t="shared" ref="L1182:U1182" si="751">L1181</f>
        <v/>
      </c>
      <c r="M1182" s="110" t="str">
        <f t="shared" si="751"/>
        <v/>
      </c>
      <c r="N1182" s="110" t="str">
        <f t="shared" si="751"/>
        <v/>
      </c>
      <c r="O1182" s="110" t="str">
        <f t="shared" si="751"/>
        <v/>
      </c>
      <c r="P1182" s="110" t="str">
        <f t="shared" si="751"/>
        <v/>
      </c>
      <c r="Q1182" s="110" t="str">
        <f t="shared" si="751"/>
        <v/>
      </c>
      <c r="R1182" s="110" t="str">
        <f t="shared" si="751"/>
        <v/>
      </c>
      <c r="S1182" s="110" t="str">
        <f t="shared" si="751"/>
        <v/>
      </c>
      <c r="T1182" s="110" t="str">
        <f t="shared" si="751"/>
        <v/>
      </c>
      <c r="U1182" s="110" t="str">
        <f t="shared" si="751"/>
        <v/>
      </c>
      <c r="V1182" s="110" t="str">
        <f t="shared" ref="V1182:W1182" si="752">V1181&amp;"     "</f>
        <v>Nuevo     </v>
      </c>
      <c r="W1182" s="112" t="str">
        <f t="shared" si="752"/>
        <v>Inactiva     </v>
      </c>
    </row>
    <row r="1183" ht="49.5" customHeight="1">
      <c r="A1183" s="110" t="s">
        <v>63</v>
      </c>
      <c r="B1183" s="110" t="s">
        <v>4781</v>
      </c>
      <c r="C1183" s="110" t="s">
        <v>4785</v>
      </c>
      <c r="D1183" s="110" t="s">
        <v>4785</v>
      </c>
      <c r="E1183" s="111" t="s">
        <v>4786</v>
      </c>
      <c r="F1183" s="114" t="str">
        <f>"     "&amp;F1181</f>
        <v>     Conjunto Canillera Y Media Adulto 80.20 Barcelona</v>
      </c>
      <c r="G1183" s="110" t="s">
        <v>193</v>
      </c>
      <c r="H1183" s="113">
        <v>10.0</v>
      </c>
      <c r="I1183" s="110" t="s">
        <v>70</v>
      </c>
      <c r="J1183" s="112">
        <f>J1181</f>
        <v>10390</v>
      </c>
      <c r="K1183" s="110" t="str">
        <f>K1181&amp;"     "</f>
        <v>$     </v>
      </c>
      <c r="L1183" s="110" t="str">
        <f t="shared" ref="L1183:U1183" si="753">L1181</f>
        <v/>
      </c>
      <c r="M1183" s="110" t="str">
        <f t="shared" si="753"/>
        <v/>
      </c>
      <c r="N1183" s="110" t="str">
        <f t="shared" si="753"/>
        <v/>
      </c>
      <c r="O1183" s="110" t="str">
        <f t="shared" si="753"/>
        <v/>
      </c>
      <c r="P1183" s="110" t="str">
        <f t="shared" si="753"/>
        <v/>
      </c>
      <c r="Q1183" s="110" t="str">
        <f t="shared" si="753"/>
        <v/>
      </c>
      <c r="R1183" s="110" t="str">
        <f t="shared" si="753"/>
        <v/>
      </c>
      <c r="S1183" s="110" t="str">
        <f t="shared" si="753"/>
        <v/>
      </c>
      <c r="T1183" s="110" t="str">
        <f t="shared" si="753"/>
        <v/>
      </c>
      <c r="U1183" s="110" t="str">
        <f t="shared" si="753"/>
        <v/>
      </c>
      <c r="V1183" s="110" t="str">
        <f t="shared" ref="V1183:W1183" si="754">V1181&amp;"     "</f>
        <v>Nuevo     </v>
      </c>
      <c r="W1183" s="112" t="str">
        <f t="shared" si="754"/>
        <v>Inactiva     </v>
      </c>
    </row>
    <row r="1184" ht="49.5" customHeight="1">
      <c r="A1184" s="110" t="s">
        <v>63</v>
      </c>
      <c r="B1184" s="110" t="s">
        <v>4781</v>
      </c>
      <c r="C1184" s="110" t="s">
        <v>4787</v>
      </c>
      <c r="D1184" s="110" t="s">
        <v>4787</v>
      </c>
      <c r="E1184" s="111" t="s">
        <v>4788</v>
      </c>
      <c r="F1184" s="114" t="str">
        <f>"     "&amp;F1181</f>
        <v>     Conjunto Canillera Y Media Adulto 80.20 Barcelona</v>
      </c>
      <c r="G1184" s="110" t="s">
        <v>159</v>
      </c>
      <c r="H1184" s="113">
        <v>10.0</v>
      </c>
      <c r="I1184" s="110" t="s">
        <v>70</v>
      </c>
      <c r="J1184" s="112">
        <f>J1181</f>
        <v>10390</v>
      </c>
      <c r="K1184" s="110" t="str">
        <f>K1181&amp;"     "</f>
        <v>$     </v>
      </c>
      <c r="L1184" s="110" t="str">
        <f t="shared" ref="L1184:U1184" si="755">L1181</f>
        <v/>
      </c>
      <c r="M1184" s="110" t="str">
        <f t="shared" si="755"/>
        <v/>
      </c>
      <c r="N1184" s="110" t="str">
        <f t="shared" si="755"/>
        <v/>
      </c>
      <c r="O1184" s="110" t="str">
        <f t="shared" si="755"/>
        <v/>
      </c>
      <c r="P1184" s="110" t="str">
        <f t="shared" si="755"/>
        <v/>
      </c>
      <c r="Q1184" s="110" t="str">
        <f t="shared" si="755"/>
        <v/>
      </c>
      <c r="R1184" s="110" t="str">
        <f t="shared" si="755"/>
        <v/>
      </c>
      <c r="S1184" s="110" t="str">
        <f t="shared" si="755"/>
        <v/>
      </c>
      <c r="T1184" s="110" t="str">
        <f t="shared" si="755"/>
        <v/>
      </c>
      <c r="U1184" s="110" t="str">
        <f t="shared" si="755"/>
        <v/>
      </c>
      <c r="V1184" s="110" t="str">
        <f t="shared" ref="V1184:W1184" si="756">V1181&amp;"     "</f>
        <v>Nuevo     </v>
      </c>
      <c r="W1184" s="112" t="str">
        <f t="shared" si="756"/>
        <v>Inactiva     </v>
      </c>
    </row>
    <row r="1185" ht="49.5" customHeight="1">
      <c r="A1185" s="110" t="s">
        <v>63</v>
      </c>
      <c r="B1185" s="110" t="s">
        <v>4789</v>
      </c>
      <c r="C1185" s="110"/>
      <c r="D1185" s="110"/>
      <c r="E1185" s="112" t="s">
        <v>63</v>
      </c>
      <c r="F1185" s="111" t="s">
        <v>4790</v>
      </c>
      <c r="G1185" s="110" t="s">
        <v>70</v>
      </c>
      <c r="H1185" s="110" t="s">
        <v>681</v>
      </c>
      <c r="I1185" s="110" t="s">
        <v>70</v>
      </c>
      <c r="J1185" s="112">
        <v>15190.0</v>
      </c>
      <c r="K1185" s="113" t="s">
        <v>71</v>
      </c>
      <c r="L1185" s="113"/>
      <c r="M1185" s="113"/>
      <c r="N1185" s="113"/>
      <c r="O1185" s="113"/>
      <c r="P1185" s="113"/>
      <c r="Q1185" s="113"/>
      <c r="R1185" s="113"/>
      <c r="S1185" s="113"/>
      <c r="T1185" s="113"/>
      <c r="U1185" s="113"/>
      <c r="V1185" s="113" t="s">
        <v>72</v>
      </c>
      <c r="W1185" s="112" t="s">
        <v>3696</v>
      </c>
    </row>
    <row r="1186" ht="49.5" customHeight="1">
      <c r="A1186" s="110" t="s">
        <v>63</v>
      </c>
      <c r="B1186" s="110" t="s">
        <v>4789</v>
      </c>
      <c r="C1186" s="110" t="s">
        <v>4791</v>
      </c>
      <c r="D1186" s="110" t="s">
        <v>4791</v>
      </c>
      <c r="E1186" s="111" t="s">
        <v>4792</v>
      </c>
      <c r="F1186" s="114" t="str">
        <f>"     "&amp;F1185</f>
        <v>     Conjunto Canillera C/tobill Y Media Adulto 80.20 Eurostar</v>
      </c>
      <c r="G1186" s="110" t="s">
        <v>663</v>
      </c>
      <c r="H1186" s="113">
        <v>10.0</v>
      </c>
      <c r="I1186" s="110" t="s">
        <v>70</v>
      </c>
      <c r="J1186" s="112">
        <f>J1185</f>
        <v>15190</v>
      </c>
      <c r="K1186" s="110" t="str">
        <f>K1185&amp;"     "</f>
        <v>$     </v>
      </c>
      <c r="L1186" s="110" t="str">
        <f t="shared" ref="L1186:U1186" si="757">L1185</f>
        <v/>
      </c>
      <c r="M1186" s="110" t="str">
        <f t="shared" si="757"/>
        <v/>
      </c>
      <c r="N1186" s="110" t="str">
        <f t="shared" si="757"/>
        <v/>
      </c>
      <c r="O1186" s="110" t="str">
        <f t="shared" si="757"/>
        <v/>
      </c>
      <c r="P1186" s="110" t="str">
        <f t="shared" si="757"/>
        <v/>
      </c>
      <c r="Q1186" s="110" t="str">
        <f t="shared" si="757"/>
        <v/>
      </c>
      <c r="R1186" s="110" t="str">
        <f t="shared" si="757"/>
        <v/>
      </c>
      <c r="S1186" s="110" t="str">
        <f t="shared" si="757"/>
        <v/>
      </c>
      <c r="T1186" s="110" t="str">
        <f t="shared" si="757"/>
        <v/>
      </c>
      <c r="U1186" s="110" t="str">
        <f t="shared" si="757"/>
        <v/>
      </c>
      <c r="V1186" s="110" t="str">
        <f t="shared" ref="V1186:W1186" si="758">V1185&amp;"     "</f>
        <v>Nuevo     </v>
      </c>
      <c r="W1186" s="112" t="str">
        <f t="shared" si="758"/>
        <v>Inactiva     </v>
      </c>
    </row>
    <row r="1187" ht="49.5" customHeight="1">
      <c r="A1187" s="110" t="s">
        <v>63</v>
      </c>
      <c r="B1187" s="110" t="s">
        <v>4789</v>
      </c>
      <c r="C1187" s="110" t="s">
        <v>4793</v>
      </c>
      <c r="D1187" s="110" t="s">
        <v>4793</v>
      </c>
      <c r="E1187" s="111" t="s">
        <v>4794</v>
      </c>
      <c r="F1187" s="114" t="str">
        <f>"     "&amp;F1185</f>
        <v>     Conjunto Canillera C/tobill Y Media Adulto 80.20 Eurostar</v>
      </c>
      <c r="G1187" s="110" t="s">
        <v>4795</v>
      </c>
      <c r="H1187" s="113">
        <v>10.0</v>
      </c>
      <c r="I1187" s="110" t="s">
        <v>70</v>
      </c>
      <c r="J1187" s="112">
        <f>J1185</f>
        <v>15190</v>
      </c>
      <c r="K1187" s="110" t="str">
        <f>K1185&amp;"     "</f>
        <v>$     </v>
      </c>
      <c r="L1187" s="110" t="str">
        <f t="shared" ref="L1187:U1187" si="759">L1185</f>
        <v/>
      </c>
      <c r="M1187" s="110" t="str">
        <f t="shared" si="759"/>
        <v/>
      </c>
      <c r="N1187" s="110" t="str">
        <f t="shared" si="759"/>
        <v/>
      </c>
      <c r="O1187" s="110" t="str">
        <f t="shared" si="759"/>
        <v/>
      </c>
      <c r="P1187" s="110" t="str">
        <f t="shared" si="759"/>
        <v/>
      </c>
      <c r="Q1187" s="110" t="str">
        <f t="shared" si="759"/>
        <v/>
      </c>
      <c r="R1187" s="110" t="str">
        <f t="shared" si="759"/>
        <v/>
      </c>
      <c r="S1187" s="110" t="str">
        <f t="shared" si="759"/>
        <v/>
      </c>
      <c r="T1187" s="110" t="str">
        <f t="shared" si="759"/>
        <v/>
      </c>
      <c r="U1187" s="110" t="str">
        <f t="shared" si="759"/>
        <v/>
      </c>
      <c r="V1187" s="110" t="str">
        <f t="shared" ref="V1187:W1187" si="760">V1185&amp;"     "</f>
        <v>Nuevo     </v>
      </c>
      <c r="W1187" s="112" t="str">
        <f t="shared" si="760"/>
        <v>Inactiva     </v>
      </c>
    </row>
    <row r="1188" ht="49.5" customHeight="1">
      <c r="A1188" s="110" t="s">
        <v>63</v>
      </c>
      <c r="B1188" s="110" t="s">
        <v>4796</v>
      </c>
      <c r="C1188" s="110"/>
      <c r="D1188" s="110"/>
      <c r="E1188" s="112" t="s">
        <v>63</v>
      </c>
      <c r="F1188" s="111" t="s">
        <v>4116</v>
      </c>
      <c r="G1188" s="110" t="s">
        <v>70</v>
      </c>
      <c r="H1188" s="110" t="s">
        <v>321</v>
      </c>
      <c r="I1188" s="110" t="s">
        <v>70</v>
      </c>
      <c r="J1188" s="112">
        <v>14390.0</v>
      </c>
      <c r="K1188" s="113" t="s">
        <v>71</v>
      </c>
      <c r="L1188" s="113"/>
      <c r="M1188" s="113"/>
      <c r="N1188" s="113"/>
      <c r="O1188" s="113"/>
      <c r="P1188" s="113"/>
      <c r="Q1188" s="113"/>
      <c r="R1188" s="113"/>
      <c r="S1188" s="113"/>
      <c r="T1188" s="113"/>
      <c r="U1188" s="113"/>
      <c r="V1188" s="113" t="s">
        <v>72</v>
      </c>
      <c r="W1188" s="112" t="s">
        <v>3696</v>
      </c>
    </row>
    <row r="1189" ht="49.5" customHeight="1">
      <c r="A1189" s="110" t="s">
        <v>63</v>
      </c>
      <c r="B1189" s="110" t="s">
        <v>4796</v>
      </c>
      <c r="C1189" s="110" t="s">
        <v>4797</v>
      </c>
      <c r="D1189" s="110" t="s">
        <v>4797</v>
      </c>
      <c r="E1189" s="111" t="s">
        <v>4798</v>
      </c>
      <c r="F1189" s="114" t="str">
        <f>"     "&amp;F1188</f>
        <v>     Conjunto Canillera C/tobill Y Media Adulto 80.20 Bremen</v>
      </c>
      <c r="G1189" s="110" t="s">
        <v>202</v>
      </c>
      <c r="H1189" s="113">
        <v>10.0</v>
      </c>
      <c r="I1189" s="110" t="s">
        <v>70</v>
      </c>
      <c r="J1189" s="112">
        <f>J1188</f>
        <v>14390</v>
      </c>
      <c r="K1189" s="110" t="str">
        <f>K1188&amp;"     "</f>
        <v>$     </v>
      </c>
      <c r="L1189" s="110" t="str">
        <f t="shared" ref="L1189:U1189" si="761">L1188</f>
        <v/>
      </c>
      <c r="M1189" s="110" t="str">
        <f t="shared" si="761"/>
        <v/>
      </c>
      <c r="N1189" s="110" t="str">
        <f t="shared" si="761"/>
        <v/>
      </c>
      <c r="O1189" s="110" t="str">
        <f t="shared" si="761"/>
        <v/>
      </c>
      <c r="P1189" s="110" t="str">
        <f t="shared" si="761"/>
        <v/>
      </c>
      <c r="Q1189" s="110" t="str">
        <f t="shared" si="761"/>
        <v/>
      </c>
      <c r="R1189" s="110" t="str">
        <f t="shared" si="761"/>
        <v/>
      </c>
      <c r="S1189" s="110" t="str">
        <f t="shared" si="761"/>
        <v/>
      </c>
      <c r="T1189" s="110" t="str">
        <f t="shared" si="761"/>
        <v/>
      </c>
      <c r="U1189" s="110" t="str">
        <f t="shared" si="761"/>
        <v/>
      </c>
      <c r="V1189" s="110" t="str">
        <f t="shared" ref="V1189:W1189" si="762">V1188&amp;"     "</f>
        <v>Nuevo     </v>
      </c>
      <c r="W1189" s="112" t="str">
        <f t="shared" si="762"/>
        <v>Inactiva     </v>
      </c>
    </row>
    <row r="1190" ht="49.5" customHeight="1">
      <c r="A1190" s="110" t="s">
        <v>63</v>
      </c>
      <c r="B1190" s="110" t="s">
        <v>4796</v>
      </c>
      <c r="C1190" s="110" t="s">
        <v>4799</v>
      </c>
      <c r="D1190" s="110" t="s">
        <v>4799</v>
      </c>
      <c r="E1190" s="111" t="s">
        <v>4800</v>
      </c>
      <c r="F1190" s="114" t="str">
        <f>"     "&amp;F1188</f>
        <v>     Conjunto Canillera C/tobill Y Media Adulto 80.20 Bremen</v>
      </c>
      <c r="G1190" s="110" t="s">
        <v>2236</v>
      </c>
      <c r="H1190" s="113">
        <v>10.0</v>
      </c>
      <c r="I1190" s="110" t="s">
        <v>70</v>
      </c>
      <c r="J1190" s="112">
        <f>J1188</f>
        <v>14390</v>
      </c>
      <c r="K1190" s="110" t="str">
        <f>K1188&amp;"     "</f>
        <v>$     </v>
      </c>
      <c r="L1190" s="110" t="str">
        <f t="shared" ref="L1190:U1190" si="763">L1188</f>
        <v/>
      </c>
      <c r="M1190" s="110" t="str">
        <f t="shared" si="763"/>
        <v/>
      </c>
      <c r="N1190" s="110" t="str">
        <f t="shared" si="763"/>
        <v/>
      </c>
      <c r="O1190" s="110" t="str">
        <f t="shared" si="763"/>
        <v/>
      </c>
      <c r="P1190" s="110" t="str">
        <f t="shared" si="763"/>
        <v/>
      </c>
      <c r="Q1190" s="110" t="str">
        <f t="shared" si="763"/>
        <v/>
      </c>
      <c r="R1190" s="110" t="str">
        <f t="shared" si="763"/>
        <v/>
      </c>
      <c r="S1190" s="110" t="str">
        <f t="shared" si="763"/>
        <v/>
      </c>
      <c r="T1190" s="110" t="str">
        <f t="shared" si="763"/>
        <v/>
      </c>
      <c r="U1190" s="110" t="str">
        <f t="shared" si="763"/>
        <v/>
      </c>
      <c r="V1190" s="110" t="str">
        <f t="shared" ref="V1190:W1190" si="764">V1188&amp;"     "</f>
        <v>Nuevo     </v>
      </c>
      <c r="W1190" s="112" t="str">
        <f t="shared" si="764"/>
        <v>Inactiva     </v>
      </c>
    </row>
    <row r="1191" ht="49.5" customHeight="1">
      <c r="A1191" s="110" t="s">
        <v>63</v>
      </c>
      <c r="B1191" s="110" t="s">
        <v>4796</v>
      </c>
      <c r="C1191" s="110" t="s">
        <v>4801</v>
      </c>
      <c r="D1191" s="110" t="s">
        <v>4801</v>
      </c>
      <c r="E1191" s="111" t="s">
        <v>4802</v>
      </c>
      <c r="F1191" s="114" t="str">
        <f>"     "&amp;F1188</f>
        <v>     Conjunto Canillera C/tobill Y Media Adulto 80.20 Bremen</v>
      </c>
      <c r="G1191" s="110" t="s">
        <v>2198</v>
      </c>
      <c r="H1191" s="113">
        <v>10.0</v>
      </c>
      <c r="I1191" s="110" t="s">
        <v>70</v>
      </c>
      <c r="J1191" s="112">
        <f>J1188</f>
        <v>14390</v>
      </c>
      <c r="K1191" s="110" t="str">
        <f>K1188&amp;"     "</f>
        <v>$     </v>
      </c>
      <c r="L1191" s="110" t="str">
        <f t="shared" ref="L1191:U1191" si="765">L1188</f>
        <v/>
      </c>
      <c r="M1191" s="110" t="str">
        <f t="shared" si="765"/>
        <v/>
      </c>
      <c r="N1191" s="110" t="str">
        <f t="shared" si="765"/>
        <v/>
      </c>
      <c r="O1191" s="110" t="str">
        <f t="shared" si="765"/>
        <v/>
      </c>
      <c r="P1191" s="110" t="str">
        <f t="shared" si="765"/>
        <v/>
      </c>
      <c r="Q1191" s="110" t="str">
        <f t="shared" si="765"/>
        <v/>
      </c>
      <c r="R1191" s="110" t="str">
        <f t="shared" si="765"/>
        <v/>
      </c>
      <c r="S1191" s="110" t="str">
        <f t="shared" si="765"/>
        <v/>
      </c>
      <c r="T1191" s="110" t="str">
        <f t="shared" si="765"/>
        <v/>
      </c>
      <c r="U1191" s="110" t="str">
        <f t="shared" si="765"/>
        <v/>
      </c>
      <c r="V1191" s="110" t="str">
        <f t="shared" ref="V1191:W1191" si="766">V1188&amp;"     "</f>
        <v>Nuevo     </v>
      </c>
      <c r="W1191" s="112" t="str">
        <f t="shared" si="766"/>
        <v>Inactiva     </v>
      </c>
    </row>
    <row r="1192" ht="49.5" customHeight="1">
      <c r="A1192" s="110" t="s">
        <v>63</v>
      </c>
      <c r="B1192" s="110" t="s">
        <v>4803</v>
      </c>
      <c r="C1192" s="110"/>
      <c r="D1192" s="110"/>
      <c r="E1192" s="112" t="s">
        <v>63</v>
      </c>
      <c r="F1192" s="111" t="s">
        <v>4804</v>
      </c>
      <c r="G1192" s="110" t="s">
        <v>70</v>
      </c>
      <c r="H1192" s="110" t="s">
        <v>321</v>
      </c>
      <c r="I1192" s="110" t="s">
        <v>70</v>
      </c>
      <c r="J1192" s="112">
        <v>9590.0</v>
      </c>
      <c r="K1192" s="113" t="s">
        <v>71</v>
      </c>
      <c r="L1192" s="113"/>
      <c r="M1192" s="113"/>
      <c r="N1192" s="113"/>
      <c r="O1192" s="113"/>
      <c r="P1192" s="113"/>
      <c r="Q1192" s="113"/>
      <c r="R1192" s="113"/>
      <c r="S1192" s="113"/>
      <c r="T1192" s="113"/>
      <c r="U1192" s="113"/>
      <c r="V1192" s="113" t="s">
        <v>72</v>
      </c>
      <c r="W1192" s="112" t="s">
        <v>3696</v>
      </c>
    </row>
    <row r="1193" ht="49.5" customHeight="1">
      <c r="A1193" s="110" t="s">
        <v>63</v>
      </c>
      <c r="B1193" s="110" t="s">
        <v>4803</v>
      </c>
      <c r="C1193" s="110" t="s">
        <v>4805</v>
      </c>
      <c r="D1193" s="110" t="s">
        <v>4805</v>
      </c>
      <c r="E1193" s="111" t="s">
        <v>4806</v>
      </c>
      <c r="F1193" s="114" t="str">
        <f>"     "&amp;F1192</f>
        <v>     Conjunto Canillera Y Media Adulto 80.20 River</v>
      </c>
      <c r="G1193" s="110" t="s">
        <v>2198</v>
      </c>
      <c r="H1193" s="113">
        <v>10.0</v>
      </c>
      <c r="I1193" s="110" t="s">
        <v>70</v>
      </c>
      <c r="J1193" s="112">
        <f>J1192</f>
        <v>9590</v>
      </c>
      <c r="K1193" s="110" t="str">
        <f>K1192&amp;"     "</f>
        <v>$     </v>
      </c>
      <c r="L1193" s="110" t="str">
        <f t="shared" ref="L1193:U1193" si="767">L1192</f>
        <v/>
      </c>
      <c r="M1193" s="110" t="str">
        <f t="shared" si="767"/>
        <v/>
      </c>
      <c r="N1193" s="110" t="str">
        <f t="shared" si="767"/>
        <v/>
      </c>
      <c r="O1193" s="110" t="str">
        <f t="shared" si="767"/>
        <v/>
      </c>
      <c r="P1193" s="110" t="str">
        <f t="shared" si="767"/>
        <v/>
      </c>
      <c r="Q1193" s="110" t="str">
        <f t="shared" si="767"/>
        <v/>
      </c>
      <c r="R1193" s="110" t="str">
        <f t="shared" si="767"/>
        <v/>
      </c>
      <c r="S1193" s="110" t="str">
        <f t="shared" si="767"/>
        <v/>
      </c>
      <c r="T1193" s="110" t="str">
        <f t="shared" si="767"/>
        <v/>
      </c>
      <c r="U1193" s="110" t="str">
        <f t="shared" si="767"/>
        <v/>
      </c>
      <c r="V1193" s="110" t="str">
        <f t="shared" ref="V1193:W1193" si="768">V1192&amp;"     "</f>
        <v>Nuevo     </v>
      </c>
      <c r="W1193" s="112" t="str">
        <f t="shared" si="768"/>
        <v>Inactiva     </v>
      </c>
    </row>
    <row r="1194" ht="49.5" customHeight="1">
      <c r="A1194" s="110" t="s">
        <v>63</v>
      </c>
      <c r="B1194" s="110" t="s">
        <v>4803</v>
      </c>
      <c r="C1194" s="110" t="s">
        <v>4807</v>
      </c>
      <c r="D1194" s="110" t="s">
        <v>4807</v>
      </c>
      <c r="E1194" s="111" t="s">
        <v>4808</v>
      </c>
      <c r="F1194" s="114" t="str">
        <f>"     "&amp;F1192</f>
        <v>     Conjunto Canillera Y Media Adulto 80.20 River</v>
      </c>
      <c r="G1194" s="110" t="s">
        <v>2201</v>
      </c>
      <c r="H1194" s="113">
        <v>10.0</v>
      </c>
      <c r="I1194" s="110" t="s">
        <v>70</v>
      </c>
      <c r="J1194" s="112">
        <f>J1192</f>
        <v>9590</v>
      </c>
      <c r="K1194" s="110" t="str">
        <f>K1192&amp;"     "</f>
        <v>$     </v>
      </c>
      <c r="L1194" s="110" t="str">
        <f t="shared" ref="L1194:U1194" si="769">L1192</f>
        <v/>
      </c>
      <c r="M1194" s="110" t="str">
        <f t="shared" si="769"/>
        <v/>
      </c>
      <c r="N1194" s="110" t="str">
        <f t="shared" si="769"/>
        <v/>
      </c>
      <c r="O1194" s="110" t="str">
        <f t="shared" si="769"/>
        <v/>
      </c>
      <c r="P1194" s="110" t="str">
        <f t="shared" si="769"/>
        <v/>
      </c>
      <c r="Q1194" s="110" t="str">
        <f t="shared" si="769"/>
        <v/>
      </c>
      <c r="R1194" s="110" t="str">
        <f t="shared" si="769"/>
        <v/>
      </c>
      <c r="S1194" s="110" t="str">
        <f t="shared" si="769"/>
        <v/>
      </c>
      <c r="T1194" s="110" t="str">
        <f t="shared" si="769"/>
        <v/>
      </c>
      <c r="U1194" s="110" t="str">
        <f t="shared" si="769"/>
        <v/>
      </c>
      <c r="V1194" s="110" t="str">
        <f t="shared" ref="V1194:W1194" si="770">V1192&amp;"     "</f>
        <v>Nuevo     </v>
      </c>
      <c r="W1194" s="112" t="str">
        <f t="shared" si="770"/>
        <v>Inactiva     </v>
      </c>
    </row>
    <row r="1195" ht="49.5" customHeight="1">
      <c r="A1195" s="110" t="s">
        <v>63</v>
      </c>
      <c r="B1195" s="110" t="s">
        <v>4803</v>
      </c>
      <c r="C1195" s="110" t="s">
        <v>4809</v>
      </c>
      <c r="D1195" s="110" t="s">
        <v>4809</v>
      </c>
      <c r="E1195" s="111" t="s">
        <v>4810</v>
      </c>
      <c r="F1195" s="114" t="str">
        <f>"     "&amp;F1192</f>
        <v>     Conjunto Canillera Y Media Adulto 80.20 River</v>
      </c>
      <c r="G1195" s="110" t="s">
        <v>4811</v>
      </c>
      <c r="H1195" s="113">
        <v>10.0</v>
      </c>
      <c r="I1195" s="110" t="s">
        <v>70</v>
      </c>
      <c r="J1195" s="112">
        <f>J1192</f>
        <v>9590</v>
      </c>
      <c r="K1195" s="110" t="str">
        <f>K1192&amp;"     "</f>
        <v>$     </v>
      </c>
      <c r="L1195" s="110" t="str">
        <f t="shared" ref="L1195:U1195" si="771">L1192</f>
        <v/>
      </c>
      <c r="M1195" s="110" t="str">
        <f t="shared" si="771"/>
        <v/>
      </c>
      <c r="N1195" s="110" t="str">
        <f t="shared" si="771"/>
        <v/>
      </c>
      <c r="O1195" s="110" t="str">
        <f t="shared" si="771"/>
        <v/>
      </c>
      <c r="P1195" s="110" t="str">
        <f t="shared" si="771"/>
        <v/>
      </c>
      <c r="Q1195" s="110" t="str">
        <f t="shared" si="771"/>
        <v/>
      </c>
      <c r="R1195" s="110" t="str">
        <f t="shared" si="771"/>
        <v/>
      </c>
      <c r="S1195" s="110" t="str">
        <f t="shared" si="771"/>
        <v/>
      </c>
      <c r="T1195" s="110" t="str">
        <f t="shared" si="771"/>
        <v/>
      </c>
      <c r="U1195" s="110" t="str">
        <f t="shared" si="771"/>
        <v/>
      </c>
      <c r="V1195" s="110" t="str">
        <f t="shared" ref="V1195:W1195" si="772">V1192&amp;"     "</f>
        <v>Nuevo     </v>
      </c>
      <c r="W1195" s="112" t="str">
        <f t="shared" si="772"/>
        <v>Inactiva     </v>
      </c>
    </row>
    <row r="1196" ht="49.5" customHeight="1">
      <c r="A1196" s="110" t="s">
        <v>63</v>
      </c>
      <c r="B1196" s="110" t="s">
        <v>4812</v>
      </c>
      <c r="C1196" s="110"/>
      <c r="D1196" s="110"/>
      <c r="E1196" s="112" t="s">
        <v>63</v>
      </c>
      <c r="F1196" s="111" t="s">
        <v>4813</v>
      </c>
      <c r="G1196" s="110" t="s">
        <v>70</v>
      </c>
      <c r="H1196" s="110" t="s">
        <v>321</v>
      </c>
      <c r="I1196" s="110" t="s">
        <v>70</v>
      </c>
      <c r="J1196" s="112">
        <v>9590.0</v>
      </c>
      <c r="K1196" s="113" t="s">
        <v>71</v>
      </c>
      <c r="L1196" s="113"/>
      <c r="M1196" s="113"/>
      <c r="N1196" s="113"/>
      <c r="O1196" s="113"/>
      <c r="P1196" s="113"/>
      <c r="Q1196" s="113"/>
      <c r="R1196" s="113"/>
      <c r="S1196" s="113"/>
      <c r="T1196" s="113"/>
      <c r="U1196" s="113"/>
      <c r="V1196" s="113" t="s">
        <v>72</v>
      </c>
      <c r="W1196" s="112" t="s">
        <v>3696</v>
      </c>
    </row>
    <row r="1197" ht="49.5" customHeight="1">
      <c r="A1197" s="110" t="s">
        <v>63</v>
      </c>
      <c r="B1197" s="110" t="s">
        <v>4812</v>
      </c>
      <c r="C1197" s="110" t="s">
        <v>4814</v>
      </c>
      <c r="D1197" s="110" t="s">
        <v>4814</v>
      </c>
      <c r="E1197" s="111" t="s">
        <v>4815</v>
      </c>
      <c r="F1197" s="114" t="str">
        <f>"     "&amp;F1196</f>
        <v>     Conjunto Canillera Y Media Adulto 80.20 Boca</v>
      </c>
      <c r="G1197" s="110" t="s">
        <v>2187</v>
      </c>
      <c r="H1197" s="113">
        <v>10.0</v>
      </c>
      <c r="I1197" s="110" t="s">
        <v>70</v>
      </c>
      <c r="J1197" s="112">
        <f>J1196</f>
        <v>9590</v>
      </c>
      <c r="K1197" s="110" t="str">
        <f>K1196&amp;"     "</f>
        <v>$     </v>
      </c>
      <c r="L1197" s="110" t="str">
        <f t="shared" ref="L1197:U1197" si="773">L1196</f>
        <v/>
      </c>
      <c r="M1197" s="110" t="str">
        <f t="shared" si="773"/>
        <v/>
      </c>
      <c r="N1197" s="110" t="str">
        <f t="shared" si="773"/>
        <v/>
      </c>
      <c r="O1197" s="110" t="str">
        <f t="shared" si="773"/>
        <v/>
      </c>
      <c r="P1197" s="110" t="str">
        <f t="shared" si="773"/>
        <v/>
      </c>
      <c r="Q1197" s="110" t="str">
        <f t="shared" si="773"/>
        <v/>
      </c>
      <c r="R1197" s="110" t="str">
        <f t="shared" si="773"/>
        <v/>
      </c>
      <c r="S1197" s="110" t="str">
        <f t="shared" si="773"/>
        <v/>
      </c>
      <c r="T1197" s="110" t="str">
        <f t="shared" si="773"/>
        <v/>
      </c>
      <c r="U1197" s="110" t="str">
        <f t="shared" si="773"/>
        <v/>
      </c>
      <c r="V1197" s="110" t="str">
        <f t="shared" ref="V1197:W1197" si="774">V1196&amp;"     "</f>
        <v>Nuevo     </v>
      </c>
      <c r="W1197" s="112" t="str">
        <f t="shared" si="774"/>
        <v>Inactiva     </v>
      </c>
    </row>
    <row r="1198" ht="49.5" customHeight="1">
      <c r="A1198" s="110" t="s">
        <v>63</v>
      </c>
      <c r="B1198" s="110" t="s">
        <v>4812</v>
      </c>
      <c r="C1198" s="110" t="s">
        <v>4816</v>
      </c>
      <c r="D1198" s="110" t="s">
        <v>4816</v>
      </c>
      <c r="E1198" s="111" t="s">
        <v>4817</v>
      </c>
      <c r="F1198" s="114" t="str">
        <f>"     "&amp;F1196</f>
        <v>     Conjunto Canillera Y Media Adulto 80.20 Boca</v>
      </c>
      <c r="G1198" s="110" t="s">
        <v>2184</v>
      </c>
      <c r="H1198" s="113">
        <v>10.0</v>
      </c>
      <c r="I1198" s="110" t="s">
        <v>70</v>
      </c>
      <c r="J1198" s="112">
        <f>J1196</f>
        <v>9590</v>
      </c>
      <c r="K1198" s="110" t="str">
        <f>K1196&amp;"     "</f>
        <v>$     </v>
      </c>
      <c r="L1198" s="110" t="str">
        <f t="shared" ref="L1198:U1198" si="775">L1196</f>
        <v/>
      </c>
      <c r="M1198" s="110" t="str">
        <f t="shared" si="775"/>
        <v/>
      </c>
      <c r="N1198" s="110" t="str">
        <f t="shared" si="775"/>
        <v/>
      </c>
      <c r="O1198" s="110" t="str">
        <f t="shared" si="775"/>
        <v/>
      </c>
      <c r="P1198" s="110" t="str">
        <f t="shared" si="775"/>
        <v/>
      </c>
      <c r="Q1198" s="110" t="str">
        <f t="shared" si="775"/>
        <v/>
      </c>
      <c r="R1198" s="110" t="str">
        <f t="shared" si="775"/>
        <v/>
      </c>
      <c r="S1198" s="110" t="str">
        <f t="shared" si="775"/>
        <v/>
      </c>
      <c r="T1198" s="110" t="str">
        <f t="shared" si="775"/>
        <v/>
      </c>
      <c r="U1198" s="110" t="str">
        <f t="shared" si="775"/>
        <v/>
      </c>
      <c r="V1198" s="110" t="str">
        <f t="shared" ref="V1198:W1198" si="776">V1196&amp;"     "</f>
        <v>Nuevo     </v>
      </c>
      <c r="W1198" s="112" t="str">
        <f t="shared" si="776"/>
        <v>Inactiva     </v>
      </c>
    </row>
    <row r="1199" ht="49.5" customHeight="1">
      <c r="A1199" s="110" t="s">
        <v>63</v>
      </c>
      <c r="B1199" s="110" t="s">
        <v>4812</v>
      </c>
      <c r="C1199" s="110" t="s">
        <v>4818</v>
      </c>
      <c r="D1199" s="110" t="s">
        <v>4818</v>
      </c>
      <c r="E1199" s="111" t="s">
        <v>4819</v>
      </c>
      <c r="F1199" s="114" t="str">
        <f>"     "&amp;F1196</f>
        <v>     Conjunto Canillera Y Media Adulto 80.20 Boca</v>
      </c>
      <c r="G1199" s="110" t="s">
        <v>2219</v>
      </c>
      <c r="H1199" s="113">
        <v>10.0</v>
      </c>
      <c r="I1199" s="110" t="s">
        <v>70</v>
      </c>
      <c r="J1199" s="112">
        <f>J1196</f>
        <v>9590</v>
      </c>
      <c r="K1199" s="110" t="str">
        <f>K1196&amp;"     "</f>
        <v>$     </v>
      </c>
      <c r="L1199" s="110" t="str">
        <f t="shared" ref="L1199:U1199" si="777">L1196</f>
        <v/>
      </c>
      <c r="M1199" s="110" t="str">
        <f t="shared" si="777"/>
        <v/>
      </c>
      <c r="N1199" s="110" t="str">
        <f t="shared" si="777"/>
        <v/>
      </c>
      <c r="O1199" s="110" t="str">
        <f t="shared" si="777"/>
        <v/>
      </c>
      <c r="P1199" s="110" t="str">
        <f t="shared" si="777"/>
        <v/>
      </c>
      <c r="Q1199" s="110" t="str">
        <f t="shared" si="777"/>
        <v/>
      </c>
      <c r="R1199" s="110" t="str">
        <f t="shared" si="777"/>
        <v/>
      </c>
      <c r="S1199" s="110" t="str">
        <f t="shared" si="777"/>
        <v/>
      </c>
      <c r="T1199" s="110" t="str">
        <f t="shared" si="777"/>
        <v/>
      </c>
      <c r="U1199" s="110" t="str">
        <f t="shared" si="777"/>
        <v/>
      </c>
      <c r="V1199" s="110" t="str">
        <f t="shared" ref="V1199:W1199" si="778">V1196&amp;"     "</f>
        <v>Nuevo     </v>
      </c>
      <c r="W1199" s="112" t="str">
        <f t="shared" si="778"/>
        <v>Inactiva     </v>
      </c>
    </row>
    <row r="1200" ht="49.5" customHeight="1">
      <c r="A1200" s="110" t="s">
        <v>4820</v>
      </c>
      <c r="B1200" s="110" t="s">
        <v>4821</v>
      </c>
      <c r="C1200" s="110" t="s">
        <v>4822</v>
      </c>
      <c r="D1200" s="110"/>
      <c r="E1200" s="111" t="s">
        <v>4823</v>
      </c>
      <c r="F1200" s="111" t="s">
        <v>4824</v>
      </c>
      <c r="G1200" s="110" t="s">
        <v>165</v>
      </c>
      <c r="H1200" s="113">
        <v>1.0</v>
      </c>
      <c r="I1200" s="110" t="s">
        <v>70</v>
      </c>
      <c r="J1200" s="112">
        <v>24290.0</v>
      </c>
      <c r="K1200" s="113" t="s">
        <v>71</v>
      </c>
      <c r="L1200" s="113"/>
      <c r="M1200" s="113"/>
      <c r="N1200" s="113"/>
      <c r="O1200" s="113"/>
      <c r="P1200" s="113"/>
      <c r="Q1200" s="113"/>
      <c r="R1200" s="113"/>
      <c r="S1200" s="113"/>
      <c r="T1200" s="113"/>
      <c r="U1200" s="113"/>
      <c r="V1200" s="113" t="s">
        <v>72</v>
      </c>
      <c r="W1200" s="112" t="s">
        <v>3696</v>
      </c>
    </row>
    <row r="1201" ht="49.5" customHeight="1">
      <c r="A1201" s="110" t="s">
        <v>4825</v>
      </c>
      <c r="B1201" s="110" t="s">
        <v>4826</v>
      </c>
      <c r="C1201" s="110" t="s">
        <v>4827</v>
      </c>
      <c r="D1201" s="110"/>
      <c r="E1201" s="111" t="s">
        <v>4828</v>
      </c>
      <c r="F1201" s="111" t="s">
        <v>4829</v>
      </c>
      <c r="G1201" s="110" t="s">
        <v>138</v>
      </c>
      <c r="H1201" s="113">
        <v>1.0</v>
      </c>
      <c r="I1201" s="110" t="s">
        <v>70</v>
      </c>
      <c r="J1201" s="112">
        <v>26490.0</v>
      </c>
      <c r="K1201" s="113" t="s">
        <v>71</v>
      </c>
      <c r="L1201" s="113"/>
      <c r="M1201" s="113"/>
      <c r="N1201" s="113"/>
      <c r="O1201" s="113"/>
      <c r="P1201" s="113"/>
      <c r="Q1201" s="113"/>
      <c r="R1201" s="113"/>
      <c r="S1201" s="113"/>
      <c r="T1201" s="113"/>
      <c r="U1201" s="113"/>
      <c r="V1201" s="113" t="s">
        <v>72</v>
      </c>
      <c r="W1201" s="112" t="s">
        <v>3696</v>
      </c>
    </row>
    <row r="1202" ht="49.5" customHeight="1">
      <c r="A1202" s="110" t="s">
        <v>4128</v>
      </c>
      <c r="B1202" s="110" t="s">
        <v>4830</v>
      </c>
      <c r="C1202" s="110" t="s">
        <v>4130</v>
      </c>
      <c r="D1202" s="110"/>
      <c r="E1202" s="111" t="s">
        <v>4131</v>
      </c>
      <c r="F1202" s="111" t="s">
        <v>4831</v>
      </c>
      <c r="G1202" s="110" t="s">
        <v>271</v>
      </c>
      <c r="H1202" s="113">
        <v>1.0</v>
      </c>
      <c r="I1202" s="110" t="s">
        <v>70</v>
      </c>
      <c r="J1202" s="112">
        <v>22690.0</v>
      </c>
      <c r="K1202" s="113" t="s">
        <v>71</v>
      </c>
      <c r="L1202" s="113"/>
      <c r="M1202" s="113"/>
      <c r="N1202" s="113"/>
      <c r="O1202" s="113"/>
      <c r="P1202" s="113"/>
      <c r="Q1202" s="113"/>
      <c r="R1202" s="113"/>
      <c r="S1202" s="113"/>
      <c r="T1202" s="113"/>
      <c r="U1202" s="113"/>
      <c r="V1202" s="113" t="s">
        <v>72</v>
      </c>
      <c r="W1202" s="112" t="s">
        <v>3696</v>
      </c>
    </row>
    <row r="1203" ht="49.5" customHeight="1">
      <c r="A1203" s="110" t="s">
        <v>4138</v>
      </c>
      <c r="B1203" s="110" t="s">
        <v>4832</v>
      </c>
      <c r="C1203" s="110" t="s">
        <v>4140</v>
      </c>
      <c r="D1203" s="110"/>
      <c r="E1203" s="111" t="s">
        <v>4141</v>
      </c>
      <c r="F1203" s="111" t="s">
        <v>4833</v>
      </c>
      <c r="G1203" s="110" t="s">
        <v>271</v>
      </c>
      <c r="H1203" s="113">
        <v>1.0</v>
      </c>
      <c r="I1203" s="110" t="s">
        <v>70</v>
      </c>
      <c r="J1203" s="112">
        <v>22290.0</v>
      </c>
      <c r="K1203" s="113" t="s">
        <v>71</v>
      </c>
      <c r="L1203" s="113"/>
      <c r="M1203" s="113"/>
      <c r="N1203" s="113"/>
      <c r="O1203" s="113"/>
      <c r="P1203" s="113"/>
      <c r="Q1203" s="113"/>
      <c r="R1203" s="113"/>
      <c r="S1203" s="113"/>
      <c r="T1203" s="113"/>
      <c r="U1203" s="113"/>
      <c r="V1203" s="113" t="s">
        <v>72</v>
      </c>
      <c r="W1203" s="112" t="s">
        <v>3696</v>
      </c>
    </row>
    <row r="1204" ht="49.5" customHeight="1">
      <c r="A1204" s="110" t="s">
        <v>4834</v>
      </c>
      <c r="B1204" s="110" t="s">
        <v>4835</v>
      </c>
      <c r="C1204" s="110" t="s">
        <v>4836</v>
      </c>
      <c r="D1204" s="110"/>
      <c r="E1204" s="111" t="s">
        <v>4837</v>
      </c>
      <c r="F1204" s="111" t="s">
        <v>4838</v>
      </c>
      <c r="G1204" s="110" t="s">
        <v>4839</v>
      </c>
      <c r="H1204" s="113">
        <v>1.0</v>
      </c>
      <c r="I1204" s="110" t="s">
        <v>70</v>
      </c>
      <c r="J1204" s="112">
        <v>24190.0</v>
      </c>
      <c r="K1204" s="113" t="s">
        <v>71</v>
      </c>
      <c r="L1204" s="113"/>
      <c r="M1204" s="113"/>
      <c r="N1204" s="113"/>
      <c r="O1204" s="113"/>
      <c r="P1204" s="113"/>
      <c r="Q1204" s="113"/>
      <c r="R1204" s="113"/>
      <c r="S1204" s="113"/>
      <c r="T1204" s="113"/>
      <c r="U1204" s="113"/>
      <c r="V1204" s="113" t="s">
        <v>72</v>
      </c>
      <c r="W1204" s="112" t="s">
        <v>3696</v>
      </c>
    </row>
    <row r="1205" ht="49.5" customHeight="1">
      <c r="A1205" s="110" t="s">
        <v>4840</v>
      </c>
      <c r="B1205" s="110" t="s">
        <v>4841</v>
      </c>
      <c r="C1205" s="110" t="s">
        <v>4842</v>
      </c>
      <c r="D1205" s="110"/>
      <c r="E1205" s="111" t="s">
        <v>4843</v>
      </c>
      <c r="F1205" s="111" t="s">
        <v>4844</v>
      </c>
      <c r="G1205" s="110" t="s">
        <v>79</v>
      </c>
      <c r="H1205" s="113">
        <v>1.0</v>
      </c>
      <c r="I1205" s="110" t="s">
        <v>70</v>
      </c>
      <c r="J1205" s="112">
        <v>38890.0</v>
      </c>
      <c r="K1205" s="113" t="s">
        <v>71</v>
      </c>
      <c r="L1205" s="113"/>
      <c r="M1205" s="113"/>
      <c r="N1205" s="113"/>
      <c r="O1205" s="113"/>
      <c r="P1205" s="113"/>
      <c r="Q1205" s="113"/>
      <c r="R1205" s="113"/>
      <c r="S1205" s="113"/>
      <c r="T1205" s="113"/>
      <c r="U1205" s="113"/>
      <c r="V1205" s="113" t="s">
        <v>72</v>
      </c>
      <c r="W1205" s="112" t="s">
        <v>3696</v>
      </c>
    </row>
    <row r="1206" ht="49.5" customHeight="1">
      <c r="A1206" s="110" t="s">
        <v>4845</v>
      </c>
      <c r="B1206" s="110" t="s">
        <v>4846</v>
      </c>
      <c r="C1206" s="110" t="s">
        <v>4847</v>
      </c>
      <c r="D1206" s="110"/>
      <c r="E1206" s="111" t="s">
        <v>4848</v>
      </c>
      <c r="F1206" s="111" t="s">
        <v>4849</v>
      </c>
      <c r="G1206" s="110" t="s">
        <v>165</v>
      </c>
      <c r="H1206" s="113">
        <v>1.0</v>
      </c>
      <c r="I1206" s="110" t="s">
        <v>70</v>
      </c>
      <c r="J1206" s="112">
        <v>33990.0</v>
      </c>
      <c r="K1206" s="113" t="s">
        <v>71</v>
      </c>
      <c r="L1206" s="113"/>
      <c r="M1206" s="113"/>
      <c r="N1206" s="113"/>
      <c r="O1206" s="113"/>
      <c r="P1206" s="113"/>
      <c r="Q1206" s="113"/>
      <c r="R1206" s="113"/>
      <c r="S1206" s="113"/>
      <c r="T1206" s="113"/>
      <c r="U1206" s="113"/>
      <c r="V1206" s="113" t="s">
        <v>72</v>
      </c>
      <c r="W1206" s="112" t="s">
        <v>3696</v>
      </c>
    </row>
    <row r="1207" ht="49.5" customHeight="1">
      <c r="A1207" s="110" t="s">
        <v>4850</v>
      </c>
      <c r="B1207" s="110" t="s">
        <v>4851</v>
      </c>
      <c r="C1207" s="110" t="s">
        <v>4852</v>
      </c>
      <c r="D1207" s="110"/>
      <c r="E1207" s="111" t="s">
        <v>4853</v>
      </c>
      <c r="F1207" s="111" t="s">
        <v>4854</v>
      </c>
      <c r="G1207" s="110" t="s">
        <v>138</v>
      </c>
      <c r="H1207" s="113">
        <v>1.0</v>
      </c>
      <c r="I1207" s="110" t="s">
        <v>70</v>
      </c>
      <c r="J1207" s="112">
        <v>29490.0</v>
      </c>
      <c r="K1207" s="113" t="s">
        <v>71</v>
      </c>
      <c r="L1207" s="113"/>
      <c r="M1207" s="113"/>
      <c r="N1207" s="113"/>
      <c r="O1207" s="113"/>
      <c r="P1207" s="113"/>
      <c r="Q1207" s="113"/>
      <c r="R1207" s="113"/>
      <c r="S1207" s="113"/>
      <c r="T1207" s="113"/>
      <c r="U1207" s="113"/>
      <c r="V1207" s="113" t="s">
        <v>72</v>
      </c>
      <c r="W1207" s="112" t="s">
        <v>3696</v>
      </c>
    </row>
    <row r="1208" ht="49.5" customHeight="1">
      <c r="A1208" s="110" t="s">
        <v>4855</v>
      </c>
      <c r="B1208" s="110" t="s">
        <v>4856</v>
      </c>
      <c r="C1208" s="110" t="s">
        <v>4857</v>
      </c>
      <c r="D1208" s="110"/>
      <c r="E1208" s="111" t="s">
        <v>4858</v>
      </c>
      <c r="F1208" s="111" t="s">
        <v>4859</v>
      </c>
      <c r="G1208" s="110" t="s">
        <v>165</v>
      </c>
      <c r="H1208" s="113">
        <v>1.0</v>
      </c>
      <c r="I1208" s="110" t="s">
        <v>70</v>
      </c>
      <c r="J1208" s="112">
        <v>26490.0</v>
      </c>
      <c r="K1208" s="113" t="s">
        <v>71</v>
      </c>
      <c r="L1208" s="113"/>
      <c r="M1208" s="113"/>
      <c r="N1208" s="113"/>
      <c r="O1208" s="113"/>
      <c r="P1208" s="113"/>
      <c r="Q1208" s="113"/>
      <c r="R1208" s="113"/>
      <c r="S1208" s="113"/>
      <c r="T1208" s="113"/>
      <c r="U1208" s="113"/>
      <c r="V1208" s="113" t="s">
        <v>72</v>
      </c>
      <c r="W1208" s="112" t="s">
        <v>3696</v>
      </c>
    </row>
    <row r="1209" ht="49.5" customHeight="1">
      <c r="A1209" s="110" t="s">
        <v>4860</v>
      </c>
      <c r="B1209" s="110" t="s">
        <v>4861</v>
      </c>
      <c r="C1209" s="110" t="s">
        <v>4862</v>
      </c>
      <c r="D1209" s="110"/>
      <c r="E1209" s="111" t="s">
        <v>4863</v>
      </c>
      <c r="F1209" s="111" t="s">
        <v>4864</v>
      </c>
      <c r="G1209" s="110" t="s">
        <v>138</v>
      </c>
      <c r="H1209" s="113">
        <v>1.0</v>
      </c>
      <c r="I1209" s="110" t="s">
        <v>70</v>
      </c>
      <c r="J1209" s="112">
        <v>26490.0</v>
      </c>
      <c r="K1209" s="113" t="s">
        <v>71</v>
      </c>
      <c r="L1209" s="113"/>
      <c r="M1209" s="113"/>
      <c r="N1209" s="113"/>
      <c r="O1209" s="113"/>
      <c r="P1209" s="113"/>
      <c r="Q1209" s="113"/>
      <c r="R1209" s="113"/>
      <c r="S1209" s="113"/>
      <c r="T1209" s="113"/>
      <c r="U1209" s="113"/>
      <c r="V1209" s="113" t="s">
        <v>72</v>
      </c>
      <c r="W1209" s="112" t="s">
        <v>3696</v>
      </c>
    </row>
    <row r="1210" ht="49.5" customHeight="1">
      <c r="A1210" s="110" t="s">
        <v>4865</v>
      </c>
      <c r="B1210" s="110" t="s">
        <v>4866</v>
      </c>
      <c r="C1210" s="110" t="s">
        <v>4867</v>
      </c>
      <c r="D1210" s="110"/>
      <c r="E1210" s="111" t="s">
        <v>4868</v>
      </c>
      <c r="F1210" s="111" t="s">
        <v>4869</v>
      </c>
      <c r="G1210" s="110" t="s">
        <v>79</v>
      </c>
      <c r="H1210" s="113">
        <v>1.0</v>
      </c>
      <c r="I1210" s="110" t="s">
        <v>70</v>
      </c>
      <c r="J1210" s="112">
        <v>27790.0</v>
      </c>
      <c r="K1210" s="113" t="s">
        <v>71</v>
      </c>
      <c r="L1210" s="113"/>
      <c r="M1210" s="113"/>
      <c r="N1210" s="113"/>
      <c r="O1210" s="113"/>
      <c r="P1210" s="113"/>
      <c r="Q1210" s="113"/>
      <c r="R1210" s="113"/>
      <c r="S1210" s="113"/>
      <c r="T1210" s="113"/>
      <c r="U1210" s="113"/>
      <c r="V1210" s="113" t="s">
        <v>72</v>
      </c>
      <c r="W1210" s="112" t="s">
        <v>3696</v>
      </c>
    </row>
    <row r="1211" ht="49.5" customHeight="1">
      <c r="A1211" s="110" t="s">
        <v>63</v>
      </c>
      <c r="B1211" s="110" t="s">
        <v>4870</v>
      </c>
      <c r="C1211" s="110"/>
      <c r="D1211" s="110"/>
      <c r="E1211" s="112" t="s">
        <v>63</v>
      </c>
      <c r="F1211" s="111" t="s">
        <v>4871</v>
      </c>
      <c r="G1211" s="110" t="s">
        <v>70</v>
      </c>
      <c r="H1211" s="110" t="s">
        <v>321</v>
      </c>
      <c r="I1211" s="110" t="s">
        <v>70</v>
      </c>
      <c r="J1211" s="112">
        <v>9590.0</v>
      </c>
      <c r="K1211" s="113" t="s">
        <v>71</v>
      </c>
      <c r="L1211" s="113"/>
      <c r="M1211" s="113"/>
      <c r="N1211" s="113"/>
      <c r="O1211" s="113"/>
      <c r="P1211" s="113"/>
      <c r="Q1211" s="113"/>
      <c r="R1211" s="113"/>
      <c r="S1211" s="113"/>
      <c r="T1211" s="113"/>
      <c r="U1211" s="113"/>
      <c r="V1211" s="113" t="s">
        <v>72</v>
      </c>
      <c r="W1211" s="112" t="s">
        <v>3696</v>
      </c>
    </row>
    <row r="1212" ht="49.5" customHeight="1">
      <c r="A1212" s="110" t="s">
        <v>63</v>
      </c>
      <c r="B1212" s="110" t="s">
        <v>4870</v>
      </c>
      <c r="C1212" s="110" t="s">
        <v>4872</v>
      </c>
      <c r="D1212" s="110" t="s">
        <v>4872</v>
      </c>
      <c r="E1212" s="111" t="s">
        <v>4873</v>
      </c>
      <c r="F1212" s="114" t="str">
        <f>"     "&amp;F1211</f>
        <v>     Conjunto Canillera Y Media Adulto 80.20 Manchester</v>
      </c>
      <c r="G1212" s="110" t="s">
        <v>4874</v>
      </c>
      <c r="H1212" s="113">
        <v>10.0</v>
      </c>
      <c r="I1212" s="110" t="s">
        <v>70</v>
      </c>
      <c r="J1212" s="112">
        <f>J1211</f>
        <v>9590</v>
      </c>
      <c r="K1212" s="110" t="str">
        <f>K1211&amp;"     "</f>
        <v>$     </v>
      </c>
      <c r="L1212" s="110" t="str">
        <f t="shared" ref="L1212:U1212" si="779">L1211</f>
        <v/>
      </c>
      <c r="M1212" s="110" t="str">
        <f t="shared" si="779"/>
        <v/>
      </c>
      <c r="N1212" s="110" t="str">
        <f t="shared" si="779"/>
        <v/>
      </c>
      <c r="O1212" s="110" t="str">
        <f t="shared" si="779"/>
        <v/>
      </c>
      <c r="P1212" s="110" t="str">
        <f t="shared" si="779"/>
        <v/>
      </c>
      <c r="Q1212" s="110" t="str">
        <f t="shared" si="779"/>
        <v/>
      </c>
      <c r="R1212" s="110" t="str">
        <f t="shared" si="779"/>
        <v/>
      </c>
      <c r="S1212" s="110" t="str">
        <f t="shared" si="779"/>
        <v/>
      </c>
      <c r="T1212" s="110" t="str">
        <f t="shared" si="779"/>
        <v/>
      </c>
      <c r="U1212" s="110" t="str">
        <f t="shared" si="779"/>
        <v/>
      </c>
      <c r="V1212" s="110" t="str">
        <f t="shared" ref="V1212:W1212" si="780">V1211&amp;"     "</f>
        <v>Nuevo     </v>
      </c>
      <c r="W1212" s="112" t="str">
        <f t="shared" si="780"/>
        <v>Inactiva     </v>
      </c>
    </row>
    <row r="1213" ht="49.5" customHeight="1">
      <c r="A1213" s="110" t="s">
        <v>63</v>
      </c>
      <c r="B1213" s="110" t="s">
        <v>4870</v>
      </c>
      <c r="C1213" s="110" t="s">
        <v>4875</v>
      </c>
      <c r="D1213" s="110" t="s">
        <v>4875</v>
      </c>
      <c r="E1213" s="111" t="s">
        <v>4876</v>
      </c>
      <c r="F1213" s="114" t="str">
        <f>"     "&amp;F1211</f>
        <v>     Conjunto Canillera Y Media Adulto 80.20 Manchester</v>
      </c>
      <c r="G1213" s="110" t="s">
        <v>4877</v>
      </c>
      <c r="H1213" s="113">
        <v>10.0</v>
      </c>
      <c r="I1213" s="110" t="s">
        <v>70</v>
      </c>
      <c r="J1213" s="112">
        <f>J1211</f>
        <v>9590</v>
      </c>
      <c r="K1213" s="110" t="str">
        <f>K1211&amp;"     "</f>
        <v>$     </v>
      </c>
      <c r="L1213" s="110" t="str">
        <f t="shared" ref="L1213:U1213" si="781">L1211</f>
        <v/>
      </c>
      <c r="M1213" s="110" t="str">
        <f t="shared" si="781"/>
        <v/>
      </c>
      <c r="N1213" s="110" t="str">
        <f t="shared" si="781"/>
        <v/>
      </c>
      <c r="O1213" s="110" t="str">
        <f t="shared" si="781"/>
        <v/>
      </c>
      <c r="P1213" s="110" t="str">
        <f t="shared" si="781"/>
        <v/>
      </c>
      <c r="Q1213" s="110" t="str">
        <f t="shared" si="781"/>
        <v/>
      </c>
      <c r="R1213" s="110" t="str">
        <f t="shared" si="781"/>
        <v/>
      </c>
      <c r="S1213" s="110" t="str">
        <f t="shared" si="781"/>
        <v/>
      </c>
      <c r="T1213" s="110" t="str">
        <f t="shared" si="781"/>
        <v/>
      </c>
      <c r="U1213" s="110" t="str">
        <f t="shared" si="781"/>
        <v/>
      </c>
      <c r="V1213" s="110" t="str">
        <f t="shared" ref="V1213:W1213" si="782">V1211&amp;"     "</f>
        <v>Nuevo     </v>
      </c>
      <c r="W1213" s="112" t="str">
        <f t="shared" si="782"/>
        <v>Inactiva     </v>
      </c>
    </row>
    <row r="1214" ht="49.5" customHeight="1">
      <c r="A1214" s="110" t="s">
        <v>63</v>
      </c>
      <c r="B1214" s="110" t="s">
        <v>4870</v>
      </c>
      <c r="C1214" s="110" t="s">
        <v>4878</v>
      </c>
      <c r="D1214" s="110" t="s">
        <v>4878</v>
      </c>
      <c r="E1214" s="111" t="s">
        <v>4879</v>
      </c>
      <c r="F1214" s="114" t="str">
        <f>"     "&amp;F1211</f>
        <v>     Conjunto Canillera Y Media Adulto 80.20 Manchester</v>
      </c>
      <c r="G1214" s="110" t="s">
        <v>4880</v>
      </c>
      <c r="H1214" s="113">
        <v>10.0</v>
      </c>
      <c r="I1214" s="110" t="s">
        <v>70</v>
      </c>
      <c r="J1214" s="112">
        <f>J1211</f>
        <v>9590</v>
      </c>
      <c r="K1214" s="110" t="str">
        <f>K1211&amp;"     "</f>
        <v>$     </v>
      </c>
      <c r="L1214" s="110" t="str">
        <f t="shared" ref="L1214:U1214" si="783">L1211</f>
        <v/>
      </c>
      <c r="M1214" s="110" t="str">
        <f t="shared" si="783"/>
        <v/>
      </c>
      <c r="N1214" s="110" t="str">
        <f t="shared" si="783"/>
        <v/>
      </c>
      <c r="O1214" s="110" t="str">
        <f t="shared" si="783"/>
        <v/>
      </c>
      <c r="P1214" s="110" t="str">
        <f t="shared" si="783"/>
        <v/>
      </c>
      <c r="Q1214" s="110" t="str">
        <f t="shared" si="783"/>
        <v/>
      </c>
      <c r="R1214" s="110" t="str">
        <f t="shared" si="783"/>
        <v/>
      </c>
      <c r="S1214" s="110" t="str">
        <f t="shared" si="783"/>
        <v/>
      </c>
      <c r="T1214" s="110" t="str">
        <f t="shared" si="783"/>
        <v/>
      </c>
      <c r="U1214" s="110" t="str">
        <f t="shared" si="783"/>
        <v/>
      </c>
      <c r="V1214" s="110" t="str">
        <f t="shared" ref="V1214:W1214" si="784">V1211&amp;"     "</f>
        <v>Nuevo     </v>
      </c>
      <c r="W1214" s="112" t="str">
        <f t="shared" si="784"/>
        <v>Inactiva     </v>
      </c>
    </row>
    <row r="1215" ht="49.5" customHeight="1">
      <c r="A1215" s="110" t="s">
        <v>4881</v>
      </c>
      <c r="B1215" s="110" t="s">
        <v>4882</v>
      </c>
      <c r="C1215" s="110" t="s">
        <v>4883</v>
      </c>
      <c r="D1215" s="110"/>
      <c r="E1215" s="111" t="s">
        <v>4884</v>
      </c>
      <c r="F1215" s="111" t="s">
        <v>4885</v>
      </c>
      <c r="G1215" s="110" t="s">
        <v>165</v>
      </c>
      <c r="H1215" s="113">
        <v>1.0</v>
      </c>
      <c r="I1215" s="110" t="s">
        <v>70</v>
      </c>
      <c r="J1215" s="112">
        <v>36490.0</v>
      </c>
      <c r="K1215" s="113" t="s">
        <v>71</v>
      </c>
      <c r="L1215" s="113"/>
      <c r="M1215" s="113"/>
      <c r="N1215" s="113"/>
      <c r="O1215" s="113"/>
      <c r="P1215" s="113"/>
      <c r="Q1215" s="113"/>
      <c r="R1215" s="113"/>
      <c r="S1215" s="113"/>
      <c r="T1215" s="113"/>
      <c r="U1215" s="113"/>
      <c r="V1215" s="113" t="s">
        <v>72</v>
      </c>
      <c r="W1215" s="112" t="s">
        <v>3696</v>
      </c>
    </row>
    <row r="1216" ht="49.5" customHeight="1">
      <c r="A1216" s="110" t="s">
        <v>4886</v>
      </c>
      <c r="B1216" s="110" t="s">
        <v>4887</v>
      </c>
      <c r="C1216" s="110" t="s">
        <v>4888</v>
      </c>
      <c r="D1216" s="110"/>
      <c r="E1216" s="111" t="s">
        <v>4889</v>
      </c>
      <c r="F1216" s="111" t="s">
        <v>4890</v>
      </c>
      <c r="G1216" s="110" t="s">
        <v>79</v>
      </c>
      <c r="H1216" s="113">
        <v>1.0</v>
      </c>
      <c r="I1216" s="110" t="s">
        <v>70</v>
      </c>
      <c r="J1216" s="112">
        <v>36890.0</v>
      </c>
      <c r="K1216" s="113" t="s">
        <v>71</v>
      </c>
      <c r="L1216" s="113"/>
      <c r="M1216" s="113"/>
      <c r="N1216" s="113"/>
      <c r="O1216" s="113"/>
      <c r="P1216" s="113"/>
      <c r="Q1216" s="113"/>
      <c r="R1216" s="113"/>
      <c r="S1216" s="113"/>
      <c r="T1216" s="113"/>
      <c r="U1216" s="113"/>
      <c r="V1216" s="113" t="s">
        <v>72</v>
      </c>
      <c r="W1216" s="112" t="s">
        <v>3696</v>
      </c>
    </row>
    <row r="1217" ht="49.5" customHeight="1">
      <c r="A1217" s="110" t="s">
        <v>4891</v>
      </c>
      <c r="B1217" s="110" t="s">
        <v>4892</v>
      </c>
      <c r="C1217" s="110" t="s">
        <v>4893</v>
      </c>
      <c r="D1217" s="110"/>
      <c r="E1217" s="111" t="s">
        <v>4894</v>
      </c>
      <c r="F1217" s="111" t="s">
        <v>4895</v>
      </c>
      <c r="G1217" s="110" t="s">
        <v>4895</v>
      </c>
      <c r="H1217" s="113">
        <v>10.0</v>
      </c>
      <c r="I1217" s="110" t="s">
        <v>70</v>
      </c>
      <c r="J1217" s="112">
        <v>25390.0</v>
      </c>
      <c r="K1217" s="113" t="s">
        <v>71</v>
      </c>
      <c r="L1217" s="113"/>
      <c r="M1217" s="113"/>
      <c r="N1217" s="113"/>
      <c r="O1217" s="113"/>
      <c r="P1217" s="113"/>
      <c r="Q1217" s="113"/>
      <c r="R1217" s="113"/>
      <c r="S1217" s="113"/>
      <c r="T1217" s="113"/>
      <c r="U1217" s="113"/>
      <c r="V1217" s="113" t="s">
        <v>72</v>
      </c>
      <c r="W1217" s="112" t="s">
        <v>3696</v>
      </c>
    </row>
    <row r="1218" ht="49.5" customHeight="1">
      <c r="A1218" s="110" t="s">
        <v>4896</v>
      </c>
      <c r="B1218" s="110" t="s">
        <v>4897</v>
      </c>
      <c r="C1218" s="110" t="s">
        <v>4898</v>
      </c>
      <c r="D1218" s="110"/>
      <c r="E1218" s="111" t="s">
        <v>4899</v>
      </c>
      <c r="F1218" s="111" t="s">
        <v>4900</v>
      </c>
      <c r="G1218" s="110" t="s">
        <v>165</v>
      </c>
      <c r="H1218" s="113">
        <v>1.0</v>
      </c>
      <c r="I1218" s="110" t="s">
        <v>70</v>
      </c>
      <c r="J1218" s="112">
        <v>31090.0</v>
      </c>
      <c r="K1218" s="113" t="s">
        <v>71</v>
      </c>
      <c r="L1218" s="113"/>
      <c r="M1218" s="113"/>
      <c r="N1218" s="113"/>
      <c r="O1218" s="113"/>
      <c r="P1218" s="113"/>
      <c r="Q1218" s="113"/>
      <c r="R1218" s="113"/>
      <c r="S1218" s="113"/>
      <c r="T1218" s="113"/>
      <c r="U1218" s="113"/>
      <c r="V1218" s="113" t="s">
        <v>72</v>
      </c>
      <c r="W1218" s="112" t="s">
        <v>3696</v>
      </c>
    </row>
    <row r="1219" ht="49.5" customHeight="1">
      <c r="A1219" s="110" t="s">
        <v>4110</v>
      </c>
      <c r="B1219" s="110" t="s">
        <v>4901</v>
      </c>
      <c r="C1219" s="110" t="s">
        <v>4112</v>
      </c>
      <c r="D1219" s="110"/>
      <c r="E1219" s="111" t="s">
        <v>4113</v>
      </c>
      <c r="F1219" s="112" t="s">
        <v>4902</v>
      </c>
      <c r="G1219" s="110" t="s">
        <v>70</v>
      </c>
      <c r="H1219" s="113">
        <v>1.0</v>
      </c>
      <c r="I1219" s="110" t="s">
        <v>70</v>
      </c>
      <c r="J1219" s="112">
        <v>31090.0</v>
      </c>
      <c r="K1219" s="113" t="s">
        <v>71</v>
      </c>
      <c r="L1219" s="113"/>
      <c r="M1219" s="113"/>
      <c r="N1219" s="113"/>
      <c r="O1219" s="113"/>
      <c r="P1219" s="113"/>
      <c r="Q1219" s="113"/>
      <c r="R1219" s="113"/>
      <c r="S1219" s="113"/>
      <c r="T1219" s="113"/>
      <c r="U1219" s="113"/>
      <c r="V1219" s="110" t="s">
        <v>72</v>
      </c>
      <c r="W1219" s="112" t="s">
        <v>3696</v>
      </c>
    </row>
    <row r="1220" ht="49.5" customHeight="1">
      <c r="A1220" s="110" t="s">
        <v>4834</v>
      </c>
      <c r="B1220" s="110" t="s">
        <v>4903</v>
      </c>
      <c r="C1220" s="110" t="s">
        <v>4836</v>
      </c>
      <c r="D1220" s="110"/>
      <c r="E1220" s="111" t="s">
        <v>4837</v>
      </c>
      <c r="F1220" s="112" t="s">
        <v>4904</v>
      </c>
      <c r="G1220" s="110" t="s">
        <v>70</v>
      </c>
      <c r="H1220" s="113">
        <v>1.0</v>
      </c>
      <c r="I1220" s="110" t="s">
        <v>70</v>
      </c>
      <c r="J1220" s="112">
        <v>24190.0</v>
      </c>
      <c r="K1220" s="113" t="s">
        <v>71</v>
      </c>
      <c r="L1220" s="113"/>
      <c r="M1220" s="113"/>
      <c r="N1220" s="113"/>
      <c r="O1220" s="113"/>
      <c r="P1220" s="113"/>
      <c r="Q1220" s="113"/>
      <c r="R1220" s="113"/>
      <c r="S1220" s="113"/>
      <c r="T1220" s="113"/>
      <c r="U1220" s="113"/>
      <c r="V1220" s="110" t="s">
        <v>72</v>
      </c>
      <c r="W1220" s="112" t="s">
        <v>3696</v>
      </c>
    </row>
    <row r="1221" ht="49.5" customHeight="1">
      <c r="A1221" s="110" t="s">
        <v>4757</v>
      </c>
      <c r="B1221" s="110" t="s">
        <v>4905</v>
      </c>
      <c r="C1221" s="110" t="s">
        <v>4759</v>
      </c>
      <c r="D1221" s="110"/>
      <c r="E1221" s="111" t="s">
        <v>4760</v>
      </c>
      <c r="F1221" s="112" t="s">
        <v>4906</v>
      </c>
      <c r="G1221" s="110" t="s">
        <v>70</v>
      </c>
      <c r="H1221" s="113">
        <v>1.0</v>
      </c>
      <c r="I1221" s="110" t="s">
        <v>70</v>
      </c>
      <c r="J1221" s="112">
        <v>31290.0</v>
      </c>
      <c r="K1221" s="113" t="s">
        <v>71</v>
      </c>
      <c r="L1221" s="113"/>
      <c r="M1221" s="113"/>
      <c r="N1221" s="113"/>
      <c r="O1221" s="113"/>
      <c r="P1221" s="113"/>
      <c r="Q1221" s="113"/>
      <c r="R1221" s="113"/>
      <c r="S1221" s="113"/>
      <c r="T1221" s="113"/>
      <c r="U1221" s="113"/>
      <c r="V1221" s="110" t="s">
        <v>72</v>
      </c>
      <c r="W1221" s="112" t="s">
        <v>3696</v>
      </c>
    </row>
    <row r="1222" ht="49.5" customHeight="1">
      <c r="A1222" s="110" t="s">
        <v>4352</v>
      </c>
      <c r="B1222" s="110" t="s">
        <v>4907</v>
      </c>
      <c r="C1222" s="110" t="s">
        <v>4354</v>
      </c>
      <c r="D1222" s="110"/>
      <c r="E1222" s="111" t="s">
        <v>4355</v>
      </c>
      <c r="F1222" s="112" t="s">
        <v>4908</v>
      </c>
      <c r="G1222" s="110" t="s">
        <v>70</v>
      </c>
      <c r="H1222" s="113">
        <v>0.0</v>
      </c>
      <c r="I1222" s="110" t="s">
        <v>70</v>
      </c>
      <c r="J1222" s="112">
        <v>12390.0</v>
      </c>
      <c r="K1222" s="113" t="s">
        <v>71</v>
      </c>
      <c r="L1222" s="113"/>
      <c r="M1222" s="113"/>
      <c r="N1222" s="113"/>
      <c r="O1222" s="113"/>
      <c r="P1222" s="113"/>
      <c r="Q1222" s="113"/>
      <c r="R1222" s="113"/>
      <c r="S1222" s="113"/>
      <c r="T1222" s="113"/>
      <c r="U1222" s="113"/>
      <c r="V1222" s="110" t="s">
        <v>72</v>
      </c>
      <c r="W1222" s="112" t="s">
        <v>3696</v>
      </c>
    </row>
    <row r="1223" ht="49.5" customHeight="1">
      <c r="A1223" s="110" t="s">
        <v>4909</v>
      </c>
      <c r="B1223" s="110" t="s">
        <v>4910</v>
      </c>
      <c r="C1223" s="110" t="s">
        <v>4911</v>
      </c>
      <c r="D1223" s="110"/>
      <c r="E1223" s="111" t="s">
        <v>4912</v>
      </c>
      <c r="F1223" s="111" t="s">
        <v>4913</v>
      </c>
      <c r="G1223" s="110" t="s">
        <v>2564</v>
      </c>
      <c r="H1223" s="113">
        <v>0.0</v>
      </c>
      <c r="I1223" s="110" t="s">
        <v>70</v>
      </c>
      <c r="J1223" s="112">
        <v>6590.0</v>
      </c>
      <c r="K1223" s="113" t="s">
        <v>71</v>
      </c>
      <c r="L1223" s="113"/>
      <c r="M1223" s="113"/>
      <c r="N1223" s="113"/>
      <c r="O1223" s="113"/>
      <c r="P1223" s="113"/>
      <c r="Q1223" s="113"/>
      <c r="R1223" s="113"/>
      <c r="S1223" s="113"/>
      <c r="T1223" s="113"/>
      <c r="U1223" s="113"/>
      <c r="V1223" s="113" t="s">
        <v>72</v>
      </c>
      <c r="W1223" s="112" t="s">
        <v>3696</v>
      </c>
    </row>
    <row r="1224" ht="49.5" customHeight="1">
      <c r="A1224" s="110" t="s">
        <v>4914</v>
      </c>
      <c r="B1224" s="110" t="s">
        <v>4915</v>
      </c>
      <c r="C1224" s="110" t="s">
        <v>4916</v>
      </c>
      <c r="D1224" s="110"/>
      <c r="E1224" s="111" t="s">
        <v>4917</v>
      </c>
      <c r="F1224" s="111" t="s">
        <v>4918</v>
      </c>
      <c r="G1224" s="110" t="s">
        <v>2564</v>
      </c>
      <c r="H1224" s="113">
        <v>0.0</v>
      </c>
      <c r="I1224" s="110" t="s">
        <v>70</v>
      </c>
      <c r="J1224" s="112">
        <v>3990.0</v>
      </c>
      <c r="K1224" s="113" t="s">
        <v>71</v>
      </c>
      <c r="L1224" s="113"/>
      <c r="M1224" s="113"/>
      <c r="N1224" s="113"/>
      <c r="O1224" s="113"/>
      <c r="P1224" s="113"/>
      <c r="Q1224" s="113"/>
      <c r="R1224" s="113"/>
      <c r="S1224" s="113"/>
      <c r="T1224" s="113"/>
      <c r="U1224" s="113"/>
      <c r="V1224" s="113" t="s">
        <v>72</v>
      </c>
      <c r="W1224" s="112" t="s">
        <v>3696</v>
      </c>
    </row>
    <row r="1225" ht="49.5" customHeight="1">
      <c r="A1225" s="110" t="s">
        <v>4919</v>
      </c>
      <c r="B1225" s="110" t="s">
        <v>4920</v>
      </c>
      <c r="C1225" s="110" t="s">
        <v>4921</v>
      </c>
      <c r="D1225" s="110"/>
      <c r="E1225" s="111" t="s">
        <v>3846</v>
      </c>
      <c r="F1225" s="111" t="s">
        <v>4922</v>
      </c>
      <c r="G1225" s="110" t="s">
        <v>2564</v>
      </c>
      <c r="H1225" s="113">
        <v>0.0</v>
      </c>
      <c r="I1225" s="110" t="s">
        <v>70</v>
      </c>
      <c r="J1225" s="112">
        <v>7690.0</v>
      </c>
      <c r="K1225" s="113" t="s">
        <v>71</v>
      </c>
      <c r="L1225" s="113"/>
      <c r="M1225" s="113"/>
      <c r="N1225" s="113"/>
      <c r="O1225" s="113"/>
      <c r="P1225" s="113"/>
      <c r="Q1225" s="113"/>
      <c r="R1225" s="113"/>
      <c r="S1225" s="113"/>
      <c r="T1225" s="113"/>
      <c r="U1225" s="113"/>
      <c r="V1225" s="113" t="s">
        <v>72</v>
      </c>
      <c r="W1225" s="112" t="s">
        <v>3696</v>
      </c>
    </row>
    <row r="1226" ht="49.5" customHeight="1">
      <c r="A1226" s="110" t="s">
        <v>4745</v>
      </c>
      <c r="B1226" s="110" t="s">
        <v>4923</v>
      </c>
      <c r="C1226" s="110" t="s">
        <v>4747</v>
      </c>
      <c r="D1226" s="110"/>
      <c r="E1226" s="111" t="s">
        <v>4748</v>
      </c>
      <c r="F1226" s="112" t="s">
        <v>4924</v>
      </c>
      <c r="G1226" s="110" t="s">
        <v>70</v>
      </c>
      <c r="H1226" s="113">
        <v>10.0</v>
      </c>
      <c r="I1226" s="110" t="s">
        <v>70</v>
      </c>
      <c r="J1226" s="112">
        <v>22490.0</v>
      </c>
      <c r="K1226" s="113" t="s">
        <v>71</v>
      </c>
      <c r="L1226" s="113"/>
      <c r="M1226" s="113"/>
      <c r="N1226" s="113"/>
      <c r="O1226" s="113"/>
      <c r="P1226" s="113"/>
      <c r="Q1226" s="113"/>
      <c r="R1226" s="113"/>
      <c r="S1226" s="113"/>
      <c r="T1226" s="113"/>
      <c r="U1226" s="113"/>
      <c r="V1226" s="110" t="s">
        <v>72</v>
      </c>
      <c r="W1226" s="112" t="s">
        <v>3696</v>
      </c>
    </row>
    <row r="1227" ht="49.5" customHeight="1">
      <c r="A1227" s="110" t="s">
        <v>63</v>
      </c>
      <c r="B1227" s="110" t="s">
        <v>4925</v>
      </c>
      <c r="C1227" s="110"/>
      <c r="D1227" s="110"/>
      <c r="E1227" s="112" t="s">
        <v>63</v>
      </c>
      <c r="F1227" s="111" t="s">
        <v>4926</v>
      </c>
      <c r="G1227" s="110" t="s">
        <v>70</v>
      </c>
      <c r="H1227" s="110" t="s">
        <v>4927</v>
      </c>
      <c r="I1227" s="110" t="s">
        <v>70</v>
      </c>
      <c r="J1227" s="112">
        <v>16290.0</v>
      </c>
      <c r="K1227" s="113" t="s">
        <v>71</v>
      </c>
      <c r="L1227" s="113"/>
      <c r="M1227" s="113"/>
      <c r="N1227" s="113"/>
      <c r="O1227" s="113"/>
      <c r="P1227" s="113"/>
      <c r="Q1227" s="113"/>
      <c r="R1227" s="113"/>
      <c r="S1227" s="113"/>
      <c r="T1227" s="113"/>
      <c r="U1227" s="113"/>
      <c r="V1227" s="113" t="s">
        <v>72</v>
      </c>
      <c r="W1227" s="112" t="s">
        <v>3696</v>
      </c>
    </row>
    <row r="1228" ht="49.5" customHeight="1">
      <c r="A1228" s="110" t="s">
        <v>63</v>
      </c>
      <c r="B1228" s="110" t="s">
        <v>4925</v>
      </c>
      <c r="C1228" s="110" t="s">
        <v>4928</v>
      </c>
      <c r="D1228" s="110" t="s">
        <v>4928</v>
      </c>
      <c r="E1228" s="111" t="s">
        <v>4929</v>
      </c>
      <c r="F1228" s="114" t="str">
        <f>"     "&amp;F1227</f>
        <v>     Pack Sosten Microfibra Jockey Sport S-285c Con Soft Push-up</v>
      </c>
      <c r="G1228" s="110" t="s">
        <v>4930</v>
      </c>
      <c r="H1228" s="113">
        <v>10.0</v>
      </c>
      <c r="I1228" s="110" t="s">
        <v>70</v>
      </c>
      <c r="J1228" s="112">
        <f>J1227</f>
        <v>16290</v>
      </c>
      <c r="K1228" s="110" t="str">
        <f>K1227&amp;"     "</f>
        <v>$     </v>
      </c>
      <c r="L1228" s="110" t="str">
        <f t="shared" ref="L1228:U1228" si="785">L1227</f>
        <v/>
      </c>
      <c r="M1228" s="110" t="str">
        <f t="shared" si="785"/>
        <v/>
      </c>
      <c r="N1228" s="110" t="str">
        <f t="shared" si="785"/>
        <v/>
      </c>
      <c r="O1228" s="110" t="str">
        <f t="shared" si="785"/>
        <v/>
      </c>
      <c r="P1228" s="110" t="str">
        <f t="shared" si="785"/>
        <v/>
      </c>
      <c r="Q1228" s="110" t="str">
        <f t="shared" si="785"/>
        <v/>
      </c>
      <c r="R1228" s="110" t="str">
        <f t="shared" si="785"/>
        <v/>
      </c>
      <c r="S1228" s="110" t="str">
        <f t="shared" si="785"/>
        <v/>
      </c>
      <c r="T1228" s="110" t="str">
        <f t="shared" si="785"/>
        <v/>
      </c>
      <c r="U1228" s="110" t="str">
        <f t="shared" si="785"/>
        <v/>
      </c>
      <c r="V1228" s="110" t="str">
        <f t="shared" ref="V1228:W1228" si="786">V1227&amp;"     "</f>
        <v>Nuevo     </v>
      </c>
      <c r="W1228" s="112" t="str">
        <f t="shared" si="786"/>
        <v>Inactiva     </v>
      </c>
    </row>
    <row r="1229" ht="49.5" customHeight="1">
      <c r="A1229" s="110" t="s">
        <v>63</v>
      </c>
      <c r="B1229" s="110" t="s">
        <v>4925</v>
      </c>
      <c r="C1229" s="110" t="s">
        <v>4931</v>
      </c>
      <c r="D1229" s="110" t="s">
        <v>4931</v>
      </c>
      <c r="E1229" s="111" t="s">
        <v>4932</v>
      </c>
      <c r="F1229" s="114" t="str">
        <f>"     "&amp;F1227</f>
        <v>     Pack Sosten Microfibra Jockey Sport S-285c Con Soft Push-up</v>
      </c>
      <c r="G1229" s="110" t="s">
        <v>4933</v>
      </c>
      <c r="H1229" s="113">
        <v>10.0</v>
      </c>
      <c r="I1229" s="110" t="s">
        <v>70</v>
      </c>
      <c r="J1229" s="112">
        <f>J1227</f>
        <v>16290</v>
      </c>
      <c r="K1229" s="110" t="str">
        <f>K1227&amp;"     "</f>
        <v>$     </v>
      </c>
      <c r="L1229" s="110" t="str">
        <f t="shared" ref="L1229:U1229" si="787">L1227</f>
        <v/>
      </c>
      <c r="M1229" s="110" t="str">
        <f t="shared" si="787"/>
        <v/>
      </c>
      <c r="N1229" s="110" t="str">
        <f t="shared" si="787"/>
        <v/>
      </c>
      <c r="O1229" s="110" t="str">
        <f t="shared" si="787"/>
        <v/>
      </c>
      <c r="P1229" s="110" t="str">
        <f t="shared" si="787"/>
        <v/>
      </c>
      <c r="Q1229" s="110" t="str">
        <f t="shared" si="787"/>
        <v/>
      </c>
      <c r="R1229" s="110" t="str">
        <f t="shared" si="787"/>
        <v/>
      </c>
      <c r="S1229" s="110" t="str">
        <f t="shared" si="787"/>
        <v/>
      </c>
      <c r="T1229" s="110" t="str">
        <f t="shared" si="787"/>
        <v/>
      </c>
      <c r="U1229" s="110" t="str">
        <f t="shared" si="787"/>
        <v/>
      </c>
      <c r="V1229" s="110" t="str">
        <f t="shared" ref="V1229:W1229" si="788">V1227&amp;"     "</f>
        <v>Nuevo     </v>
      </c>
      <c r="W1229" s="112" t="str">
        <f t="shared" si="788"/>
        <v>Inactiva     </v>
      </c>
    </row>
    <row r="1230" ht="49.5" customHeight="1">
      <c r="A1230" s="110" t="s">
        <v>63</v>
      </c>
      <c r="B1230" s="110" t="s">
        <v>4925</v>
      </c>
      <c r="C1230" s="110" t="s">
        <v>4934</v>
      </c>
      <c r="D1230" s="110" t="s">
        <v>4934</v>
      </c>
      <c r="E1230" s="111" t="s">
        <v>4935</v>
      </c>
      <c r="F1230" s="114" t="str">
        <f>"     "&amp;F1227</f>
        <v>     Pack Sosten Microfibra Jockey Sport S-285c Con Soft Push-up</v>
      </c>
      <c r="G1230" s="110" t="s">
        <v>4936</v>
      </c>
      <c r="H1230" s="113">
        <v>10.0</v>
      </c>
      <c r="I1230" s="110" t="s">
        <v>70</v>
      </c>
      <c r="J1230" s="112">
        <f>J1227</f>
        <v>16290</v>
      </c>
      <c r="K1230" s="110" t="str">
        <f>K1227&amp;"     "</f>
        <v>$     </v>
      </c>
      <c r="L1230" s="110" t="str">
        <f t="shared" ref="L1230:U1230" si="789">L1227</f>
        <v/>
      </c>
      <c r="M1230" s="110" t="str">
        <f t="shared" si="789"/>
        <v/>
      </c>
      <c r="N1230" s="110" t="str">
        <f t="shared" si="789"/>
        <v/>
      </c>
      <c r="O1230" s="110" t="str">
        <f t="shared" si="789"/>
        <v/>
      </c>
      <c r="P1230" s="110" t="str">
        <f t="shared" si="789"/>
        <v/>
      </c>
      <c r="Q1230" s="110" t="str">
        <f t="shared" si="789"/>
        <v/>
      </c>
      <c r="R1230" s="110" t="str">
        <f t="shared" si="789"/>
        <v/>
      </c>
      <c r="S1230" s="110" t="str">
        <f t="shared" si="789"/>
        <v/>
      </c>
      <c r="T1230" s="110" t="str">
        <f t="shared" si="789"/>
        <v/>
      </c>
      <c r="U1230" s="110" t="str">
        <f t="shared" si="789"/>
        <v/>
      </c>
      <c r="V1230" s="110" t="str">
        <f t="shared" ref="V1230:W1230" si="790">V1227&amp;"     "</f>
        <v>Nuevo     </v>
      </c>
      <c r="W1230" s="112" t="str">
        <f t="shared" si="790"/>
        <v>Inactiva     </v>
      </c>
    </row>
    <row r="1231" ht="49.5" customHeight="1">
      <c r="A1231" s="110" t="s">
        <v>63</v>
      </c>
      <c r="B1231" s="110" t="s">
        <v>4925</v>
      </c>
      <c r="C1231" s="110" t="s">
        <v>4937</v>
      </c>
      <c r="D1231" s="110" t="s">
        <v>4937</v>
      </c>
      <c r="E1231" s="111" t="s">
        <v>4938</v>
      </c>
      <c r="F1231" s="114" t="str">
        <f>"     "&amp;F1227</f>
        <v>     Pack Sosten Microfibra Jockey Sport S-285c Con Soft Push-up</v>
      </c>
      <c r="G1231" s="110" t="s">
        <v>4939</v>
      </c>
      <c r="H1231" s="113">
        <v>10.0</v>
      </c>
      <c r="I1231" s="110" t="s">
        <v>70</v>
      </c>
      <c r="J1231" s="112">
        <f>J1227</f>
        <v>16290</v>
      </c>
      <c r="K1231" s="110" t="str">
        <f>K1227&amp;"     "</f>
        <v>$     </v>
      </c>
      <c r="L1231" s="110" t="str">
        <f t="shared" ref="L1231:U1231" si="791">L1227</f>
        <v/>
      </c>
      <c r="M1231" s="110" t="str">
        <f t="shared" si="791"/>
        <v/>
      </c>
      <c r="N1231" s="110" t="str">
        <f t="shared" si="791"/>
        <v/>
      </c>
      <c r="O1231" s="110" t="str">
        <f t="shared" si="791"/>
        <v/>
      </c>
      <c r="P1231" s="110" t="str">
        <f t="shared" si="791"/>
        <v/>
      </c>
      <c r="Q1231" s="110" t="str">
        <f t="shared" si="791"/>
        <v/>
      </c>
      <c r="R1231" s="110" t="str">
        <f t="shared" si="791"/>
        <v/>
      </c>
      <c r="S1231" s="110" t="str">
        <f t="shared" si="791"/>
        <v/>
      </c>
      <c r="T1231" s="110" t="str">
        <f t="shared" si="791"/>
        <v/>
      </c>
      <c r="U1231" s="110" t="str">
        <f t="shared" si="791"/>
        <v/>
      </c>
      <c r="V1231" s="110" t="str">
        <f t="shared" ref="V1231:W1231" si="792">V1227&amp;"     "</f>
        <v>Nuevo     </v>
      </c>
      <c r="W1231" s="112" t="str">
        <f t="shared" si="792"/>
        <v>Inactiva     </v>
      </c>
    </row>
    <row r="1232" ht="49.5" customHeight="1">
      <c r="A1232" s="110" t="s">
        <v>63</v>
      </c>
      <c r="B1232" s="110" t="s">
        <v>4925</v>
      </c>
      <c r="C1232" s="110" t="s">
        <v>4940</v>
      </c>
      <c r="D1232" s="110" t="s">
        <v>4940</v>
      </c>
      <c r="E1232" s="111" t="s">
        <v>4941</v>
      </c>
      <c r="F1232" s="114" t="str">
        <f>"     "&amp;F1227</f>
        <v>     Pack Sosten Microfibra Jockey Sport S-285c Con Soft Push-up</v>
      </c>
      <c r="G1232" s="110" t="s">
        <v>4942</v>
      </c>
      <c r="H1232" s="113">
        <v>10.0</v>
      </c>
      <c r="I1232" s="110" t="s">
        <v>70</v>
      </c>
      <c r="J1232" s="112">
        <f>J1227</f>
        <v>16290</v>
      </c>
      <c r="K1232" s="110" t="str">
        <f>K1227&amp;"     "</f>
        <v>$     </v>
      </c>
      <c r="L1232" s="110" t="str">
        <f t="shared" ref="L1232:U1232" si="793">L1227</f>
        <v/>
      </c>
      <c r="M1232" s="110" t="str">
        <f t="shared" si="793"/>
        <v/>
      </c>
      <c r="N1232" s="110" t="str">
        <f t="shared" si="793"/>
        <v/>
      </c>
      <c r="O1232" s="110" t="str">
        <f t="shared" si="793"/>
        <v/>
      </c>
      <c r="P1232" s="110" t="str">
        <f t="shared" si="793"/>
        <v/>
      </c>
      <c r="Q1232" s="110" t="str">
        <f t="shared" si="793"/>
        <v/>
      </c>
      <c r="R1232" s="110" t="str">
        <f t="shared" si="793"/>
        <v/>
      </c>
      <c r="S1232" s="110" t="str">
        <f t="shared" si="793"/>
        <v/>
      </c>
      <c r="T1232" s="110" t="str">
        <f t="shared" si="793"/>
        <v/>
      </c>
      <c r="U1232" s="110" t="str">
        <f t="shared" si="793"/>
        <v/>
      </c>
      <c r="V1232" s="110" t="str">
        <f t="shared" ref="V1232:W1232" si="794">V1227&amp;"     "</f>
        <v>Nuevo     </v>
      </c>
      <c r="W1232" s="112" t="str">
        <f t="shared" si="794"/>
        <v>Inactiva     </v>
      </c>
    </row>
    <row r="1233" ht="49.5" customHeight="1">
      <c r="A1233" s="110" t="s">
        <v>63</v>
      </c>
      <c r="B1233" s="110" t="s">
        <v>4925</v>
      </c>
      <c r="C1233" s="110" t="s">
        <v>4943</v>
      </c>
      <c r="D1233" s="110" t="s">
        <v>4943</v>
      </c>
      <c r="E1233" s="111" t="s">
        <v>4944</v>
      </c>
      <c r="F1233" s="114" t="str">
        <f>"     "&amp;F1227</f>
        <v>     Pack Sosten Microfibra Jockey Sport S-285c Con Soft Push-up</v>
      </c>
      <c r="G1233" s="110" t="s">
        <v>4945</v>
      </c>
      <c r="H1233" s="113">
        <v>10.0</v>
      </c>
      <c r="I1233" s="110" t="s">
        <v>70</v>
      </c>
      <c r="J1233" s="112">
        <f>J1227</f>
        <v>16290</v>
      </c>
      <c r="K1233" s="110" t="str">
        <f>K1227&amp;"     "</f>
        <v>$     </v>
      </c>
      <c r="L1233" s="110" t="str">
        <f t="shared" ref="L1233:U1233" si="795">L1227</f>
        <v/>
      </c>
      <c r="M1233" s="110" t="str">
        <f t="shared" si="795"/>
        <v/>
      </c>
      <c r="N1233" s="110" t="str">
        <f t="shared" si="795"/>
        <v/>
      </c>
      <c r="O1233" s="110" t="str">
        <f t="shared" si="795"/>
        <v/>
      </c>
      <c r="P1233" s="110" t="str">
        <f t="shared" si="795"/>
        <v/>
      </c>
      <c r="Q1233" s="110" t="str">
        <f t="shared" si="795"/>
        <v/>
      </c>
      <c r="R1233" s="110" t="str">
        <f t="shared" si="795"/>
        <v/>
      </c>
      <c r="S1233" s="110" t="str">
        <f t="shared" si="795"/>
        <v/>
      </c>
      <c r="T1233" s="110" t="str">
        <f t="shared" si="795"/>
        <v/>
      </c>
      <c r="U1233" s="110" t="str">
        <f t="shared" si="795"/>
        <v/>
      </c>
      <c r="V1233" s="110" t="str">
        <f t="shared" ref="V1233:W1233" si="796">V1227&amp;"     "</f>
        <v>Nuevo     </v>
      </c>
      <c r="W1233" s="112" t="str">
        <f t="shared" si="796"/>
        <v>Inactiva     </v>
      </c>
    </row>
    <row r="1234" ht="49.5" customHeight="1">
      <c r="A1234" s="110" t="s">
        <v>63</v>
      </c>
      <c r="B1234" s="110" t="s">
        <v>4925</v>
      </c>
      <c r="C1234" s="110" t="s">
        <v>4946</v>
      </c>
      <c r="D1234" s="110" t="s">
        <v>4946</v>
      </c>
      <c r="E1234" s="111" t="s">
        <v>4947</v>
      </c>
      <c r="F1234" s="114" t="str">
        <f>"     "&amp;F1227</f>
        <v>     Pack Sosten Microfibra Jockey Sport S-285c Con Soft Push-up</v>
      </c>
      <c r="G1234" s="110" t="s">
        <v>4948</v>
      </c>
      <c r="H1234" s="113">
        <v>10.0</v>
      </c>
      <c r="I1234" s="110" t="s">
        <v>70</v>
      </c>
      <c r="J1234" s="112">
        <f>J1227</f>
        <v>16290</v>
      </c>
      <c r="K1234" s="110" t="str">
        <f>K1227&amp;"     "</f>
        <v>$     </v>
      </c>
      <c r="L1234" s="110" t="str">
        <f t="shared" ref="L1234:U1234" si="797">L1227</f>
        <v/>
      </c>
      <c r="M1234" s="110" t="str">
        <f t="shared" si="797"/>
        <v/>
      </c>
      <c r="N1234" s="110" t="str">
        <f t="shared" si="797"/>
        <v/>
      </c>
      <c r="O1234" s="110" t="str">
        <f t="shared" si="797"/>
        <v/>
      </c>
      <c r="P1234" s="110" t="str">
        <f t="shared" si="797"/>
        <v/>
      </c>
      <c r="Q1234" s="110" t="str">
        <f t="shared" si="797"/>
        <v/>
      </c>
      <c r="R1234" s="110" t="str">
        <f t="shared" si="797"/>
        <v/>
      </c>
      <c r="S1234" s="110" t="str">
        <f t="shared" si="797"/>
        <v/>
      </c>
      <c r="T1234" s="110" t="str">
        <f t="shared" si="797"/>
        <v/>
      </c>
      <c r="U1234" s="110" t="str">
        <f t="shared" si="797"/>
        <v/>
      </c>
      <c r="V1234" s="110" t="str">
        <f t="shared" ref="V1234:W1234" si="798">V1227&amp;"     "</f>
        <v>Nuevo     </v>
      </c>
      <c r="W1234" s="112" t="str">
        <f t="shared" si="798"/>
        <v>Inactiva     </v>
      </c>
    </row>
    <row r="1235" ht="49.5" customHeight="1">
      <c r="A1235" s="110" t="s">
        <v>63</v>
      </c>
      <c r="B1235" s="110" t="s">
        <v>4925</v>
      </c>
      <c r="C1235" s="110" t="s">
        <v>4949</v>
      </c>
      <c r="D1235" s="110" t="s">
        <v>4949</v>
      </c>
      <c r="E1235" s="111" t="s">
        <v>4950</v>
      </c>
      <c r="F1235" s="114" t="str">
        <f>"     "&amp;F1227</f>
        <v>     Pack Sosten Microfibra Jockey Sport S-285c Con Soft Push-up</v>
      </c>
      <c r="G1235" s="110" t="s">
        <v>4951</v>
      </c>
      <c r="H1235" s="113">
        <v>10.0</v>
      </c>
      <c r="I1235" s="110" t="s">
        <v>70</v>
      </c>
      <c r="J1235" s="112">
        <f>J1227</f>
        <v>16290</v>
      </c>
      <c r="K1235" s="110" t="str">
        <f>K1227&amp;"     "</f>
        <v>$     </v>
      </c>
      <c r="L1235" s="110" t="str">
        <f t="shared" ref="L1235:U1235" si="799">L1227</f>
        <v/>
      </c>
      <c r="M1235" s="110" t="str">
        <f t="shared" si="799"/>
        <v/>
      </c>
      <c r="N1235" s="110" t="str">
        <f t="shared" si="799"/>
        <v/>
      </c>
      <c r="O1235" s="110" t="str">
        <f t="shared" si="799"/>
        <v/>
      </c>
      <c r="P1235" s="110" t="str">
        <f t="shared" si="799"/>
        <v/>
      </c>
      <c r="Q1235" s="110" t="str">
        <f t="shared" si="799"/>
        <v/>
      </c>
      <c r="R1235" s="110" t="str">
        <f t="shared" si="799"/>
        <v/>
      </c>
      <c r="S1235" s="110" t="str">
        <f t="shared" si="799"/>
        <v/>
      </c>
      <c r="T1235" s="110" t="str">
        <f t="shared" si="799"/>
        <v/>
      </c>
      <c r="U1235" s="110" t="str">
        <f t="shared" si="799"/>
        <v/>
      </c>
      <c r="V1235" s="110" t="str">
        <f t="shared" ref="V1235:W1235" si="800">V1227&amp;"     "</f>
        <v>Nuevo     </v>
      </c>
      <c r="W1235" s="112" t="str">
        <f t="shared" si="800"/>
        <v>Inactiva     </v>
      </c>
    </row>
    <row r="1236" ht="49.5" customHeight="1">
      <c r="A1236" s="110" t="s">
        <v>63</v>
      </c>
      <c r="B1236" s="110" t="s">
        <v>4925</v>
      </c>
      <c r="C1236" s="110" t="s">
        <v>4952</v>
      </c>
      <c r="D1236" s="110" t="s">
        <v>4952</v>
      </c>
      <c r="E1236" s="111" t="s">
        <v>4953</v>
      </c>
      <c r="F1236" s="114" t="str">
        <f>"     "&amp;F1227</f>
        <v>     Pack Sosten Microfibra Jockey Sport S-285c Con Soft Push-up</v>
      </c>
      <c r="G1236" s="110" t="s">
        <v>4954</v>
      </c>
      <c r="H1236" s="113">
        <v>10.0</v>
      </c>
      <c r="I1236" s="110" t="s">
        <v>70</v>
      </c>
      <c r="J1236" s="112">
        <f>J1227</f>
        <v>16290</v>
      </c>
      <c r="K1236" s="110" t="str">
        <f>K1227&amp;"     "</f>
        <v>$     </v>
      </c>
      <c r="L1236" s="110" t="str">
        <f t="shared" ref="L1236:U1236" si="801">L1227</f>
        <v/>
      </c>
      <c r="M1236" s="110" t="str">
        <f t="shared" si="801"/>
        <v/>
      </c>
      <c r="N1236" s="110" t="str">
        <f t="shared" si="801"/>
        <v/>
      </c>
      <c r="O1236" s="110" t="str">
        <f t="shared" si="801"/>
        <v/>
      </c>
      <c r="P1236" s="110" t="str">
        <f t="shared" si="801"/>
        <v/>
      </c>
      <c r="Q1236" s="110" t="str">
        <f t="shared" si="801"/>
        <v/>
      </c>
      <c r="R1236" s="110" t="str">
        <f t="shared" si="801"/>
        <v/>
      </c>
      <c r="S1236" s="110" t="str">
        <f t="shared" si="801"/>
        <v/>
      </c>
      <c r="T1236" s="110" t="str">
        <f t="shared" si="801"/>
        <v/>
      </c>
      <c r="U1236" s="110" t="str">
        <f t="shared" si="801"/>
        <v/>
      </c>
      <c r="V1236" s="110" t="str">
        <f t="shared" ref="V1236:W1236" si="802">V1227&amp;"     "</f>
        <v>Nuevo     </v>
      </c>
      <c r="W1236" s="112" t="str">
        <f t="shared" si="802"/>
        <v>Inactiva     </v>
      </c>
    </row>
    <row r="1237" ht="49.5" customHeight="1">
      <c r="A1237" s="110" t="s">
        <v>63</v>
      </c>
      <c r="B1237" s="110" t="s">
        <v>4925</v>
      </c>
      <c r="C1237" s="110" t="s">
        <v>4955</v>
      </c>
      <c r="D1237" s="110" t="s">
        <v>4955</v>
      </c>
      <c r="E1237" s="111" t="s">
        <v>4956</v>
      </c>
      <c r="F1237" s="114" t="str">
        <f>"     "&amp;F1227</f>
        <v>     Pack Sosten Microfibra Jockey Sport S-285c Con Soft Push-up</v>
      </c>
      <c r="G1237" s="110" t="s">
        <v>4957</v>
      </c>
      <c r="H1237" s="113">
        <v>10.0</v>
      </c>
      <c r="I1237" s="110" t="s">
        <v>70</v>
      </c>
      <c r="J1237" s="112">
        <f>J1227</f>
        <v>16290</v>
      </c>
      <c r="K1237" s="110" t="str">
        <f>K1227&amp;"     "</f>
        <v>$     </v>
      </c>
      <c r="L1237" s="110" t="str">
        <f t="shared" ref="L1237:U1237" si="803">L1227</f>
        <v/>
      </c>
      <c r="M1237" s="110" t="str">
        <f t="shared" si="803"/>
        <v/>
      </c>
      <c r="N1237" s="110" t="str">
        <f t="shared" si="803"/>
        <v/>
      </c>
      <c r="O1237" s="110" t="str">
        <f t="shared" si="803"/>
        <v/>
      </c>
      <c r="P1237" s="110" t="str">
        <f t="shared" si="803"/>
        <v/>
      </c>
      <c r="Q1237" s="110" t="str">
        <f t="shared" si="803"/>
        <v/>
      </c>
      <c r="R1237" s="110" t="str">
        <f t="shared" si="803"/>
        <v/>
      </c>
      <c r="S1237" s="110" t="str">
        <f t="shared" si="803"/>
        <v/>
      </c>
      <c r="T1237" s="110" t="str">
        <f t="shared" si="803"/>
        <v/>
      </c>
      <c r="U1237" s="110" t="str">
        <f t="shared" si="803"/>
        <v/>
      </c>
      <c r="V1237" s="110" t="str">
        <f t="shared" ref="V1237:W1237" si="804">V1227&amp;"     "</f>
        <v>Nuevo     </v>
      </c>
      <c r="W1237" s="112" t="str">
        <f t="shared" si="804"/>
        <v>Inactiva     </v>
      </c>
    </row>
    <row r="1238" ht="49.5" customHeight="1">
      <c r="A1238" s="110" t="s">
        <v>63</v>
      </c>
      <c r="B1238" s="110" t="s">
        <v>4925</v>
      </c>
      <c r="C1238" s="110" t="s">
        <v>4958</v>
      </c>
      <c r="D1238" s="110" t="s">
        <v>4958</v>
      </c>
      <c r="E1238" s="111" t="s">
        <v>4959</v>
      </c>
      <c r="F1238" s="114" t="str">
        <f>"     "&amp;F1227</f>
        <v>     Pack Sosten Microfibra Jockey Sport S-285c Con Soft Push-up</v>
      </c>
      <c r="G1238" s="110" t="s">
        <v>4960</v>
      </c>
      <c r="H1238" s="113">
        <v>10.0</v>
      </c>
      <c r="I1238" s="110" t="s">
        <v>70</v>
      </c>
      <c r="J1238" s="112">
        <f>J1227</f>
        <v>16290</v>
      </c>
      <c r="K1238" s="110" t="str">
        <f>K1227&amp;"     "</f>
        <v>$     </v>
      </c>
      <c r="L1238" s="110" t="str">
        <f t="shared" ref="L1238:U1238" si="805">L1227</f>
        <v/>
      </c>
      <c r="M1238" s="110" t="str">
        <f t="shared" si="805"/>
        <v/>
      </c>
      <c r="N1238" s="110" t="str">
        <f t="shared" si="805"/>
        <v/>
      </c>
      <c r="O1238" s="110" t="str">
        <f t="shared" si="805"/>
        <v/>
      </c>
      <c r="P1238" s="110" t="str">
        <f t="shared" si="805"/>
        <v/>
      </c>
      <c r="Q1238" s="110" t="str">
        <f t="shared" si="805"/>
        <v/>
      </c>
      <c r="R1238" s="110" t="str">
        <f t="shared" si="805"/>
        <v/>
      </c>
      <c r="S1238" s="110" t="str">
        <f t="shared" si="805"/>
        <v/>
      </c>
      <c r="T1238" s="110" t="str">
        <f t="shared" si="805"/>
        <v/>
      </c>
      <c r="U1238" s="110" t="str">
        <f t="shared" si="805"/>
        <v/>
      </c>
      <c r="V1238" s="110" t="str">
        <f t="shared" ref="V1238:W1238" si="806">V1227&amp;"     "</f>
        <v>Nuevo     </v>
      </c>
      <c r="W1238" s="112" t="str">
        <f t="shared" si="806"/>
        <v>Inactiva     </v>
      </c>
    </row>
    <row r="1239" ht="49.5" customHeight="1">
      <c r="A1239" s="110" t="s">
        <v>63</v>
      </c>
      <c r="B1239" s="110" t="s">
        <v>4925</v>
      </c>
      <c r="C1239" s="110" t="s">
        <v>4961</v>
      </c>
      <c r="D1239" s="110" t="s">
        <v>4961</v>
      </c>
      <c r="E1239" s="111" t="s">
        <v>4962</v>
      </c>
      <c r="F1239" s="114" t="str">
        <f>"     "&amp;F1227</f>
        <v>     Pack Sosten Microfibra Jockey Sport S-285c Con Soft Push-up</v>
      </c>
      <c r="G1239" s="110" t="s">
        <v>4963</v>
      </c>
      <c r="H1239" s="113">
        <v>10.0</v>
      </c>
      <c r="I1239" s="110" t="s">
        <v>70</v>
      </c>
      <c r="J1239" s="112">
        <f>J1227</f>
        <v>16290</v>
      </c>
      <c r="K1239" s="110" t="str">
        <f>K1227&amp;"     "</f>
        <v>$     </v>
      </c>
      <c r="L1239" s="110" t="str">
        <f t="shared" ref="L1239:U1239" si="807">L1227</f>
        <v/>
      </c>
      <c r="M1239" s="110" t="str">
        <f t="shared" si="807"/>
        <v/>
      </c>
      <c r="N1239" s="110" t="str">
        <f t="shared" si="807"/>
        <v/>
      </c>
      <c r="O1239" s="110" t="str">
        <f t="shared" si="807"/>
        <v/>
      </c>
      <c r="P1239" s="110" t="str">
        <f t="shared" si="807"/>
        <v/>
      </c>
      <c r="Q1239" s="110" t="str">
        <f t="shared" si="807"/>
        <v/>
      </c>
      <c r="R1239" s="110" t="str">
        <f t="shared" si="807"/>
        <v/>
      </c>
      <c r="S1239" s="110" t="str">
        <f t="shared" si="807"/>
        <v/>
      </c>
      <c r="T1239" s="110" t="str">
        <f t="shared" si="807"/>
        <v/>
      </c>
      <c r="U1239" s="110" t="str">
        <f t="shared" si="807"/>
        <v/>
      </c>
      <c r="V1239" s="110" t="str">
        <f t="shared" ref="V1239:W1239" si="808">V1227&amp;"     "</f>
        <v>Nuevo     </v>
      </c>
      <c r="W1239" s="112" t="str">
        <f t="shared" si="808"/>
        <v>Inactiva     </v>
      </c>
    </row>
    <row r="1240" ht="49.5" customHeight="1">
      <c r="A1240" s="110" t="s">
        <v>63</v>
      </c>
      <c r="B1240" s="110" t="s">
        <v>4925</v>
      </c>
      <c r="C1240" s="110" t="s">
        <v>4964</v>
      </c>
      <c r="D1240" s="110" t="s">
        <v>4964</v>
      </c>
      <c r="E1240" s="111" t="s">
        <v>4965</v>
      </c>
      <c r="F1240" s="114" t="str">
        <f>"     "&amp;F1227</f>
        <v>     Pack Sosten Microfibra Jockey Sport S-285c Con Soft Push-up</v>
      </c>
      <c r="G1240" s="110" t="s">
        <v>4966</v>
      </c>
      <c r="H1240" s="113">
        <v>10.0</v>
      </c>
      <c r="I1240" s="110" t="s">
        <v>70</v>
      </c>
      <c r="J1240" s="112">
        <f>J1227</f>
        <v>16290</v>
      </c>
      <c r="K1240" s="110" t="str">
        <f>K1227&amp;"     "</f>
        <v>$     </v>
      </c>
      <c r="L1240" s="110" t="str">
        <f t="shared" ref="L1240:U1240" si="809">L1227</f>
        <v/>
      </c>
      <c r="M1240" s="110" t="str">
        <f t="shared" si="809"/>
        <v/>
      </c>
      <c r="N1240" s="110" t="str">
        <f t="shared" si="809"/>
        <v/>
      </c>
      <c r="O1240" s="110" t="str">
        <f t="shared" si="809"/>
        <v/>
      </c>
      <c r="P1240" s="110" t="str">
        <f t="shared" si="809"/>
        <v/>
      </c>
      <c r="Q1240" s="110" t="str">
        <f t="shared" si="809"/>
        <v/>
      </c>
      <c r="R1240" s="110" t="str">
        <f t="shared" si="809"/>
        <v/>
      </c>
      <c r="S1240" s="110" t="str">
        <f t="shared" si="809"/>
        <v/>
      </c>
      <c r="T1240" s="110" t="str">
        <f t="shared" si="809"/>
        <v/>
      </c>
      <c r="U1240" s="110" t="str">
        <f t="shared" si="809"/>
        <v/>
      </c>
      <c r="V1240" s="110" t="str">
        <f t="shared" ref="V1240:W1240" si="810">V1227&amp;"     "</f>
        <v>Nuevo     </v>
      </c>
      <c r="W1240" s="112" t="str">
        <f t="shared" si="810"/>
        <v>Inactiva     </v>
      </c>
    </row>
    <row r="1241" ht="49.5" customHeight="1">
      <c r="A1241" s="110" t="s">
        <v>63</v>
      </c>
      <c r="B1241" s="110" t="s">
        <v>4925</v>
      </c>
      <c r="C1241" s="110" t="s">
        <v>4967</v>
      </c>
      <c r="D1241" s="110" t="s">
        <v>4967</v>
      </c>
      <c r="E1241" s="111" t="s">
        <v>4968</v>
      </c>
      <c r="F1241" s="114" t="str">
        <f>"     "&amp;F1227</f>
        <v>     Pack Sosten Microfibra Jockey Sport S-285c Con Soft Push-up</v>
      </c>
      <c r="G1241" s="110" t="s">
        <v>4969</v>
      </c>
      <c r="H1241" s="113">
        <v>10.0</v>
      </c>
      <c r="I1241" s="110" t="s">
        <v>70</v>
      </c>
      <c r="J1241" s="112">
        <f>J1227</f>
        <v>16290</v>
      </c>
      <c r="K1241" s="110" t="str">
        <f>K1227&amp;"     "</f>
        <v>$     </v>
      </c>
      <c r="L1241" s="110" t="str">
        <f t="shared" ref="L1241:U1241" si="811">L1227</f>
        <v/>
      </c>
      <c r="M1241" s="110" t="str">
        <f t="shared" si="811"/>
        <v/>
      </c>
      <c r="N1241" s="110" t="str">
        <f t="shared" si="811"/>
        <v/>
      </c>
      <c r="O1241" s="110" t="str">
        <f t="shared" si="811"/>
        <v/>
      </c>
      <c r="P1241" s="110" t="str">
        <f t="shared" si="811"/>
        <v/>
      </c>
      <c r="Q1241" s="110" t="str">
        <f t="shared" si="811"/>
        <v/>
      </c>
      <c r="R1241" s="110" t="str">
        <f t="shared" si="811"/>
        <v/>
      </c>
      <c r="S1241" s="110" t="str">
        <f t="shared" si="811"/>
        <v/>
      </c>
      <c r="T1241" s="110" t="str">
        <f t="shared" si="811"/>
        <v/>
      </c>
      <c r="U1241" s="110" t="str">
        <f t="shared" si="811"/>
        <v/>
      </c>
      <c r="V1241" s="110" t="str">
        <f t="shared" ref="V1241:W1241" si="812">V1227&amp;"     "</f>
        <v>Nuevo     </v>
      </c>
      <c r="W1241" s="112" t="str">
        <f t="shared" si="812"/>
        <v>Inactiva     </v>
      </c>
    </row>
    <row r="1242" ht="49.5" customHeight="1">
      <c r="A1242" s="110" t="s">
        <v>63</v>
      </c>
      <c r="B1242" s="110" t="s">
        <v>4925</v>
      </c>
      <c r="C1242" s="110" t="s">
        <v>4970</v>
      </c>
      <c r="D1242" s="110" t="s">
        <v>4970</v>
      </c>
      <c r="E1242" s="111" t="s">
        <v>4971</v>
      </c>
      <c r="F1242" s="114" t="str">
        <f>"     "&amp;F1227</f>
        <v>     Pack Sosten Microfibra Jockey Sport S-285c Con Soft Push-up</v>
      </c>
      <c r="G1242" s="110" t="s">
        <v>4972</v>
      </c>
      <c r="H1242" s="113">
        <v>10.0</v>
      </c>
      <c r="I1242" s="110" t="s">
        <v>70</v>
      </c>
      <c r="J1242" s="112">
        <f>J1227</f>
        <v>16290</v>
      </c>
      <c r="K1242" s="110" t="str">
        <f>K1227&amp;"     "</f>
        <v>$     </v>
      </c>
      <c r="L1242" s="110" t="str">
        <f t="shared" ref="L1242:U1242" si="813">L1227</f>
        <v/>
      </c>
      <c r="M1242" s="110" t="str">
        <f t="shared" si="813"/>
        <v/>
      </c>
      <c r="N1242" s="110" t="str">
        <f t="shared" si="813"/>
        <v/>
      </c>
      <c r="O1242" s="110" t="str">
        <f t="shared" si="813"/>
        <v/>
      </c>
      <c r="P1242" s="110" t="str">
        <f t="shared" si="813"/>
        <v/>
      </c>
      <c r="Q1242" s="110" t="str">
        <f t="shared" si="813"/>
        <v/>
      </c>
      <c r="R1242" s="110" t="str">
        <f t="shared" si="813"/>
        <v/>
      </c>
      <c r="S1242" s="110" t="str">
        <f t="shared" si="813"/>
        <v/>
      </c>
      <c r="T1242" s="110" t="str">
        <f t="shared" si="813"/>
        <v/>
      </c>
      <c r="U1242" s="110" t="str">
        <f t="shared" si="813"/>
        <v/>
      </c>
      <c r="V1242" s="110" t="str">
        <f t="shared" ref="V1242:W1242" si="814">V1227&amp;"     "</f>
        <v>Nuevo     </v>
      </c>
      <c r="W1242" s="112" t="str">
        <f t="shared" si="814"/>
        <v>Inactiva     </v>
      </c>
    </row>
    <row r="1243" ht="49.5" customHeight="1">
      <c r="A1243" s="110" t="s">
        <v>63</v>
      </c>
      <c r="B1243" s="110" t="s">
        <v>4925</v>
      </c>
      <c r="C1243" s="110" t="s">
        <v>4973</v>
      </c>
      <c r="D1243" s="110" t="s">
        <v>4973</v>
      </c>
      <c r="E1243" s="111" t="s">
        <v>4974</v>
      </c>
      <c r="F1243" s="114" t="str">
        <f>"     "&amp;F1227</f>
        <v>     Pack Sosten Microfibra Jockey Sport S-285c Con Soft Push-up</v>
      </c>
      <c r="G1243" s="110" t="s">
        <v>4975</v>
      </c>
      <c r="H1243" s="113">
        <v>10.0</v>
      </c>
      <c r="I1243" s="110" t="s">
        <v>70</v>
      </c>
      <c r="J1243" s="112">
        <f>J1227</f>
        <v>16290</v>
      </c>
      <c r="K1243" s="110" t="str">
        <f>K1227&amp;"     "</f>
        <v>$     </v>
      </c>
      <c r="L1243" s="110" t="str">
        <f t="shared" ref="L1243:U1243" si="815">L1227</f>
        <v/>
      </c>
      <c r="M1243" s="110" t="str">
        <f t="shared" si="815"/>
        <v/>
      </c>
      <c r="N1243" s="110" t="str">
        <f t="shared" si="815"/>
        <v/>
      </c>
      <c r="O1243" s="110" t="str">
        <f t="shared" si="815"/>
        <v/>
      </c>
      <c r="P1243" s="110" t="str">
        <f t="shared" si="815"/>
        <v/>
      </c>
      <c r="Q1243" s="110" t="str">
        <f t="shared" si="815"/>
        <v/>
      </c>
      <c r="R1243" s="110" t="str">
        <f t="shared" si="815"/>
        <v/>
      </c>
      <c r="S1243" s="110" t="str">
        <f t="shared" si="815"/>
        <v/>
      </c>
      <c r="T1243" s="110" t="str">
        <f t="shared" si="815"/>
        <v/>
      </c>
      <c r="U1243" s="110" t="str">
        <f t="shared" si="815"/>
        <v/>
      </c>
      <c r="V1243" s="110" t="str">
        <f t="shared" ref="V1243:W1243" si="816">V1227&amp;"     "</f>
        <v>Nuevo     </v>
      </c>
      <c r="W1243" s="112" t="str">
        <f t="shared" si="816"/>
        <v>Inactiva     </v>
      </c>
    </row>
    <row r="1244" ht="49.5" customHeight="1">
      <c r="A1244" s="110" t="s">
        <v>63</v>
      </c>
      <c r="B1244" s="110" t="s">
        <v>4925</v>
      </c>
      <c r="C1244" s="110" t="s">
        <v>4976</v>
      </c>
      <c r="D1244" s="110" t="s">
        <v>4976</v>
      </c>
      <c r="E1244" s="111" t="s">
        <v>4977</v>
      </c>
      <c r="F1244" s="114" t="str">
        <f>"     "&amp;F1227</f>
        <v>     Pack Sosten Microfibra Jockey Sport S-285c Con Soft Push-up</v>
      </c>
      <c r="G1244" s="110" t="s">
        <v>4978</v>
      </c>
      <c r="H1244" s="113">
        <v>10.0</v>
      </c>
      <c r="I1244" s="110" t="s">
        <v>70</v>
      </c>
      <c r="J1244" s="112">
        <f>J1227</f>
        <v>16290</v>
      </c>
      <c r="K1244" s="110" t="str">
        <f>K1227&amp;"     "</f>
        <v>$     </v>
      </c>
      <c r="L1244" s="110" t="str">
        <f t="shared" ref="L1244:U1244" si="817">L1227</f>
        <v/>
      </c>
      <c r="M1244" s="110" t="str">
        <f t="shared" si="817"/>
        <v/>
      </c>
      <c r="N1244" s="110" t="str">
        <f t="shared" si="817"/>
        <v/>
      </c>
      <c r="O1244" s="110" t="str">
        <f t="shared" si="817"/>
        <v/>
      </c>
      <c r="P1244" s="110" t="str">
        <f t="shared" si="817"/>
        <v/>
      </c>
      <c r="Q1244" s="110" t="str">
        <f t="shared" si="817"/>
        <v/>
      </c>
      <c r="R1244" s="110" t="str">
        <f t="shared" si="817"/>
        <v/>
      </c>
      <c r="S1244" s="110" t="str">
        <f t="shared" si="817"/>
        <v/>
      </c>
      <c r="T1244" s="110" t="str">
        <f t="shared" si="817"/>
        <v/>
      </c>
      <c r="U1244" s="110" t="str">
        <f t="shared" si="817"/>
        <v/>
      </c>
      <c r="V1244" s="110" t="str">
        <f t="shared" ref="V1244:W1244" si="818">V1227&amp;"     "</f>
        <v>Nuevo     </v>
      </c>
      <c r="W1244" s="112" t="str">
        <f t="shared" si="818"/>
        <v>Inactiva     </v>
      </c>
    </row>
    <row r="1245" ht="49.5" customHeight="1">
      <c r="A1245" s="110" t="s">
        <v>63</v>
      </c>
      <c r="B1245" s="110" t="s">
        <v>4925</v>
      </c>
      <c r="C1245" s="110" t="s">
        <v>4979</v>
      </c>
      <c r="D1245" s="110" t="s">
        <v>4979</v>
      </c>
      <c r="E1245" s="111" t="s">
        <v>4980</v>
      </c>
      <c r="F1245" s="114" t="str">
        <f>"     "&amp;F1227</f>
        <v>     Pack Sosten Microfibra Jockey Sport S-285c Con Soft Push-up</v>
      </c>
      <c r="G1245" s="110" t="s">
        <v>4981</v>
      </c>
      <c r="H1245" s="113">
        <v>10.0</v>
      </c>
      <c r="I1245" s="110" t="s">
        <v>70</v>
      </c>
      <c r="J1245" s="112">
        <f>J1227</f>
        <v>16290</v>
      </c>
      <c r="K1245" s="110" t="str">
        <f>K1227&amp;"     "</f>
        <v>$     </v>
      </c>
      <c r="L1245" s="110" t="str">
        <f t="shared" ref="L1245:U1245" si="819">L1227</f>
        <v/>
      </c>
      <c r="M1245" s="110" t="str">
        <f t="shared" si="819"/>
        <v/>
      </c>
      <c r="N1245" s="110" t="str">
        <f t="shared" si="819"/>
        <v/>
      </c>
      <c r="O1245" s="110" t="str">
        <f t="shared" si="819"/>
        <v/>
      </c>
      <c r="P1245" s="110" t="str">
        <f t="shared" si="819"/>
        <v/>
      </c>
      <c r="Q1245" s="110" t="str">
        <f t="shared" si="819"/>
        <v/>
      </c>
      <c r="R1245" s="110" t="str">
        <f t="shared" si="819"/>
        <v/>
      </c>
      <c r="S1245" s="110" t="str">
        <f t="shared" si="819"/>
        <v/>
      </c>
      <c r="T1245" s="110" t="str">
        <f t="shared" si="819"/>
        <v/>
      </c>
      <c r="U1245" s="110" t="str">
        <f t="shared" si="819"/>
        <v/>
      </c>
      <c r="V1245" s="110" t="str">
        <f t="shared" ref="V1245:W1245" si="820">V1227&amp;"     "</f>
        <v>Nuevo     </v>
      </c>
      <c r="W1245" s="112" t="str">
        <f t="shared" si="820"/>
        <v>Inactiva     </v>
      </c>
    </row>
    <row r="1246" ht="49.5" customHeight="1">
      <c r="A1246" s="110" t="s">
        <v>63</v>
      </c>
      <c r="B1246" s="110" t="s">
        <v>4982</v>
      </c>
      <c r="C1246" s="110"/>
      <c r="D1246" s="110"/>
      <c r="E1246" s="112" t="s">
        <v>63</v>
      </c>
      <c r="F1246" s="111" t="s">
        <v>4983</v>
      </c>
      <c r="G1246" s="110" t="s">
        <v>70</v>
      </c>
      <c r="H1246" s="110" t="s">
        <v>3699</v>
      </c>
      <c r="I1246" s="110" t="s">
        <v>70</v>
      </c>
      <c r="J1246" s="112">
        <v>13590.0</v>
      </c>
      <c r="K1246" s="113" t="s">
        <v>71</v>
      </c>
      <c r="L1246" s="113"/>
      <c r="M1246" s="113"/>
      <c r="N1246" s="113"/>
      <c r="O1246" s="113"/>
      <c r="P1246" s="113"/>
      <c r="Q1246" s="113"/>
      <c r="R1246" s="113"/>
      <c r="S1246" s="113"/>
      <c r="T1246" s="113"/>
      <c r="U1246" s="113"/>
      <c r="V1246" s="113" t="s">
        <v>72</v>
      </c>
      <c r="W1246" s="112" t="s">
        <v>3696</v>
      </c>
    </row>
    <row r="1247" ht="49.5" customHeight="1">
      <c r="A1247" s="110" t="s">
        <v>63</v>
      </c>
      <c r="B1247" s="110" t="s">
        <v>4982</v>
      </c>
      <c r="C1247" s="110" t="s">
        <v>4984</v>
      </c>
      <c r="D1247" s="110" t="s">
        <v>4984</v>
      </c>
      <c r="E1247" s="111" t="s">
        <v>4985</v>
      </c>
      <c r="F1247" s="114" t="str">
        <f>"     "&amp;F1246</f>
        <v>     Pack Top Mujer Lady Genny S-127 Cotton Spandex</v>
      </c>
      <c r="G1247" s="110" t="s">
        <v>4986</v>
      </c>
      <c r="H1247" s="113">
        <v>0.0</v>
      </c>
      <c r="I1247" s="110" t="s">
        <v>70</v>
      </c>
      <c r="J1247" s="112">
        <f>J1246</f>
        <v>13590</v>
      </c>
      <c r="K1247" s="110" t="str">
        <f>K1246&amp;"     "</f>
        <v>$     </v>
      </c>
      <c r="L1247" s="110" t="str">
        <f t="shared" ref="L1247:U1247" si="821">L1246</f>
        <v/>
      </c>
      <c r="M1247" s="110" t="str">
        <f t="shared" si="821"/>
        <v/>
      </c>
      <c r="N1247" s="110" t="str">
        <f t="shared" si="821"/>
        <v/>
      </c>
      <c r="O1247" s="110" t="str">
        <f t="shared" si="821"/>
        <v/>
      </c>
      <c r="P1247" s="110" t="str">
        <f t="shared" si="821"/>
        <v/>
      </c>
      <c r="Q1247" s="110" t="str">
        <f t="shared" si="821"/>
        <v/>
      </c>
      <c r="R1247" s="110" t="str">
        <f t="shared" si="821"/>
        <v/>
      </c>
      <c r="S1247" s="110" t="str">
        <f t="shared" si="821"/>
        <v/>
      </c>
      <c r="T1247" s="110" t="str">
        <f t="shared" si="821"/>
        <v/>
      </c>
      <c r="U1247" s="110" t="str">
        <f t="shared" si="821"/>
        <v/>
      </c>
      <c r="V1247" s="110" t="str">
        <f t="shared" ref="V1247:W1247" si="822">V1246&amp;"     "</f>
        <v>Nuevo     </v>
      </c>
      <c r="W1247" s="112" t="str">
        <f t="shared" si="822"/>
        <v>Inactiva     </v>
      </c>
    </row>
    <row r="1248" ht="49.5" customHeight="1">
      <c r="A1248" s="110" t="s">
        <v>63</v>
      </c>
      <c r="B1248" s="110" t="s">
        <v>4982</v>
      </c>
      <c r="C1248" s="110" t="s">
        <v>4987</v>
      </c>
      <c r="D1248" s="110" t="s">
        <v>4987</v>
      </c>
      <c r="E1248" s="111" t="s">
        <v>4988</v>
      </c>
      <c r="F1248" s="114" t="str">
        <f>"     "&amp;F1246</f>
        <v>     Pack Top Mujer Lady Genny S-127 Cotton Spandex</v>
      </c>
      <c r="G1248" s="110" t="s">
        <v>4989</v>
      </c>
      <c r="H1248" s="113">
        <v>0.0</v>
      </c>
      <c r="I1248" s="110" t="s">
        <v>70</v>
      </c>
      <c r="J1248" s="112">
        <f>J1246</f>
        <v>13590</v>
      </c>
      <c r="K1248" s="110" t="str">
        <f>K1246&amp;"     "</f>
        <v>$     </v>
      </c>
      <c r="L1248" s="110" t="str">
        <f t="shared" ref="L1248:U1248" si="823">L1246</f>
        <v/>
      </c>
      <c r="M1248" s="110" t="str">
        <f t="shared" si="823"/>
        <v/>
      </c>
      <c r="N1248" s="110" t="str">
        <f t="shared" si="823"/>
        <v/>
      </c>
      <c r="O1248" s="110" t="str">
        <f t="shared" si="823"/>
        <v/>
      </c>
      <c r="P1248" s="110" t="str">
        <f t="shared" si="823"/>
        <v/>
      </c>
      <c r="Q1248" s="110" t="str">
        <f t="shared" si="823"/>
        <v/>
      </c>
      <c r="R1248" s="110" t="str">
        <f t="shared" si="823"/>
        <v/>
      </c>
      <c r="S1248" s="110" t="str">
        <f t="shared" si="823"/>
        <v/>
      </c>
      <c r="T1248" s="110" t="str">
        <f t="shared" si="823"/>
        <v/>
      </c>
      <c r="U1248" s="110" t="str">
        <f t="shared" si="823"/>
        <v/>
      </c>
      <c r="V1248" s="110" t="str">
        <f t="shared" ref="V1248:W1248" si="824">V1246&amp;"     "</f>
        <v>Nuevo     </v>
      </c>
      <c r="W1248" s="112" t="str">
        <f t="shared" si="824"/>
        <v>Inactiva     </v>
      </c>
    </row>
    <row r="1249" ht="49.5" customHeight="1">
      <c r="A1249" s="110" t="s">
        <v>63</v>
      </c>
      <c r="B1249" s="110" t="s">
        <v>4982</v>
      </c>
      <c r="C1249" s="110" t="s">
        <v>4990</v>
      </c>
      <c r="D1249" s="110" t="s">
        <v>4990</v>
      </c>
      <c r="E1249" s="111" t="s">
        <v>4991</v>
      </c>
      <c r="F1249" s="114" t="str">
        <f>"     "&amp;F1246</f>
        <v>     Pack Top Mujer Lady Genny S-127 Cotton Spandex</v>
      </c>
      <c r="G1249" s="110" t="s">
        <v>4945</v>
      </c>
      <c r="H1249" s="113">
        <v>0.0</v>
      </c>
      <c r="I1249" s="110" t="s">
        <v>70</v>
      </c>
      <c r="J1249" s="112">
        <f>J1246</f>
        <v>13590</v>
      </c>
      <c r="K1249" s="110" t="str">
        <f>K1246&amp;"     "</f>
        <v>$     </v>
      </c>
      <c r="L1249" s="110" t="str">
        <f t="shared" ref="L1249:U1249" si="825">L1246</f>
        <v/>
      </c>
      <c r="M1249" s="110" t="str">
        <f t="shared" si="825"/>
        <v/>
      </c>
      <c r="N1249" s="110" t="str">
        <f t="shared" si="825"/>
        <v/>
      </c>
      <c r="O1249" s="110" t="str">
        <f t="shared" si="825"/>
        <v/>
      </c>
      <c r="P1249" s="110" t="str">
        <f t="shared" si="825"/>
        <v/>
      </c>
      <c r="Q1249" s="110" t="str">
        <f t="shared" si="825"/>
        <v/>
      </c>
      <c r="R1249" s="110" t="str">
        <f t="shared" si="825"/>
        <v/>
      </c>
      <c r="S1249" s="110" t="str">
        <f t="shared" si="825"/>
        <v/>
      </c>
      <c r="T1249" s="110" t="str">
        <f t="shared" si="825"/>
        <v/>
      </c>
      <c r="U1249" s="110" t="str">
        <f t="shared" si="825"/>
        <v/>
      </c>
      <c r="V1249" s="110" t="str">
        <f t="shared" ref="V1249:W1249" si="826">V1246&amp;"     "</f>
        <v>Nuevo     </v>
      </c>
      <c r="W1249" s="112" t="str">
        <f t="shared" si="826"/>
        <v>Inactiva     </v>
      </c>
    </row>
    <row r="1250" ht="49.5" customHeight="1">
      <c r="A1250" s="110" t="s">
        <v>63</v>
      </c>
      <c r="B1250" s="110" t="s">
        <v>4982</v>
      </c>
      <c r="C1250" s="110" t="s">
        <v>4992</v>
      </c>
      <c r="D1250" s="110" t="s">
        <v>4992</v>
      </c>
      <c r="E1250" s="111" t="s">
        <v>4993</v>
      </c>
      <c r="F1250" s="114" t="str">
        <f>"     "&amp;F1246</f>
        <v>     Pack Top Mujer Lady Genny S-127 Cotton Spandex</v>
      </c>
      <c r="G1250" s="110" t="s">
        <v>4994</v>
      </c>
      <c r="H1250" s="113">
        <v>0.0</v>
      </c>
      <c r="I1250" s="110" t="s">
        <v>70</v>
      </c>
      <c r="J1250" s="112">
        <f>J1246</f>
        <v>13590</v>
      </c>
      <c r="K1250" s="110" t="str">
        <f>K1246&amp;"     "</f>
        <v>$     </v>
      </c>
      <c r="L1250" s="110" t="str">
        <f t="shared" ref="L1250:U1250" si="827">L1246</f>
        <v/>
      </c>
      <c r="M1250" s="110" t="str">
        <f t="shared" si="827"/>
        <v/>
      </c>
      <c r="N1250" s="110" t="str">
        <f t="shared" si="827"/>
        <v/>
      </c>
      <c r="O1250" s="110" t="str">
        <f t="shared" si="827"/>
        <v/>
      </c>
      <c r="P1250" s="110" t="str">
        <f t="shared" si="827"/>
        <v/>
      </c>
      <c r="Q1250" s="110" t="str">
        <f t="shared" si="827"/>
        <v/>
      </c>
      <c r="R1250" s="110" t="str">
        <f t="shared" si="827"/>
        <v/>
      </c>
      <c r="S1250" s="110" t="str">
        <f t="shared" si="827"/>
        <v/>
      </c>
      <c r="T1250" s="110" t="str">
        <f t="shared" si="827"/>
        <v/>
      </c>
      <c r="U1250" s="110" t="str">
        <f t="shared" si="827"/>
        <v/>
      </c>
      <c r="V1250" s="110" t="str">
        <f t="shared" ref="V1250:W1250" si="828">V1246&amp;"     "</f>
        <v>Nuevo     </v>
      </c>
      <c r="W1250" s="112" t="str">
        <f t="shared" si="828"/>
        <v>Inactiva     </v>
      </c>
    </row>
    <row r="1251" ht="49.5" customHeight="1">
      <c r="A1251" s="110" t="s">
        <v>63</v>
      </c>
      <c r="B1251" s="110" t="s">
        <v>4982</v>
      </c>
      <c r="C1251" s="110" t="s">
        <v>4995</v>
      </c>
      <c r="D1251" s="110" t="s">
        <v>4995</v>
      </c>
      <c r="E1251" s="111" t="s">
        <v>4996</v>
      </c>
      <c r="F1251" s="114" t="str">
        <f>"     "&amp;F1246</f>
        <v>     Pack Top Mujer Lady Genny S-127 Cotton Spandex</v>
      </c>
      <c r="G1251" s="110" t="s">
        <v>4997</v>
      </c>
      <c r="H1251" s="113">
        <v>0.0</v>
      </c>
      <c r="I1251" s="110" t="s">
        <v>70</v>
      </c>
      <c r="J1251" s="112">
        <f>J1246</f>
        <v>13590</v>
      </c>
      <c r="K1251" s="110" t="str">
        <f>K1246&amp;"     "</f>
        <v>$     </v>
      </c>
      <c r="L1251" s="110" t="str">
        <f t="shared" ref="L1251:U1251" si="829">L1246</f>
        <v/>
      </c>
      <c r="M1251" s="110" t="str">
        <f t="shared" si="829"/>
        <v/>
      </c>
      <c r="N1251" s="110" t="str">
        <f t="shared" si="829"/>
        <v/>
      </c>
      <c r="O1251" s="110" t="str">
        <f t="shared" si="829"/>
        <v/>
      </c>
      <c r="P1251" s="110" t="str">
        <f t="shared" si="829"/>
        <v/>
      </c>
      <c r="Q1251" s="110" t="str">
        <f t="shared" si="829"/>
        <v/>
      </c>
      <c r="R1251" s="110" t="str">
        <f t="shared" si="829"/>
        <v/>
      </c>
      <c r="S1251" s="110" t="str">
        <f t="shared" si="829"/>
        <v/>
      </c>
      <c r="T1251" s="110" t="str">
        <f t="shared" si="829"/>
        <v/>
      </c>
      <c r="U1251" s="110" t="str">
        <f t="shared" si="829"/>
        <v/>
      </c>
      <c r="V1251" s="110" t="str">
        <f t="shared" ref="V1251:W1251" si="830">V1246&amp;"     "</f>
        <v>Nuevo     </v>
      </c>
      <c r="W1251" s="112" t="str">
        <f t="shared" si="830"/>
        <v>Inactiva     </v>
      </c>
    </row>
    <row r="1252" ht="49.5" customHeight="1">
      <c r="A1252" s="110" t="s">
        <v>63</v>
      </c>
      <c r="B1252" s="110" t="s">
        <v>4982</v>
      </c>
      <c r="C1252" s="110" t="s">
        <v>4998</v>
      </c>
      <c r="D1252" s="110" t="s">
        <v>4998</v>
      </c>
      <c r="E1252" s="111" t="s">
        <v>4999</v>
      </c>
      <c r="F1252" s="114" t="str">
        <f>"     "&amp;F1246</f>
        <v>     Pack Top Mujer Lady Genny S-127 Cotton Spandex</v>
      </c>
      <c r="G1252" s="110" t="s">
        <v>4963</v>
      </c>
      <c r="H1252" s="113">
        <v>0.0</v>
      </c>
      <c r="I1252" s="110" t="s">
        <v>70</v>
      </c>
      <c r="J1252" s="112">
        <f>J1246</f>
        <v>13590</v>
      </c>
      <c r="K1252" s="110" t="str">
        <f>K1246&amp;"     "</f>
        <v>$     </v>
      </c>
      <c r="L1252" s="110" t="str">
        <f t="shared" ref="L1252:U1252" si="831">L1246</f>
        <v/>
      </c>
      <c r="M1252" s="110" t="str">
        <f t="shared" si="831"/>
        <v/>
      </c>
      <c r="N1252" s="110" t="str">
        <f t="shared" si="831"/>
        <v/>
      </c>
      <c r="O1252" s="110" t="str">
        <f t="shared" si="831"/>
        <v/>
      </c>
      <c r="P1252" s="110" t="str">
        <f t="shared" si="831"/>
        <v/>
      </c>
      <c r="Q1252" s="110" t="str">
        <f t="shared" si="831"/>
        <v/>
      </c>
      <c r="R1252" s="110" t="str">
        <f t="shared" si="831"/>
        <v/>
      </c>
      <c r="S1252" s="110" t="str">
        <f t="shared" si="831"/>
        <v/>
      </c>
      <c r="T1252" s="110" t="str">
        <f t="shared" si="831"/>
        <v/>
      </c>
      <c r="U1252" s="110" t="str">
        <f t="shared" si="831"/>
        <v/>
      </c>
      <c r="V1252" s="110" t="str">
        <f t="shared" ref="V1252:W1252" si="832">V1246&amp;"     "</f>
        <v>Nuevo     </v>
      </c>
      <c r="W1252" s="112" t="str">
        <f t="shared" si="832"/>
        <v>Inactiva     </v>
      </c>
    </row>
    <row r="1253" ht="49.5" customHeight="1">
      <c r="A1253" s="110" t="s">
        <v>63</v>
      </c>
      <c r="B1253" s="110" t="s">
        <v>4982</v>
      </c>
      <c r="C1253" s="110" t="s">
        <v>5000</v>
      </c>
      <c r="D1253" s="110" t="s">
        <v>5000</v>
      </c>
      <c r="E1253" s="111" t="s">
        <v>5001</v>
      </c>
      <c r="F1253" s="114" t="str">
        <f>"     "&amp;F1246</f>
        <v>     Pack Top Mujer Lady Genny S-127 Cotton Spandex</v>
      </c>
      <c r="G1253" s="110" t="s">
        <v>5002</v>
      </c>
      <c r="H1253" s="113">
        <v>0.0</v>
      </c>
      <c r="I1253" s="110" t="s">
        <v>70</v>
      </c>
      <c r="J1253" s="112">
        <f>J1246</f>
        <v>13590</v>
      </c>
      <c r="K1253" s="110" t="str">
        <f>K1246&amp;"     "</f>
        <v>$     </v>
      </c>
      <c r="L1253" s="110" t="str">
        <f t="shared" ref="L1253:U1253" si="833">L1246</f>
        <v/>
      </c>
      <c r="M1253" s="110" t="str">
        <f t="shared" si="833"/>
        <v/>
      </c>
      <c r="N1253" s="110" t="str">
        <f t="shared" si="833"/>
        <v/>
      </c>
      <c r="O1253" s="110" t="str">
        <f t="shared" si="833"/>
        <v/>
      </c>
      <c r="P1253" s="110" t="str">
        <f t="shared" si="833"/>
        <v/>
      </c>
      <c r="Q1253" s="110" t="str">
        <f t="shared" si="833"/>
        <v/>
      </c>
      <c r="R1253" s="110" t="str">
        <f t="shared" si="833"/>
        <v/>
      </c>
      <c r="S1253" s="110" t="str">
        <f t="shared" si="833"/>
        <v/>
      </c>
      <c r="T1253" s="110" t="str">
        <f t="shared" si="833"/>
        <v/>
      </c>
      <c r="U1253" s="110" t="str">
        <f t="shared" si="833"/>
        <v/>
      </c>
      <c r="V1253" s="110" t="str">
        <f t="shared" ref="V1253:W1253" si="834">V1246&amp;"     "</f>
        <v>Nuevo     </v>
      </c>
      <c r="W1253" s="112" t="str">
        <f t="shared" si="834"/>
        <v>Inactiva     </v>
      </c>
    </row>
    <row r="1254" ht="49.5" customHeight="1">
      <c r="A1254" s="110" t="s">
        <v>63</v>
      </c>
      <c r="B1254" s="110" t="s">
        <v>4982</v>
      </c>
      <c r="C1254" s="110" t="s">
        <v>5003</v>
      </c>
      <c r="D1254" s="110" t="s">
        <v>5003</v>
      </c>
      <c r="E1254" s="111" t="s">
        <v>5004</v>
      </c>
      <c r="F1254" s="114" t="str">
        <f>"     "&amp;F1246</f>
        <v>     Pack Top Mujer Lady Genny S-127 Cotton Spandex</v>
      </c>
      <c r="G1254" s="110" t="s">
        <v>5005</v>
      </c>
      <c r="H1254" s="113">
        <v>0.0</v>
      </c>
      <c r="I1254" s="110" t="s">
        <v>70</v>
      </c>
      <c r="J1254" s="112">
        <f>J1246</f>
        <v>13590</v>
      </c>
      <c r="K1254" s="110" t="str">
        <f>K1246&amp;"     "</f>
        <v>$     </v>
      </c>
      <c r="L1254" s="110" t="str">
        <f t="shared" ref="L1254:U1254" si="835">L1246</f>
        <v/>
      </c>
      <c r="M1254" s="110" t="str">
        <f t="shared" si="835"/>
        <v/>
      </c>
      <c r="N1254" s="110" t="str">
        <f t="shared" si="835"/>
        <v/>
      </c>
      <c r="O1254" s="110" t="str">
        <f t="shared" si="835"/>
        <v/>
      </c>
      <c r="P1254" s="110" t="str">
        <f t="shared" si="835"/>
        <v/>
      </c>
      <c r="Q1254" s="110" t="str">
        <f t="shared" si="835"/>
        <v/>
      </c>
      <c r="R1254" s="110" t="str">
        <f t="shared" si="835"/>
        <v/>
      </c>
      <c r="S1254" s="110" t="str">
        <f t="shared" si="835"/>
        <v/>
      </c>
      <c r="T1254" s="110" t="str">
        <f t="shared" si="835"/>
        <v/>
      </c>
      <c r="U1254" s="110" t="str">
        <f t="shared" si="835"/>
        <v/>
      </c>
      <c r="V1254" s="110" t="str">
        <f t="shared" ref="V1254:W1254" si="836">V1246&amp;"     "</f>
        <v>Nuevo     </v>
      </c>
      <c r="W1254" s="112" t="str">
        <f t="shared" si="836"/>
        <v>Inactiva     </v>
      </c>
    </row>
    <row r="1255" ht="49.5" customHeight="1">
      <c r="A1255" s="110" t="s">
        <v>63</v>
      </c>
      <c r="B1255" s="110" t="s">
        <v>4982</v>
      </c>
      <c r="C1255" s="110" t="s">
        <v>5006</v>
      </c>
      <c r="D1255" s="110" t="s">
        <v>5006</v>
      </c>
      <c r="E1255" s="111" t="s">
        <v>5007</v>
      </c>
      <c r="F1255" s="114" t="str">
        <f>"     "&amp;F1246</f>
        <v>     Pack Top Mujer Lady Genny S-127 Cotton Spandex</v>
      </c>
      <c r="G1255" s="110" t="s">
        <v>4981</v>
      </c>
      <c r="H1255" s="113">
        <v>0.0</v>
      </c>
      <c r="I1255" s="110" t="s">
        <v>70</v>
      </c>
      <c r="J1255" s="112">
        <f>J1246</f>
        <v>13590</v>
      </c>
      <c r="K1255" s="110" t="str">
        <f>K1246&amp;"     "</f>
        <v>$     </v>
      </c>
      <c r="L1255" s="110" t="str">
        <f t="shared" ref="L1255:U1255" si="837">L1246</f>
        <v/>
      </c>
      <c r="M1255" s="110" t="str">
        <f t="shared" si="837"/>
        <v/>
      </c>
      <c r="N1255" s="110" t="str">
        <f t="shared" si="837"/>
        <v/>
      </c>
      <c r="O1255" s="110" t="str">
        <f t="shared" si="837"/>
        <v/>
      </c>
      <c r="P1255" s="110" t="str">
        <f t="shared" si="837"/>
        <v/>
      </c>
      <c r="Q1255" s="110" t="str">
        <f t="shared" si="837"/>
        <v/>
      </c>
      <c r="R1255" s="110" t="str">
        <f t="shared" si="837"/>
        <v/>
      </c>
      <c r="S1255" s="110" t="str">
        <f t="shared" si="837"/>
        <v/>
      </c>
      <c r="T1255" s="110" t="str">
        <f t="shared" si="837"/>
        <v/>
      </c>
      <c r="U1255" s="110" t="str">
        <f t="shared" si="837"/>
        <v/>
      </c>
      <c r="V1255" s="110" t="str">
        <f t="shared" ref="V1255:W1255" si="838">V1246&amp;"     "</f>
        <v>Nuevo     </v>
      </c>
      <c r="W1255" s="112" t="str">
        <f t="shared" si="838"/>
        <v>Inactiva     </v>
      </c>
    </row>
    <row r="1256" ht="49.5" customHeight="1">
      <c r="A1256" s="110" t="s">
        <v>63</v>
      </c>
      <c r="B1256" s="110" t="s">
        <v>4982</v>
      </c>
      <c r="C1256" s="110" t="s">
        <v>5008</v>
      </c>
      <c r="D1256" s="110" t="s">
        <v>5008</v>
      </c>
      <c r="E1256" s="111" t="s">
        <v>5009</v>
      </c>
      <c r="F1256" s="114" t="str">
        <f>"     "&amp;F1246</f>
        <v>     Pack Top Mujer Lady Genny S-127 Cotton Spandex</v>
      </c>
      <c r="G1256" s="110" t="s">
        <v>5010</v>
      </c>
      <c r="H1256" s="113">
        <v>0.0</v>
      </c>
      <c r="I1256" s="110" t="s">
        <v>70</v>
      </c>
      <c r="J1256" s="112">
        <f>J1246</f>
        <v>13590</v>
      </c>
      <c r="K1256" s="110" t="str">
        <f>K1246&amp;"     "</f>
        <v>$     </v>
      </c>
      <c r="L1256" s="110" t="str">
        <f t="shared" ref="L1256:U1256" si="839">L1246</f>
        <v/>
      </c>
      <c r="M1256" s="110" t="str">
        <f t="shared" si="839"/>
        <v/>
      </c>
      <c r="N1256" s="110" t="str">
        <f t="shared" si="839"/>
        <v/>
      </c>
      <c r="O1256" s="110" t="str">
        <f t="shared" si="839"/>
        <v/>
      </c>
      <c r="P1256" s="110" t="str">
        <f t="shared" si="839"/>
        <v/>
      </c>
      <c r="Q1256" s="110" t="str">
        <f t="shared" si="839"/>
        <v/>
      </c>
      <c r="R1256" s="110" t="str">
        <f t="shared" si="839"/>
        <v/>
      </c>
      <c r="S1256" s="110" t="str">
        <f t="shared" si="839"/>
        <v/>
      </c>
      <c r="T1256" s="110" t="str">
        <f t="shared" si="839"/>
        <v/>
      </c>
      <c r="U1256" s="110" t="str">
        <f t="shared" si="839"/>
        <v/>
      </c>
      <c r="V1256" s="110" t="str">
        <f t="shared" ref="V1256:W1256" si="840">V1246&amp;"     "</f>
        <v>Nuevo     </v>
      </c>
      <c r="W1256" s="112" t="str">
        <f t="shared" si="840"/>
        <v>Inactiva     </v>
      </c>
    </row>
    <row r="1257" ht="49.5" customHeight="1">
      <c r="A1257" s="110" t="s">
        <v>63</v>
      </c>
      <c r="B1257" s="110" t="s">
        <v>4982</v>
      </c>
      <c r="C1257" s="110" t="s">
        <v>5011</v>
      </c>
      <c r="D1257" s="110" t="s">
        <v>5011</v>
      </c>
      <c r="E1257" s="111" t="s">
        <v>5012</v>
      </c>
      <c r="F1257" s="114" t="str">
        <f>"     "&amp;F1246</f>
        <v>     Pack Top Mujer Lady Genny S-127 Cotton Spandex</v>
      </c>
      <c r="G1257" s="110" t="s">
        <v>5013</v>
      </c>
      <c r="H1257" s="113">
        <v>0.0</v>
      </c>
      <c r="I1257" s="110" t="s">
        <v>70</v>
      </c>
      <c r="J1257" s="112">
        <f>J1246</f>
        <v>13590</v>
      </c>
      <c r="K1257" s="110" t="str">
        <f>K1246&amp;"     "</f>
        <v>$     </v>
      </c>
      <c r="L1257" s="110" t="str">
        <f t="shared" ref="L1257:U1257" si="841">L1246</f>
        <v/>
      </c>
      <c r="M1257" s="110" t="str">
        <f t="shared" si="841"/>
        <v/>
      </c>
      <c r="N1257" s="110" t="str">
        <f t="shared" si="841"/>
        <v/>
      </c>
      <c r="O1257" s="110" t="str">
        <f t="shared" si="841"/>
        <v/>
      </c>
      <c r="P1257" s="110" t="str">
        <f t="shared" si="841"/>
        <v/>
      </c>
      <c r="Q1257" s="110" t="str">
        <f t="shared" si="841"/>
        <v/>
      </c>
      <c r="R1257" s="110" t="str">
        <f t="shared" si="841"/>
        <v/>
      </c>
      <c r="S1257" s="110" t="str">
        <f t="shared" si="841"/>
        <v/>
      </c>
      <c r="T1257" s="110" t="str">
        <f t="shared" si="841"/>
        <v/>
      </c>
      <c r="U1257" s="110" t="str">
        <f t="shared" si="841"/>
        <v/>
      </c>
      <c r="V1257" s="110" t="str">
        <f t="shared" ref="V1257:W1257" si="842">V1246&amp;"     "</f>
        <v>Nuevo     </v>
      </c>
      <c r="W1257" s="112" t="str">
        <f t="shared" si="842"/>
        <v>Inactiva     </v>
      </c>
    </row>
    <row r="1258" ht="49.5" customHeight="1">
      <c r="A1258" s="110" t="s">
        <v>63</v>
      </c>
      <c r="B1258" s="110" t="s">
        <v>4982</v>
      </c>
      <c r="C1258" s="110" t="s">
        <v>5014</v>
      </c>
      <c r="D1258" s="110" t="s">
        <v>5014</v>
      </c>
      <c r="E1258" s="111" t="s">
        <v>5015</v>
      </c>
      <c r="F1258" s="114" t="str">
        <f>"     "&amp;F1246</f>
        <v>     Pack Top Mujer Lady Genny S-127 Cotton Spandex</v>
      </c>
      <c r="G1258" s="110" t="s">
        <v>5016</v>
      </c>
      <c r="H1258" s="113">
        <v>0.0</v>
      </c>
      <c r="I1258" s="110" t="s">
        <v>70</v>
      </c>
      <c r="J1258" s="112">
        <f>J1246</f>
        <v>13590</v>
      </c>
      <c r="K1258" s="110" t="str">
        <f>K1246&amp;"     "</f>
        <v>$     </v>
      </c>
      <c r="L1258" s="110" t="str">
        <f t="shared" ref="L1258:U1258" si="843">L1246</f>
        <v/>
      </c>
      <c r="M1258" s="110" t="str">
        <f t="shared" si="843"/>
        <v/>
      </c>
      <c r="N1258" s="110" t="str">
        <f t="shared" si="843"/>
        <v/>
      </c>
      <c r="O1258" s="110" t="str">
        <f t="shared" si="843"/>
        <v/>
      </c>
      <c r="P1258" s="110" t="str">
        <f t="shared" si="843"/>
        <v/>
      </c>
      <c r="Q1258" s="110" t="str">
        <f t="shared" si="843"/>
        <v/>
      </c>
      <c r="R1258" s="110" t="str">
        <f t="shared" si="843"/>
        <v/>
      </c>
      <c r="S1258" s="110" t="str">
        <f t="shared" si="843"/>
        <v/>
      </c>
      <c r="T1258" s="110" t="str">
        <f t="shared" si="843"/>
        <v/>
      </c>
      <c r="U1258" s="110" t="str">
        <f t="shared" si="843"/>
        <v/>
      </c>
      <c r="V1258" s="110" t="str">
        <f t="shared" ref="V1258:W1258" si="844">V1246&amp;"     "</f>
        <v>Nuevo     </v>
      </c>
      <c r="W1258" s="112" t="str">
        <f t="shared" si="844"/>
        <v>Inactiva     </v>
      </c>
    </row>
    <row r="1259" ht="49.5" customHeight="1">
      <c r="A1259" s="110" t="s">
        <v>63</v>
      </c>
      <c r="B1259" s="110" t="s">
        <v>5017</v>
      </c>
      <c r="C1259" s="110"/>
      <c r="D1259" s="110"/>
      <c r="E1259" s="112" t="s">
        <v>63</v>
      </c>
      <c r="F1259" s="111" t="s">
        <v>5018</v>
      </c>
      <c r="G1259" s="110" t="s">
        <v>70</v>
      </c>
      <c r="H1259" s="110" t="s">
        <v>3699</v>
      </c>
      <c r="I1259" s="110" t="s">
        <v>70</v>
      </c>
      <c r="J1259" s="112">
        <v>9090.0</v>
      </c>
      <c r="K1259" s="113" t="s">
        <v>71</v>
      </c>
      <c r="L1259" s="113"/>
      <c r="M1259" s="113"/>
      <c r="N1259" s="113"/>
      <c r="O1259" s="113"/>
      <c r="P1259" s="113"/>
      <c r="Q1259" s="113"/>
      <c r="R1259" s="113"/>
      <c r="S1259" s="113"/>
      <c r="T1259" s="113"/>
      <c r="U1259" s="113"/>
      <c r="V1259" s="113" t="s">
        <v>72</v>
      </c>
      <c r="W1259" s="112" t="s">
        <v>3696</v>
      </c>
    </row>
    <row r="1260" ht="49.5" customHeight="1">
      <c r="A1260" s="110" t="s">
        <v>63</v>
      </c>
      <c r="B1260" s="110" t="s">
        <v>5017</v>
      </c>
      <c r="C1260" s="110" t="s">
        <v>5019</v>
      </c>
      <c r="D1260" s="110" t="s">
        <v>5019</v>
      </c>
      <c r="E1260" s="111" t="s">
        <v>5020</v>
      </c>
      <c r="F1260" s="114" t="str">
        <f>"     "&amp;F1259</f>
        <v>     Pack Top Mujer Lady Genny S-325 Seamless Encaje</v>
      </c>
      <c r="G1260" s="110" t="s">
        <v>5021</v>
      </c>
      <c r="H1260" s="113">
        <v>0.0</v>
      </c>
      <c r="I1260" s="110" t="s">
        <v>70</v>
      </c>
      <c r="J1260" s="112">
        <f>J1259</f>
        <v>9090</v>
      </c>
      <c r="K1260" s="110" t="str">
        <f>K1259&amp;"     "</f>
        <v>$     </v>
      </c>
      <c r="L1260" s="110" t="str">
        <f t="shared" ref="L1260:U1260" si="845">L1259</f>
        <v/>
      </c>
      <c r="M1260" s="110" t="str">
        <f t="shared" si="845"/>
        <v/>
      </c>
      <c r="N1260" s="110" t="str">
        <f t="shared" si="845"/>
        <v/>
      </c>
      <c r="O1260" s="110" t="str">
        <f t="shared" si="845"/>
        <v/>
      </c>
      <c r="P1260" s="110" t="str">
        <f t="shared" si="845"/>
        <v/>
      </c>
      <c r="Q1260" s="110" t="str">
        <f t="shared" si="845"/>
        <v/>
      </c>
      <c r="R1260" s="110" t="str">
        <f t="shared" si="845"/>
        <v/>
      </c>
      <c r="S1260" s="110" t="str">
        <f t="shared" si="845"/>
        <v/>
      </c>
      <c r="T1260" s="110" t="str">
        <f t="shared" si="845"/>
        <v/>
      </c>
      <c r="U1260" s="110" t="str">
        <f t="shared" si="845"/>
        <v/>
      </c>
      <c r="V1260" s="110" t="str">
        <f t="shared" ref="V1260:W1260" si="846">V1259&amp;"     "</f>
        <v>Nuevo     </v>
      </c>
      <c r="W1260" s="112" t="str">
        <f t="shared" si="846"/>
        <v>Inactiva     </v>
      </c>
    </row>
    <row r="1261" ht="49.5" customHeight="1">
      <c r="A1261" s="110" t="s">
        <v>63</v>
      </c>
      <c r="B1261" s="110" t="s">
        <v>5017</v>
      </c>
      <c r="C1261" s="110" t="s">
        <v>5022</v>
      </c>
      <c r="D1261" s="110" t="s">
        <v>5022</v>
      </c>
      <c r="E1261" s="111" t="s">
        <v>5023</v>
      </c>
      <c r="F1261" s="114" t="str">
        <f>"     "&amp;F1259</f>
        <v>     Pack Top Mujer Lady Genny S-325 Seamless Encaje</v>
      </c>
      <c r="G1261" s="110" t="s">
        <v>5024</v>
      </c>
      <c r="H1261" s="113">
        <v>0.0</v>
      </c>
      <c r="I1261" s="110" t="s">
        <v>70</v>
      </c>
      <c r="J1261" s="112">
        <f>J1259</f>
        <v>9090</v>
      </c>
      <c r="K1261" s="110" t="str">
        <f>K1259&amp;"     "</f>
        <v>$     </v>
      </c>
      <c r="L1261" s="110" t="str">
        <f t="shared" ref="L1261:U1261" si="847">L1259</f>
        <v/>
      </c>
      <c r="M1261" s="110" t="str">
        <f t="shared" si="847"/>
        <v/>
      </c>
      <c r="N1261" s="110" t="str">
        <f t="shared" si="847"/>
        <v/>
      </c>
      <c r="O1261" s="110" t="str">
        <f t="shared" si="847"/>
        <v/>
      </c>
      <c r="P1261" s="110" t="str">
        <f t="shared" si="847"/>
        <v/>
      </c>
      <c r="Q1261" s="110" t="str">
        <f t="shared" si="847"/>
        <v/>
      </c>
      <c r="R1261" s="110" t="str">
        <f t="shared" si="847"/>
        <v/>
      </c>
      <c r="S1261" s="110" t="str">
        <f t="shared" si="847"/>
        <v/>
      </c>
      <c r="T1261" s="110" t="str">
        <f t="shared" si="847"/>
        <v/>
      </c>
      <c r="U1261" s="110" t="str">
        <f t="shared" si="847"/>
        <v/>
      </c>
      <c r="V1261" s="110" t="str">
        <f t="shared" ref="V1261:W1261" si="848">V1259&amp;"     "</f>
        <v>Nuevo     </v>
      </c>
      <c r="W1261" s="112" t="str">
        <f t="shared" si="848"/>
        <v>Inactiva     </v>
      </c>
    </row>
    <row r="1262" ht="49.5" customHeight="1">
      <c r="A1262" s="110" t="s">
        <v>63</v>
      </c>
      <c r="B1262" s="110" t="s">
        <v>5017</v>
      </c>
      <c r="C1262" s="110" t="s">
        <v>5025</v>
      </c>
      <c r="D1262" s="110" t="s">
        <v>5025</v>
      </c>
      <c r="E1262" s="111" t="s">
        <v>5026</v>
      </c>
      <c r="F1262" s="114" t="str">
        <f>"     "&amp;F1259</f>
        <v>     Pack Top Mujer Lady Genny S-325 Seamless Encaje</v>
      </c>
      <c r="G1262" s="110" t="s">
        <v>5027</v>
      </c>
      <c r="H1262" s="113">
        <v>0.0</v>
      </c>
      <c r="I1262" s="110" t="s">
        <v>70</v>
      </c>
      <c r="J1262" s="112">
        <f>J1259</f>
        <v>9090</v>
      </c>
      <c r="K1262" s="110" t="str">
        <f>K1259&amp;"     "</f>
        <v>$     </v>
      </c>
      <c r="L1262" s="110" t="str">
        <f t="shared" ref="L1262:U1262" si="849">L1259</f>
        <v/>
      </c>
      <c r="M1262" s="110" t="str">
        <f t="shared" si="849"/>
        <v/>
      </c>
      <c r="N1262" s="110" t="str">
        <f t="shared" si="849"/>
        <v/>
      </c>
      <c r="O1262" s="110" t="str">
        <f t="shared" si="849"/>
        <v/>
      </c>
      <c r="P1262" s="110" t="str">
        <f t="shared" si="849"/>
        <v/>
      </c>
      <c r="Q1262" s="110" t="str">
        <f t="shared" si="849"/>
        <v/>
      </c>
      <c r="R1262" s="110" t="str">
        <f t="shared" si="849"/>
        <v/>
      </c>
      <c r="S1262" s="110" t="str">
        <f t="shared" si="849"/>
        <v/>
      </c>
      <c r="T1262" s="110" t="str">
        <f t="shared" si="849"/>
        <v/>
      </c>
      <c r="U1262" s="110" t="str">
        <f t="shared" si="849"/>
        <v/>
      </c>
      <c r="V1262" s="110" t="str">
        <f t="shared" ref="V1262:W1262" si="850">V1259&amp;"     "</f>
        <v>Nuevo     </v>
      </c>
      <c r="W1262" s="112" t="str">
        <f t="shared" si="850"/>
        <v>Inactiva     </v>
      </c>
    </row>
    <row r="1263" ht="49.5" customHeight="1">
      <c r="A1263" s="110" t="s">
        <v>63</v>
      </c>
      <c r="B1263" s="110" t="s">
        <v>5017</v>
      </c>
      <c r="C1263" s="110" t="s">
        <v>5028</v>
      </c>
      <c r="D1263" s="110" t="s">
        <v>5028</v>
      </c>
      <c r="E1263" s="111" t="s">
        <v>5029</v>
      </c>
      <c r="F1263" s="114" t="str">
        <f>"     "&amp;F1259</f>
        <v>     Pack Top Mujer Lady Genny S-325 Seamless Encaje</v>
      </c>
      <c r="G1263" s="110" t="s">
        <v>5030</v>
      </c>
      <c r="H1263" s="113">
        <v>0.0</v>
      </c>
      <c r="I1263" s="110" t="s">
        <v>70</v>
      </c>
      <c r="J1263" s="112">
        <f>J1259</f>
        <v>9090</v>
      </c>
      <c r="K1263" s="110" t="str">
        <f>K1259&amp;"     "</f>
        <v>$     </v>
      </c>
      <c r="L1263" s="110" t="str">
        <f t="shared" ref="L1263:U1263" si="851">L1259</f>
        <v/>
      </c>
      <c r="M1263" s="110" t="str">
        <f t="shared" si="851"/>
        <v/>
      </c>
      <c r="N1263" s="110" t="str">
        <f t="shared" si="851"/>
        <v/>
      </c>
      <c r="O1263" s="110" t="str">
        <f t="shared" si="851"/>
        <v/>
      </c>
      <c r="P1263" s="110" t="str">
        <f t="shared" si="851"/>
        <v/>
      </c>
      <c r="Q1263" s="110" t="str">
        <f t="shared" si="851"/>
        <v/>
      </c>
      <c r="R1263" s="110" t="str">
        <f t="shared" si="851"/>
        <v/>
      </c>
      <c r="S1263" s="110" t="str">
        <f t="shared" si="851"/>
        <v/>
      </c>
      <c r="T1263" s="110" t="str">
        <f t="shared" si="851"/>
        <v/>
      </c>
      <c r="U1263" s="110" t="str">
        <f t="shared" si="851"/>
        <v/>
      </c>
      <c r="V1263" s="110" t="str">
        <f t="shared" ref="V1263:W1263" si="852">V1259&amp;"     "</f>
        <v>Nuevo     </v>
      </c>
      <c r="W1263" s="112" t="str">
        <f t="shared" si="852"/>
        <v>Inactiva     </v>
      </c>
    </row>
    <row r="1264" ht="49.5" customHeight="1">
      <c r="A1264" s="110" t="s">
        <v>63</v>
      </c>
      <c r="B1264" s="110" t="s">
        <v>5017</v>
      </c>
      <c r="C1264" s="110" t="s">
        <v>5031</v>
      </c>
      <c r="D1264" s="110" t="s">
        <v>5031</v>
      </c>
      <c r="E1264" s="111" t="s">
        <v>5032</v>
      </c>
      <c r="F1264" s="114" t="str">
        <f>"     "&amp;F1259</f>
        <v>     Pack Top Mujer Lady Genny S-325 Seamless Encaje</v>
      </c>
      <c r="G1264" s="110" t="s">
        <v>5033</v>
      </c>
      <c r="H1264" s="113">
        <v>0.0</v>
      </c>
      <c r="I1264" s="110" t="s">
        <v>70</v>
      </c>
      <c r="J1264" s="112">
        <f>J1259</f>
        <v>9090</v>
      </c>
      <c r="K1264" s="110" t="str">
        <f>K1259&amp;"     "</f>
        <v>$     </v>
      </c>
      <c r="L1264" s="110" t="str">
        <f t="shared" ref="L1264:U1264" si="853">L1259</f>
        <v/>
      </c>
      <c r="M1264" s="110" t="str">
        <f t="shared" si="853"/>
        <v/>
      </c>
      <c r="N1264" s="110" t="str">
        <f t="shared" si="853"/>
        <v/>
      </c>
      <c r="O1264" s="110" t="str">
        <f t="shared" si="853"/>
        <v/>
      </c>
      <c r="P1264" s="110" t="str">
        <f t="shared" si="853"/>
        <v/>
      </c>
      <c r="Q1264" s="110" t="str">
        <f t="shared" si="853"/>
        <v/>
      </c>
      <c r="R1264" s="110" t="str">
        <f t="shared" si="853"/>
        <v/>
      </c>
      <c r="S1264" s="110" t="str">
        <f t="shared" si="853"/>
        <v/>
      </c>
      <c r="T1264" s="110" t="str">
        <f t="shared" si="853"/>
        <v/>
      </c>
      <c r="U1264" s="110" t="str">
        <f t="shared" si="853"/>
        <v/>
      </c>
      <c r="V1264" s="110" t="str">
        <f t="shared" ref="V1264:W1264" si="854">V1259&amp;"     "</f>
        <v>Nuevo     </v>
      </c>
      <c r="W1264" s="112" t="str">
        <f t="shared" si="854"/>
        <v>Inactiva     </v>
      </c>
    </row>
    <row r="1265" ht="49.5" customHeight="1">
      <c r="A1265" s="110" t="s">
        <v>63</v>
      </c>
      <c r="B1265" s="110" t="s">
        <v>5017</v>
      </c>
      <c r="C1265" s="110" t="s">
        <v>5034</v>
      </c>
      <c r="D1265" s="110" t="s">
        <v>5034</v>
      </c>
      <c r="E1265" s="111" t="s">
        <v>5035</v>
      </c>
      <c r="F1265" s="114" t="str">
        <f>"     "&amp;F1259</f>
        <v>     Pack Top Mujer Lady Genny S-325 Seamless Encaje</v>
      </c>
      <c r="G1265" s="110" t="s">
        <v>5036</v>
      </c>
      <c r="H1265" s="113">
        <v>0.0</v>
      </c>
      <c r="I1265" s="110" t="s">
        <v>70</v>
      </c>
      <c r="J1265" s="112">
        <f>J1259</f>
        <v>9090</v>
      </c>
      <c r="K1265" s="110" t="str">
        <f>K1259&amp;"     "</f>
        <v>$     </v>
      </c>
      <c r="L1265" s="110" t="str">
        <f t="shared" ref="L1265:U1265" si="855">L1259</f>
        <v/>
      </c>
      <c r="M1265" s="110" t="str">
        <f t="shared" si="855"/>
        <v/>
      </c>
      <c r="N1265" s="110" t="str">
        <f t="shared" si="855"/>
        <v/>
      </c>
      <c r="O1265" s="110" t="str">
        <f t="shared" si="855"/>
        <v/>
      </c>
      <c r="P1265" s="110" t="str">
        <f t="shared" si="855"/>
        <v/>
      </c>
      <c r="Q1265" s="110" t="str">
        <f t="shared" si="855"/>
        <v/>
      </c>
      <c r="R1265" s="110" t="str">
        <f t="shared" si="855"/>
        <v/>
      </c>
      <c r="S1265" s="110" t="str">
        <f t="shared" si="855"/>
        <v/>
      </c>
      <c r="T1265" s="110" t="str">
        <f t="shared" si="855"/>
        <v/>
      </c>
      <c r="U1265" s="110" t="str">
        <f t="shared" si="855"/>
        <v/>
      </c>
      <c r="V1265" s="110" t="str">
        <f t="shared" ref="V1265:W1265" si="856">V1259&amp;"     "</f>
        <v>Nuevo     </v>
      </c>
      <c r="W1265" s="112" t="str">
        <f t="shared" si="856"/>
        <v>Inactiva     </v>
      </c>
    </row>
    <row r="1266" ht="49.5" customHeight="1">
      <c r="A1266" s="110" t="s">
        <v>63</v>
      </c>
      <c r="B1266" s="110" t="s">
        <v>5017</v>
      </c>
      <c r="C1266" s="110" t="s">
        <v>5037</v>
      </c>
      <c r="D1266" s="110" t="s">
        <v>5037</v>
      </c>
      <c r="E1266" s="111" t="s">
        <v>5038</v>
      </c>
      <c r="F1266" s="114" t="str">
        <f>"     "&amp;F1259</f>
        <v>     Pack Top Mujer Lady Genny S-325 Seamless Encaje</v>
      </c>
      <c r="G1266" s="110" t="s">
        <v>5039</v>
      </c>
      <c r="H1266" s="113">
        <v>0.0</v>
      </c>
      <c r="I1266" s="110" t="s">
        <v>70</v>
      </c>
      <c r="J1266" s="112">
        <f>J1259</f>
        <v>9090</v>
      </c>
      <c r="K1266" s="110" t="str">
        <f>K1259&amp;"     "</f>
        <v>$     </v>
      </c>
      <c r="L1266" s="110" t="str">
        <f t="shared" ref="L1266:U1266" si="857">L1259</f>
        <v/>
      </c>
      <c r="M1266" s="110" t="str">
        <f t="shared" si="857"/>
        <v/>
      </c>
      <c r="N1266" s="110" t="str">
        <f t="shared" si="857"/>
        <v/>
      </c>
      <c r="O1266" s="110" t="str">
        <f t="shared" si="857"/>
        <v/>
      </c>
      <c r="P1266" s="110" t="str">
        <f t="shared" si="857"/>
        <v/>
      </c>
      <c r="Q1266" s="110" t="str">
        <f t="shared" si="857"/>
        <v/>
      </c>
      <c r="R1266" s="110" t="str">
        <f t="shared" si="857"/>
        <v/>
      </c>
      <c r="S1266" s="110" t="str">
        <f t="shared" si="857"/>
        <v/>
      </c>
      <c r="T1266" s="110" t="str">
        <f t="shared" si="857"/>
        <v/>
      </c>
      <c r="U1266" s="110" t="str">
        <f t="shared" si="857"/>
        <v/>
      </c>
      <c r="V1266" s="110" t="str">
        <f t="shared" ref="V1266:W1266" si="858">V1259&amp;"     "</f>
        <v>Nuevo     </v>
      </c>
      <c r="W1266" s="112" t="str">
        <f t="shared" si="858"/>
        <v>Inactiva     </v>
      </c>
    </row>
    <row r="1267" ht="49.5" customHeight="1">
      <c r="A1267" s="110" t="s">
        <v>63</v>
      </c>
      <c r="B1267" s="110" t="s">
        <v>5017</v>
      </c>
      <c r="C1267" s="110" t="s">
        <v>5040</v>
      </c>
      <c r="D1267" s="110" t="s">
        <v>5040</v>
      </c>
      <c r="E1267" s="111" t="s">
        <v>5041</v>
      </c>
      <c r="F1267" s="114" t="str">
        <f>"     "&amp;F1259</f>
        <v>     Pack Top Mujer Lady Genny S-325 Seamless Encaje</v>
      </c>
      <c r="G1267" s="110" t="s">
        <v>5042</v>
      </c>
      <c r="H1267" s="113">
        <v>0.0</v>
      </c>
      <c r="I1267" s="110" t="s">
        <v>70</v>
      </c>
      <c r="J1267" s="112">
        <f>J1259</f>
        <v>9090</v>
      </c>
      <c r="K1267" s="110" t="str">
        <f>K1259&amp;"     "</f>
        <v>$     </v>
      </c>
      <c r="L1267" s="110" t="str">
        <f t="shared" ref="L1267:U1267" si="859">L1259</f>
        <v/>
      </c>
      <c r="M1267" s="110" t="str">
        <f t="shared" si="859"/>
        <v/>
      </c>
      <c r="N1267" s="110" t="str">
        <f t="shared" si="859"/>
        <v/>
      </c>
      <c r="O1267" s="110" t="str">
        <f t="shared" si="859"/>
        <v/>
      </c>
      <c r="P1267" s="110" t="str">
        <f t="shared" si="859"/>
        <v/>
      </c>
      <c r="Q1267" s="110" t="str">
        <f t="shared" si="859"/>
        <v/>
      </c>
      <c r="R1267" s="110" t="str">
        <f t="shared" si="859"/>
        <v/>
      </c>
      <c r="S1267" s="110" t="str">
        <f t="shared" si="859"/>
        <v/>
      </c>
      <c r="T1267" s="110" t="str">
        <f t="shared" si="859"/>
        <v/>
      </c>
      <c r="U1267" s="110" t="str">
        <f t="shared" si="859"/>
        <v/>
      </c>
      <c r="V1267" s="110" t="str">
        <f t="shared" ref="V1267:W1267" si="860">V1259&amp;"     "</f>
        <v>Nuevo     </v>
      </c>
      <c r="W1267" s="112" t="str">
        <f t="shared" si="860"/>
        <v>Inactiva     </v>
      </c>
    </row>
    <row r="1268" ht="49.5" customHeight="1">
      <c r="A1268" s="110" t="s">
        <v>63</v>
      </c>
      <c r="B1268" s="110" t="s">
        <v>5017</v>
      </c>
      <c r="C1268" s="110" t="s">
        <v>5043</v>
      </c>
      <c r="D1268" s="110" t="s">
        <v>5043</v>
      </c>
      <c r="E1268" s="111" t="s">
        <v>5044</v>
      </c>
      <c r="F1268" s="114" t="str">
        <f>"     "&amp;F1259</f>
        <v>     Pack Top Mujer Lady Genny S-325 Seamless Encaje</v>
      </c>
      <c r="G1268" s="110" t="s">
        <v>5045</v>
      </c>
      <c r="H1268" s="113">
        <v>0.0</v>
      </c>
      <c r="I1268" s="110" t="s">
        <v>70</v>
      </c>
      <c r="J1268" s="112">
        <f>J1259</f>
        <v>9090</v>
      </c>
      <c r="K1268" s="110" t="str">
        <f>K1259&amp;"     "</f>
        <v>$     </v>
      </c>
      <c r="L1268" s="110" t="str">
        <f t="shared" ref="L1268:U1268" si="861">L1259</f>
        <v/>
      </c>
      <c r="M1268" s="110" t="str">
        <f t="shared" si="861"/>
        <v/>
      </c>
      <c r="N1268" s="110" t="str">
        <f t="shared" si="861"/>
        <v/>
      </c>
      <c r="O1268" s="110" t="str">
        <f t="shared" si="861"/>
        <v/>
      </c>
      <c r="P1268" s="110" t="str">
        <f t="shared" si="861"/>
        <v/>
      </c>
      <c r="Q1268" s="110" t="str">
        <f t="shared" si="861"/>
        <v/>
      </c>
      <c r="R1268" s="110" t="str">
        <f t="shared" si="861"/>
        <v/>
      </c>
      <c r="S1268" s="110" t="str">
        <f t="shared" si="861"/>
        <v/>
      </c>
      <c r="T1268" s="110" t="str">
        <f t="shared" si="861"/>
        <v/>
      </c>
      <c r="U1268" s="110" t="str">
        <f t="shared" si="861"/>
        <v/>
      </c>
      <c r="V1268" s="110" t="str">
        <f t="shared" ref="V1268:W1268" si="862">V1259&amp;"     "</f>
        <v>Nuevo     </v>
      </c>
      <c r="W1268" s="112" t="str">
        <f t="shared" si="862"/>
        <v>Inactiva     </v>
      </c>
    </row>
    <row r="1269" ht="49.5" customHeight="1">
      <c r="A1269" s="110" t="s">
        <v>63</v>
      </c>
      <c r="B1269" s="110" t="s">
        <v>5017</v>
      </c>
      <c r="C1269" s="110" t="s">
        <v>5046</v>
      </c>
      <c r="D1269" s="110" t="s">
        <v>5046</v>
      </c>
      <c r="E1269" s="111" t="s">
        <v>5047</v>
      </c>
      <c r="F1269" s="114" t="str">
        <f>"     "&amp;F1259</f>
        <v>     Pack Top Mujer Lady Genny S-325 Seamless Encaje</v>
      </c>
      <c r="G1269" s="110" t="s">
        <v>5048</v>
      </c>
      <c r="H1269" s="113">
        <v>0.0</v>
      </c>
      <c r="I1269" s="110" t="s">
        <v>70</v>
      </c>
      <c r="J1269" s="112">
        <f>J1259</f>
        <v>9090</v>
      </c>
      <c r="K1269" s="110" t="str">
        <f>K1259&amp;"     "</f>
        <v>$     </v>
      </c>
      <c r="L1269" s="110" t="str">
        <f t="shared" ref="L1269:U1269" si="863">L1259</f>
        <v/>
      </c>
      <c r="M1269" s="110" t="str">
        <f t="shared" si="863"/>
        <v/>
      </c>
      <c r="N1269" s="110" t="str">
        <f t="shared" si="863"/>
        <v/>
      </c>
      <c r="O1269" s="110" t="str">
        <f t="shared" si="863"/>
        <v/>
      </c>
      <c r="P1269" s="110" t="str">
        <f t="shared" si="863"/>
        <v/>
      </c>
      <c r="Q1269" s="110" t="str">
        <f t="shared" si="863"/>
        <v/>
      </c>
      <c r="R1269" s="110" t="str">
        <f t="shared" si="863"/>
        <v/>
      </c>
      <c r="S1269" s="110" t="str">
        <f t="shared" si="863"/>
        <v/>
      </c>
      <c r="T1269" s="110" t="str">
        <f t="shared" si="863"/>
        <v/>
      </c>
      <c r="U1269" s="110" t="str">
        <f t="shared" si="863"/>
        <v/>
      </c>
      <c r="V1269" s="110" t="str">
        <f t="shared" ref="V1269:W1269" si="864">V1259&amp;"     "</f>
        <v>Nuevo     </v>
      </c>
      <c r="W1269" s="112" t="str">
        <f t="shared" si="864"/>
        <v>Inactiva     </v>
      </c>
    </row>
    <row r="1270" ht="49.5" customHeight="1">
      <c r="A1270" s="110" t="s">
        <v>63</v>
      </c>
      <c r="B1270" s="110" t="s">
        <v>5017</v>
      </c>
      <c r="C1270" s="110" t="s">
        <v>5049</v>
      </c>
      <c r="D1270" s="110" t="s">
        <v>5049</v>
      </c>
      <c r="E1270" s="111" t="s">
        <v>5050</v>
      </c>
      <c r="F1270" s="114" t="str">
        <f>"     "&amp;F1259</f>
        <v>     Pack Top Mujer Lady Genny S-325 Seamless Encaje</v>
      </c>
      <c r="G1270" s="110" t="s">
        <v>5051</v>
      </c>
      <c r="H1270" s="113">
        <v>0.0</v>
      </c>
      <c r="I1270" s="110" t="s">
        <v>70</v>
      </c>
      <c r="J1270" s="112">
        <f>J1259</f>
        <v>9090</v>
      </c>
      <c r="K1270" s="110" t="str">
        <f>K1259&amp;"     "</f>
        <v>$     </v>
      </c>
      <c r="L1270" s="110" t="str">
        <f t="shared" ref="L1270:U1270" si="865">L1259</f>
        <v/>
      </c>
      <c r="M1270" s="110" t="str">
        <f t="shared" si="865"/>
        <v/>
      </c>
      <c r="N1270" s="110" t="str">
        <f t="shared" si="865"/>
        <v/>
      </c>
      <c r="O1270" s="110" t="str">
        <f t="shared" si="865"/>
        <v/>
      </c>
      <c r="P1270" s="110" t="str">
        <f t="shared" si="865"/>
        <v/>
      </c>
      <c r="Q1270" s="110" t="str">
        <f t="shared" si="865"/>
        <v/>
      </c>
      <c r="R1270" s="110" t="str">
        <f t="shared" si="865"/>
        <v/>
      </c>
      <c r="S1270" s="110" t="str">
        <f t="shared" si="865"/>
        <v/>
      </c>
      <c r="T1270" s="110" t="str">
        <f t="shared" si="865"/>
        <v/>
      </c>
      <c r="U1270" s="110" t="str">
        <f t="shared" si="865"/>
        <v/>
      </c>
      <c r="V1270" s="110" t="str">
        <f t="shared" ref="V1270:W1270" si="866">V1259&amp;"     "</f>
        <v>Nuevo     </v>
      </c>
      <c r="W1270" s="112" t="str">
        <f t="shared" si="866"/>
        <v>Inactiva     </v>
      </c>
    </row>
    <row r="1271" ht="49.5" customHeight="1">
      <c r="A1271" s="110" t="s">
        <v>63</v>
      </c>
      <c r="B1271" s="110" t="s">
        <v>5017</v>
      </c>
      <c r="C1271" s="110" t="s">
        <v>5052</v>
      </c>
      <c r="D1271" s="110" t="s">
        <v>5052</v>
      </c>
      <c r="E1271" s="111" t="s">
        <v>5053</v>
      </c>
      <c r="F1271" s="114" t="str">
        <f>"     "&amp;F1259</f>
        <v>     Pack Top Mujer Lady Genny S-325 Seamless Encaje</v>
      </c>
      <c r="G1271" s="110" t="s">
        <v>5054</v>
      </c>
      <c r="H1271" s="113">
        <v>0.0</v>
      </c>
      <c r="I1271" s="110" t="s">
        <v>70</v>
      </c>
      <c r="J1271" s="112">
        <f>J1259</f>
        <v>9090</v>
      </c>
      <c r="K1271" s="110" t="str">
        <f>K1259&amp;"     "</f>
        <v>$     </v>
      </c>
      <c r="L1271" s="110" t="str">
        <f t="shared" ref="L1271:U1271" si="867">L1259</f>
        <v/>
      </c>
      <c r="M1271" s="110" t="str">
        <f t="shared" si="867"/>
        <v/>
      </c>
      <c r="N1271" s="110" t="str">
        <f t="shared" si="867"/>
        <v/>
      </c>
      <c r="O1271" s="110" t="str">
        <f t="shared" si="867"/>
        <v/>
      </c>
      <c r="P1271" s="110" t="str">
        <f t="shared" si="867"/>
        <v/>
      </c>
      <c r="Q1271" s="110" t="str">
        <f t="shared" si="867"/>
        <v/>
      </c>
      <c r="R1271" s="110" t="str">
        <f t="shared" si="867"/>
        <v/>
      </c>
      <c r="S1271" s="110" t="str">
        <f t="shared" si="867"/>
        <v/>
      </c>
      <c r="T1271" s="110" t="str">
        <f t="shared" si="867"/>
        <v/>
      </c>
      <c r="U1271" s="110" t="str">
        <f t="shared" si="867"/>
        <v/>
      </c>
      <c r="V1271" s="110" t="str">
        <f t="shared" ref="V1271:W1271" si="868">V1259&amp;"     "</f>
        <v>Nuevo     </v>
      </c>
      <c r="W1271" s="112" t="str">
        <f t="shared" si="868"/>
        <v>Inactiva     </v>
      </c>
    </row>
    <row r="1272" ht="49.5" customHeight="1">
      <c r="A1272" s="110" t="s">
        <v>63</v>
      </c>
      <c r="B1272" s="110" t="s">
        <v>5017</v>
      </c>
      <c r="C1272" s="110" t="s">
        <v>5055</v>
      </c>
      <c r="D1272" s="110" t="s">
        <v>5055</v>
      </c>
      <c r="E1272" s="111" t="s">
        <v>5056</v>
      </c>
      <c r="F1272" s="114" t="str">
        <f>"     "&amp;F1259</f>
        <v>     Pack Top Mujer Lady Genny S-325 Seamless Encaje</v>
      </c>
      <c r="G1272" s="110" t="s">
        <v>5057</v>
      </c>
      <c r="H1272" s="113">
        <v>0.0</v>
      </c>
      <c r="I1272" s="110" t="s">
        <v>70</v>
      </c>
      <c r="J1272" s="112">
        <f>J1259</f>
        <v>9090</v>
      </c>
      <c r="K1272" s="110" t="str">
        <f>K1259&amp;"     "</f>
        <v>$     </v>
      </c>
      <c r="L1272" s="110" t="str">
        <f t="shared" ref="L1272:U1272" si="869">L1259</f>
        <v/>
      </c>
      <c r="M1272" s="110" t="str">
        <f t="shared" si="869"/>
        <v/>
      </c>
      <c r="N1272" s="110" t="str">
        <f t="shared" si="869"/>
        <v/>
      </c>
      <c r="O1272" s="110" t="str">
        <f t="shared" si="869"/>
        <v/>
      </c>
      <c r="P1272" s="110" t="str">
        <f t="shared" si="869"/>
        <v/>
      </c>
      <c r="Q1272" s="110" t="str">
        <f t="shared" si="869"/>
        <v/>
      </c>
      <c r="R1272" s="110" t="str">
        <f t="shared" si="869"/>
        <v/>
      </c>
      <c r="S1272" s="110" t="str">
        <f t="shared" si="869"/>
        <v/>
      </c>
      <c r="T1272" s="110" t="str">
        <f t="shared" si="869"/>
        <v/>
      </c>
      <c r="U1272" s="110" t="str">
        <f t="shared" si="869"/>
        <v/>
      </c>
      <c r="V1272" s="110" t="str">
        <f t="shared" ref="V1272:W1272" si="870">V1259&amp;"     "</f>
        <v>Nuevo     </v>
      </c>
      <c r="W1272" s="112" t="str">
        <f t="shared" si="870"/>
        <v>Inactiva     </v>
      </c>
    </row>
    <row r="1273" ht="49.5" customHeight="1">
      <c r="A1273" s="110" t="s">
        <v>63</v>
      </c>
      <c r="B1273" s="110" t="s">
        <v>5017</v>
      </c>
      <c r="C1273" s="110" t="s">
        <v>5058</v>
      </c>
      <c r="D1273" s="110" t="s">
        <v>5058</v>
      </c>
      <c r="E1273" s="111" t="s">
        <v>5059</v>
      </c>
      <c r="F1273" s="114" t="str">
        <f>"     "&amp;F1259</f>
        <v>     Pack Top Mujer Lady Genny S-325 Seamless Encaje</v>
      </c>
      <c r="G1273" s="110" t="s">
        <v>5060</v>
      </c>
      <c r="H1273" s="113">
        <v>0.0</v>
      </c>
      <c r="I1273" s="110" t="s">
        <v>70</v>
      </c>
      <c r="J1273" s="112">
        <f>J1259</f>
        <v>9090</v>
      </c>
      <c r="K1273" s="110" t="str">
        <f>K1259&amp;"     "</f>
        <v>$     </v>
      </c>
      <c r="L1273" s="110" t="str">
        <f t="shared" ref="L1273:U1273" si="871">L1259</f>
        <v/>
      </c>
      <c r="M1273" s="110" t="str">
        <f t="shared" si="871"/>
        <v/>
      </c>
      <c r="N1273" s="110" t="str">
        <f t="shared" si="871"/>
        <v/>
      </c>
      <c r="O1273" s="110" t="str">
        <f t="shared" si="871"/>
        <v/>
      </c>
      <c r="P1273" s="110" t="str">
        <f t="shared" si="871"/>
        <v/>
      </c>
      <c r="Q1273" s="110" t="str">
        <f t="shared" si="871"/>
        <v/>
      </c>
      <c r="R1273" s="110" t="str">
        <f t="shared" si="871"/>
        <v/>
      </c>
      <c r="S1273" s="110" t="str">
        <f t="shared" si="871"/>
        <v/>
      </c>
      <c r="T1273" s="110" t="str">
        <f t="shared" si="871"/>
        <v/>
      </c>
      <c r="U1273" s="110" t="str">
        <f t="shared" si="871"/>
        <v/>
      </c>
      <c r="V1273" s="110" t="str">
        <f t="shared" ref="V1273:W1273" si="872">V1259&amp;"     "</f>
        <v>Nuevo     </v>
      </c>
      <c r="W1273" s="112" t="str">
        <f t="shared" si="872"/>
        <v>Inactiva     </v>
      </c>
    </row>
    <row r="1274" ht="49.5" customHeight="1">
      <c r="A1274" s="110" t="s">
        <v>63</v>
      </c>
      <c r="B1274" s="110" t="s">
        <v>5017</v>
      </c>
      <c r="C1274" s="110" t="s">
        <v>5061</v>
      </c>
      <c r="D1274" s="110" t="s">
        <v>5061</v>
      </c>
      <c r="E1274" s="111" t="s">
        <v>5062</v>
      </c>
      <c r="F1274" s="114" t="str">
        <f>"     "&amp;F1259</f>
        <v>     Pack Top Mujer Lady Genny S-325 Seamless Encaje</v>
      </c>
      <c r="G1274" s="110" t="s">
        <v>5063</v>
      </c>
      <c r="H1274" s="113">
        <v>0.0</v>
      </c>
      <c r="I1274" s="110" t="s">
        <v>70</v>
      </c>
      <c r="J1274" s="112">
        <f>J1259</f>
        <v>9090</v>
      </c>
      <c r="K1274" s="110" t="str">
        <f>K1259&amp;"     "</f>
        <v>$     </v>
      </c>
      <c r="L1274" s="110" t="str">
        <f t="shared" ref="L1274:U1274" si="873">L1259</f>
        <v/>
      </c>
      <c r="M1274" s="110" t="str">
        <f t="shared" si="873"/>
        <v/>
      </c>
      <c r="N1274" s="110" t="str">
        <f t="shared" si="873"/>
        <v/>
      </c>
      <c r="O1274" s="110" t="str">
        <f t="shared" si="873"/>
        <v/>
      </c>
      <c r="P1274" s="110" t="str">
        <f t="shared" si="873"/>
        <v/>
      </c>
      <c r="Q1274" s="110" t="str">
        <f t="shared" si="873"/>
        <v/>
      </c>
      <c r="R1274" s="110" t="str">
        <f t="shared" si="873"/>
        <v/>
      </c>
      <c r="S1274" s="110" t="str">
        <f t="shared" si="873"/>
        <v/>
      </c>
      <c r="T1274" s="110" t="str">
        <f t="shared" si="873"/>
        <v/>
      </c>
      <c r="U1274" s="110" t="str">
        <f t="shared" si="873"/>
        <v/>
      </c>
      <c r="V1274" s="110" t="str">
        <f t="shared" ref="V1274:W1274" si="874">V1259&amp;"     "</f>
        <v>Nuevo     </v>
      </c>
      <c r="W1274" s="112" t="str">
        <f t="shared" si="874"/>
        <v>Inactiva     </v>
      </c>
    </row>
    <row r="1275" ht="49.5" customHeight="1">
      <c r="A1275" s="110" t="s">
        <v>5064</v>
      </c>
      <c r="B1275" s="110" t="s">
        <v>5065</v>
      </c>
      <c r="C1275" s="110" t="s">
        <v>5066</v>
      </c>
      <c r="D1275" s="110"/>
      <c r="E1275" s="111" t="s">
        <v>5067</v>
      </c>
      <c r="F1275" s="111" t="s">
        <v>5068</v>
      </c>
      <c r="G1275" s="110" t="s">
        <v>5068</v>
      </c>
      <c r="H1275" s="113">
        <v>0.0</v>
      </c>
      <c r="I1275" s="110" t="s">
        <v>70</v>
      </c>
      <c r="J1275" s="112">
        <v>109290.0</v>
      </c>
      <c r="K1275" s="113" t="s">
        <v>71</v>
      </c>
      <c r="L1275" s="113"/>
      <c r="M1275" s="113"/>
      <c r="N1275" s="113"/>
      <c r="O1275" s="113"/>
      <c r="P1275" s="113"/>
      <c r="Q1275" s="113"/>
      <c r="R1275" s="113"/>
      <c r="S1275" s="113"/>
      <c r="T1275" s="113"/>
      <c r="U1275" s="113"/>
      <c r="V1275" s="113" t="s">
        <v>72</v>
      </c>
      <c r="W1275" s="112" t="s">
        <v>3696</v>
      </c>
    </row>
    <row r="1276" ht="49.5" customHeight="1">
      <c r="A1276" s="110" t="s">
        <v>5069</v>
      </c>
      <c r="B1276" s="110" t="s">
        <v>5070</v>
      </c>
      <c r="C1276" s="110" t="s">
        <v>5071</v>
      </c>
      <c r="D1276" s="110"/>
      <c r="E1276" s="111" t="s">
        <v>5072</v>
      </c>
      <c r="F1276" s="111" t="s">
        <v>5073</v>
      </c>
      <c r="G1276" s="110" t="s">
        <v>5073</v>
      </c>
      <c r="H1276" s="113">
        <v>0.0</v>
      </c>
      <c r="I1276" s="110" t="s">
        <v>70</v>
      </c>
      <c r="J1276" s="112">
        <v>42990.0</v>
      </c>
      <c r="K1276" s="113" t="s">
        <v>71</v>
      </c>
      <c r="L1276" s="113"/>
      <c r="M1276" s="113"/>
      <c r="N1276" s="113"/>
      <c r="O1276" s="113"/>
      <c r="P1276" s="113"/>
      <c r="Q1276" s="113"/>
      <c r="R1276" s="113"/>
      <c r="S1276" s="113"/>
      <c r="T1276" s="113"/>
      <c r="U1276" s="113"/>
      <c r="V1276" s="113" t="s">
        <v>72</v>
      </c>
      <c r="W1276" s="112" t="s">
        <v>3696</v>
      </c>
    </row>
    <row r="1277" ht="49.5" customHeight="1">
      <c r="A1277" s="110" t="s">
        <v>5074</v>
      </c>
      <c r="B1277" s="110" t="s">
        <v>5075</v>
      </c>
      <c r="C1277" s="110" t="s">
        <v>5076</v>
      </c>
      <c r="D1277" s="110"/>
      <c r="E1277" s="111" t="s">
        <v>5077</v>
      </c>
      <c r="F1277" s="111" t="s">
        <v>5078</v>
      </c>
      <c r="G1277" s="110" t="s">
        <v>5078</v>
      </c>
      <c r="H1277" s="113">
        <v>0.0</v>
      </c>
      <c r="I1277" s="110" t="s">
        <v>70</v>
      </c>
      <c r="J1277" s="112">
        <v>5990.0</v>
      </c>
      <c r="K1277" s="113" t="s">
        <v>71</v>
      </c>
      <c r="L1277" s="113"/>
      <c r="M1277" s="113"/>
      <c r="N1277" s="113"/>
      <c r="O1277" s="113"/>
      <c r="P1277" s="113"/>
      <c r="Q1277" s="113"/>
      <c r="R1277" s="113"/>
      <c r="S1277" s="113"/>
      <c r="T1277" s="113"/>
      <c r="U1277" s="113"/>
      <c r="V1277" s="113" t="s">
        <v>72</v>
      </c>
      <c r="W1277" s="112" t="s">
        <v>3696</v>
      </c>
    </row>
    <row r="1278" ht="49.5" customHeight="1">
      <c r="A1278" s="110" t="s">
        <v>5079</v>
      </c>
      <c r="B1278" s="110" t="s">
        <v>5080</v>
      </c>
      <c r="C1278" s="110" t="s">
        <v>5081</v>
      </c>
      <c r="D1278" s="110"/>
      <c r="E1278" s="111" t="s">
        <v>5082</v>
      </c>
      <c r="F1278" s="111" t="s">
        <v>5083</v>
      </c>
      <c r="G1278" s="110" t="s">
        <v>165</v>
      </c>
      <c r="H1278" s="113">
        <v>30.0</v>
      </c>
      <c r="I1278" s="110" t="s">
        <v>70</v>
      </c>
      <c r="J1278" s="112">
        <v>14990.0</v>
      </c>
      <c r="K1278" s="113" t="s">
        <v>71</v>
      </c>
      <c r="L1278" s="113"/>
      <c r="M1278" s="113"/>
      <c r="N1278" s="113"/>
      <c r="O1278" s="113"/>
      <c r="P1278" s="113"/>
      <c r="Q1278" s="113"/>
      <c r="R1278" s="113"/>
      <c r="S1278" s="113"/>
      <c r="T1278" s="113"/>
      <c r="U1278" s="113"/>
      <c r="V1278" s="113" t="s">
        <v>72</v>
      </c>
      <c r="W1278" s="112" t="s">
        <v>3696</v>
      </c>
    </row>
    <row r="1279" ht="49.5" customHeight="1">
      <c r="A1279" s="110" t="s">
        <v>5084</v>
      </c>
      <c r="B1279" s="110" t="s">
        <v>5085</v>
      </c>
      <c r="C1279" s="110" t="s">
        <v>5086</v>
      </c>
      <c r="D1279" s="110"/>
      <c r="E1279" s="111" t="s">
        <v>5087</v>
      </c>
      <c r="F1279" s="111" t="s">
        <v>5088</v>
      </c>
      <c r="G1279" s="110" t="s">
        <v>79</v>
      </c>
      <c r="H1279" s="113">
        <v>0.0</v>
      </c>
      <c r="I1279" s="110" t="s">
        <v>70</v>
      </c>
      <c r="J1279" s="112">
        <v>16190.0</v>
      </c>
      <c r="K1279" s="113" t="s">
        <v>71</v>
      </c>
      <c r="L1279" s="113"/>
      <c r="M1279" s="113"/>
      <c r="N1279" s="113"/>
      <c r="O1279" s="113"/>
      <c r="P1279" s="113"/>
      <c r="Q1279" s="113"/>
      <c r="R1279" s="113"/>
      <c r="S1279" s="113"/>
      <c r="T1279" s="113"/>
      <c r="U1279" s="113"/>
      <c r="V1279" s="113" t="s">
        <v>72</v>
      </c>
      <c r="W1279" s="112" t="s">
        <v>3696</v>
      </c>
    </row>
    <row r="1280" ht="49.5" customHeight="1">
      <c r="A1280" s="110" t="s">
        <v>5089</v>
      </c>
      <c r="B1280" s="110" t="s">
        <v>5090</v>
      </c>
      <c r="C1280" s="110" t="s">
        <v>5091</v>
      </c>
      <c r="D1280" s="110"/>
      <c r="E1280" s="111" t="s">
        <v>5092</v>
      </c>
      <c r="F1280" s="111" t="s">
        <v>5093</v>
      </c>
      <c r="G1280" s="110" t="s">
        <v>5093</v>
      </c>
      <c r="H1280" s="113">
        <v>0.0</v>
      </c>
      <c r="I1280" s="110" t="s">
        <v>70</v>
      </c>
      <c r="J1280" s="112">
        <v>15990.0</v>
      </c>
      <c r="K1280" s="113" t="s">
        <v>71</v>
      </c>
      <c r="L1280" s="113"/>
      <c r="M1280" s="113"/>
      <c r="N1280" s="113"/>
      <c r="O1280" s="113"/>
      <c r="P1280" s="113"/>
      <c r="Q1280" s="113"/>
      <c r="R1280" s="113"/>
      <c r="S1280" s="113"/>
      <c r="T1280" s="113"/>
      <c r="U1280" s="113"/>
      <c r="V1280" s="113" t="s">
        <v>72</v>
      </c>
      <c r="W1280" s="112" t="s">
        <v>3696</v>
      </c>
    </row>
    <row r="1281" ht="49.5" customHeight="1">
      <c r="A1281" s="110" t="s">
        <v>5094</v>
      </c>
      <c r="B1281" s="110" t="s">
        <v>5095</v>
      </c>
      <c r="C1281" s="110" t="s">
        <v>5096</v>
      </c>
      <c r="D1281" s="110"/>
      <c r="E1281" s="111" t="s">
        <v>5097</v>
      </c>
      <c r="F1281" s="111" t="s">
        <v>5098</v>
      </c>
      <c r="G1281" s="110" t="s">
        <v>5098</v>
      </c>
      <c r="H1281" s="113">
        <v>0.0</v>
      </c>
      <c r="I1281" s="110" t="s">
        <v>70</v>
      </c>
      <c r="J1281" s="112">
        <v>57190.0</v>
      </c>
      <c r="K1281" s="113" t="s">
        <v>71</v>
      </c>
      <c r="L1281" s="113"/>
      <c r="M1281" s="113"/>
      <c r="N1281" s="113"/>
      <c r="O1281" s="113"/>
      <c r="P1281" s="113"/>
      <c r="Q1281" s="113"/>
      <c r="R1281" s="113"/>
      <c r="S1281" s="113"/>
      <c r="T1281" s="113"/>
      <c r="U1281" s="113"/>
      <c r="V1281" s="113" t="s">
        <v>72</v>
      </c>
      <c r="W1281" s="112" t="s">
        <v>3696</v>
      </c>
    </row>
    <row r="1282" ht="49.5" customHeight="1">
      <c r="A1282" s="110" t="s">
        <v>5099</v>
      </c>
      <c r="B1282" s="110" t="s">
        <v>5100</v>
      </c>
      <c r="C1282" s="110" t="s">
        <v>5101</v>
      </c>
      <c r="D1282" s="110"/>
      <c r="E1282" s="111" t="s">
        <v>5102</v>
      </c>
      <c r="F1282" s="111" t="s">
        <v>5103</v>
      </c>
      <c r="G1282" s="110" t="s">
        <v>5103</v>
      </c>
      <c r="H1282" s="113">
        <v>30.0</v>
      </c>
      <c r="I1282" s="110" t="s">
        <v>70</v>
      </c>
      <c r="J1282" s="112">
        <v>26090.0</v>
      </c>
      <c r="K1282" s="113" t="s">
        <v>71</v>
      </c>
      <c r="L1282" s="113"/>
      <c r="M1282" s="113"/>
      <c r="N1282" s="113"/>
      <c r="O1282" s="113"/>
      <c r="P1282" s="113"/>
      <c r="Q1282" s="113"/>
      <c r="R1282" s="113"/>
      <c r="S1282" s="113"/>
      <c r="T1282" s="113"/>
      <c r="U1282" s="113"/>
      <c r="V1282" s="113" t="s">
        <v>72</v>
      </c>
      <c r="W1282" s="112" t="s">
        <v>3696</v>
      </c>
    </row>
    <row r="1283" ht="49.5" customHeight="1">
      <c r="A1283" s="110" t="s">
        <v>5104</v>
      </c>
      <c r="B1283" s="110" t="s">
        <v>5105</v>
      </c>
      <c r="C1283" s="110" t="s">
        <v>5106</v>
      </c>
      <c r="D1283" s="110"/>
      <c r="E1283" s="111" t="s">
        <v>5107</v>
      </c>
      <c r="F1283" s="111" t="s">
        <v>5108</v>
      </c>
      <c r="G1283" s="110" t="s">
        <v>5109</v>
      </c>
      <c r="H1283" s="113">
        <v>0.0</v>
      </c>
      <c r="I1283" s="110" t="s">
        <v>70</v>
      </c>
      <c r="J1283" s="112">
        <v>14590.0</v>
      </c>
      <c r="K1283" s="113" t="s">
        <v>71</v>
      </c>
      <c r="L1283" s="113"/>
      <c r="M1283" s="113"/>
      <c r="N1283" s="113"/>
      <c r="O1283" s="113"/>
      <c r="P1283" s="113"/>
      <c r="Q1283" s="113"/>
      <c r="R1283" s="113"/>
      <c r="S1283" s="113"/>
      <c r="T1283" s="113"/>
      <c r="U1283" s="113"/>
      <c r="V1283" s="113" t="s">
        <v>72</v>
      </c>
      <c r="W1283" s="112" t="s">
        <v>3696</v>
      </c>
    </row>
    <row r="1284" ht="49.5" customHeight="1">
      <c r="A1284" s="110" t="s">
        <v>5110</v>
      </c>
      <c r="B1284" s="110" t="s">
        <v>5111</v>
      </c>
      <c r="C1284" s="110" t="s">
        <v>5112</v>
      </c>
      <c r="D1284" s="110"/>
      <c r="E1284" s="111" t="s">
        <v>5113</v>
      </c>
      <c r="F1284" s="111" t="s">
        <v>5114</v>
      </c>
      <c r="G1284" s="110" t="s">
        <v>90</v>
      </c>
      <c r="H1284" s="113">
        <v>0.0</v>
      </c>
      <c r="I1284" s="110" t="s">
        <v>70</v>
      </c>
      <c r="J1284" s="112">
        <v>7590.0</v>
      </c>
      <c r="K1284" s="113" t="s">
        <v>71</v>
      </c>
      <c r="L1284" s="113"/>
      <c r="M1284" s="113"/>
      <c r="N1284" s="113"/>
      <c r="O1284" s="113"/>
      <c r="P1284" s="113"/>
      <c r="Q1284" s="113"/>
      <c r="R1284" s="113"/>
      <c r="S1284" s="113"/>
      <c r="T1284" s="113"/>
      <c r="U1284" s="113"/>
      <c r="V1284" s="113" t="s">
        <v>72</v>
      </c>
      <c r="W1284" s="112" t="s">
        <v>3696</v>
      </c>
    </row>
    <row r="1285" ht="49.5" customHeight="1">
      <c r="A1285" s="110" t="s">
        <v>5115</v>
      </c>
      <c r="B1285" s="110" t="s">
        <v>5116</v>
      </c>
      <c r="C1285" s="110" t="s">
        <v>5117</v>
      </c>
      <c r="D1285" s="110"/>
      <c r="E1285" s="111" t="s">
        <v>5118</v>
      </c>
      <c r="F1285" s="111" t="s">
        <v>5119</v>
      </c>
      <c r="G1285" s="110" t="s">
        <v>5119</v>
      </c>
      <c r="H1285" s="113">
        <v>0.0</v>
      </c>
      <c r="I1285" s="110" t="s">
        <v>70</v>
      </c>
      <c r="J1285" s="112">
        <v>150590.0</v>
      </c>
      <c r="K1285" s="113" t="s">
        <v>71</v>
      </c>
      <c r="L1285" s="113"/>
      <c r="M1285" s="113"/>
      <c r="N1285" s="113"/>
      <c r="O1285" s="113"/>
      <c r="P1285" s="113"/>
      <c r="Q1285" s="113"/>
      <c r="R1285" s="113"/>
      <c r="S1285" s="113"/>
      <c r="T1285" s="113"/>
      <c r="U1285" s="113"/>
      <c r="V1285" s="113" t="s">
        <v>72</v>
      </c>
      <c r="W1285" s="112" t="s">
        <v>3696</v>
      </c>
    </row>
    <row r="1286" ht="49.5" customHeight="1">
      <c r="A1286" s="110" t="s">
        <v>5120</v>
      </c>
      <c r="B1286" s="110" t="s">
        <v>5121</v>
      </c>
      <c r="C1286" s="110" t="s">
        <v>5122</v>
      </c>
      <c r="D1286" s="110"/>
      <c r="E1286" s="111" t="s">
        <v>5123</v>
      </c>
      <c r="F1286" s="111" t="s">
        <v>5124</v>
      </c>
      <c r="G1286" s="110" t="s">
        <v>5124</v>
      </c>
      <c r="H1286" s="113">
        <v>0.0</v>
      </c>
      <c r="I1286" s="110" t="s">
        <v>70</v>
      </c>
      <c r="J1286" s="112">
        <v>16390.0</v>
      </c>
      <c r="K1286" s="113" t="s">
        <v>71</v>
      </c>
      <c r="L1286" s="113"/>
      <c r="M1286" s="113"/>
      <c r="N1286" s="113"/>
      <c r="O1286" s="113"/>
      <c r="P1286" s="113"/>
      <c r="Q1286" s="113"/>
      <c r="R1286" s="113"/>
      <c r="S1286" s="113"/>
      <c r="T1286" s="113"/>
      <c r="U1286" s="113"/>
      <c r="V1286" s="113" t="s">
        <v>72</v>
      </c>
      <c r="W1286" s="112" t="s">
        <v>3696</v>
      </c>
    </row>
    <row r="1287" ht="49.5" customHeight="1">
      <c r="A1287" s="110" t="s">
        <v>5125</v>
      </c>
      <c r="B1287" s="110" t="s">
        <v>5126</v>
      </c>
      <c r="C1287" s="110" t="s">
        <v>5127</v>
      </c>
      <c r="D1287" s="110"/>
      <c r="E1287" s="111" t="s">
        <v>5128</v>
      </c>
      <c r="F1287" s="111" t="s">
        <v>5129</v>
      </c>
      <c r="G1287" s="110" t="s">
        <v>5129</v>
      </c>
      <c r="H1287" s="113">
        <v>0.0</v>
      </c>
      <c r="I1287" s="110" t="s">
        <v>70</v>
      </c>
      <c r="J1287" s="112">
        <v>5990.0</v>
      </c>
      <c r="K1287" s="113" t="s">
        <v>71</v>
      </c>
      <c r="L1287" s="113"/>
      <c r="M1287" s="113"/>
      <c r="N1287" s="113"/>
      <c r="O1287" s="113"/>
      <c r="P1287" s="113"/>
      <c r="Q1287" s="113"/>
      <c r="R1287" s="113"/>
      <c r="S1287" s="113"/>
      <c r="T1287" s="113"/>
      <c r="U1287" s="113"/>
      <c r="V1287" s="113" t="s">
        <v>72</v>
      </c>
      <c r="W1287" s="112" t="s">
        <v>3696</v>
      </c>
    </row>
    <row r="1288" ht="49.5" customHeight="1">
      <c r="A1288" s="110" t="s">
        <v>5130</v>
      </c>
      <c r="B1288" s="110" t="s">
        <v>5131</v>
      </c>
      <c r="C1288" s="110" t="s">
        <v>5132</v>
      </c>
      <c r="D1288" s="110"/>
      <c r="E1288" s="111" t="s">
        <v>5133</v>
      </c>
      <c r="F1288" s="111" t="s">
        <v>5134</v>
      </c>
      <c r="G1288" s="110" t="s">
        <v>165</v>
      </c>
      <c r="H1288" s="113">
        <v>0.0</v>
      </c>
      <c r="I1288" s="110" t="s">
        <v>70</v>
      </c>
      <c r="J1288" s="112">
        <v>16190.0</v>
      </c>
      <c r="K1288" s="113" t="s">
        <v>71</v>
      </c>
      <c r="L1288" s="113"/>
      <c r="M1288" s="113"/>
      <c r="N1288" s="113"/>
      <c r="O1288" s="113"/>
      <c r="P1288" s="113"/>
      <c r="Q1288" s="113"/>
      <c r="R1288" s="113"/>
      <c r="S1288" s="113"/>
      <c r="T1288" s="113"/>
      <c r="U1288" s="113"/>
      <c r="V1288" s="113" t="s">
        <v>72</v>
      </c>
      <c r="W1288" s="112" t="s">
        <v>3696</v>
      </c>
    </row>
    <row r="1289" ht="49.5" customHeight="1">
      <c r="A1289" s="110" t="s">
        <v>5120</v>
      </c>
      <c r="B1289" s="110" t="s">
        <v>5135</v>
      </c>
      <c r="C1289" s="110" t="s">
        <v>5122</v>
      </c>
      <c r="D1289" s="110"/>
      <c r="E1289" s="111" t="s">
        <v>5123</v>
      </c>
      <c r="F1289" s="111" t="s">
        <v>5124</v>
      </c>
      <c r="G1289" s="110" t="s">
        <v>5124</v>
      </c>
      <c r="H1289" s="113">
        <v>0.0</v>
      </c>
      <c r="I1289" s="110" t="s">
        <v>70</v>
      </c>
      <c r="J1289" s="112">
        <v>16390.0</v>
      </c>
      <c r="K1289" s="113" t="s">
        <v>71</v>
      </c>
      <c r="L1289" s="113"/>
      <c r="M1289" s="113"/>
      <c r="N1289" s="113"/>
      <c r="O1289" s="113"/>
      <c r="P1289" s="113"/>
      <c r="Q1289" s="113"/>
      <c r="R1289" s="113"/>
      <c r="S1289" s="113"/>
      <c r="T1289" s="113"/>
      <c r="U1289" s="113"/>
      <c r="V1289" s="113" t="s">
        <v>72</v>
      </c>
      <c r="W1289" s="112" t="s">
        <v>3696</v>
      </c>
    </row>
    <row r="1290" ht="49.5" customHeight="1">
      <c r="A1290" s="110" t="s">
        <v>5136</v>
      </c>
      <c r="B1290" s="110" t="s">
        <v>5137</v>
      </c>
      <c r="C1290" s="110" t="s">
        <v>5138</v>
      </c>
      <c r="D1290" s="110"/>
      <c r="E1290" s="111" t="s">
        <v>5139</v>
      </c>
      <c r="F1290" s="111" t="s">
        <v>5140</v>
      </c>
      <c r="G1290" s="110" t="s">
        <v>5140</v>
      </c>
      <c r="H1290" s="113">
        <v>0.0</v>
      </c>
      <c r="I1290" s="110" t="s">
        <v>70</v>
      </c>
      <c r="J1290" s="112">
        <v>18790.0</v>
      </c>
      <c r="K1290" s="113" t="s">
        <v>71</v>
      </c>
      <c r="L1290" s="113"/>
      <c r="M1290" s="113"/>
      <c r="N1290" s="113"/>
      <c r="O1290" s="113"/>
      <c r="P1290" s="113"/>
      <c r="Q1290" s="113"/>
      <c r="R1290" s="113"/>
      <c r="S1290" s="113"/>
      <c r="T1290" s="113"/>
      <c r="U1290" s="113"/>
      <c r="V1290" s="113" t="s">
        <v>72</v>
      </c>
      <c r="W1290" s="112" t="s">
        <v>3696</v>
      </c>
    </row>
    <row r="1291" ht="49.5" customHeight="1">
      <c r="A1291" s="110" t="s">
        <v>5141</v>
      </c>
      <c r="B1291" s="110" t="s">
        <v>5142</v>
      </c>
      <c r="C1291" s="110" t="s">
        <v>5143</v>
      </c>
      <c r="D1291" s="110"/>
      <c r="E1291" s="111" t="s">
        <v>5144</v>
      </c>
      <c r="F1291" s="111" t="s">
        <v>5145</v>
      </c>
      <c r="G1291" s="110" t="s">
        <v>5145</v>
      </c>
      <c r="H1291" s="113">
        <v>30.0</v>
      </c>
      <c r="I1291" s="110" t="s">
        <v>70</v>
      </c>
      <c r="J1291" s="112">
        <v>26090.0</v>
      </c>
      <c r="K1291" s="113" t="s">
        <v>71</v>
      </c>
      <c r="L1291" s="113"/>
      <c r="M1291" s="113"/>
      <c r="N1291" s="113"/>
      <c r="O1291" s="113"/>
      <c r="P1291" s="113"/>
      <c r="Q1291" s="113"/>
      <c r="R1291" s="113"/>
      <c r="S1291" s="113"/>
      <c r="T1291" s="113"/>
      <c r="U1291" s="113"/>
      <c r="V1291" s="113" t="s">
        <v>72</v>
      </c>
      <c r="W1291" s="112" t="s">
        <v>3696</v>
      </c>
    </row>
    <row r="1292" ht="49.5" customHeight="1">
      <c r="A1292" s="110" t="s">
        <v>5146</v>
      </c>
      <c r="B1292" s="110" t="s">
        <v>5147</v>
      </c>
      <c r="C1292" s="110" t="s">
        <v>5148</v>
      </c>
      <c r="D1292" s="110"/>
      <c r="E1292" s="111" t="s">
        <v>5149</v>
      </c>
      <c r="F1292" s="111" t="s">
        <v>5150</v>
      </c>
      <c r="G1292" s="110" t="s">
        <v>2908</v>
      </c>
      <c r="H1292" s="113">
        <v>30.0</v>
      </c>
      <c r="I1292" s="110" t="s">
        <v>70</v>
      </c>
      <c r="J1292" s="112">
        <v>15790.0</v>
      </c>
      <c r="K1292" s="113" t="s">
        <v>71</v>
      </c>
      <c r="L1292" s="113"/>
      <c r="M1292" s="113"/>
      <c r="N1292" s="113"/>
      <c r="O1292" s="113"/>
      <c r="P1292" s="113"/>
      <c r="Q1292" s="113"/>
      <c r="R1292" s="113"/>
      <c r="S1292" s="113"/>
      <c r="T1292" s="113"/>
      <c r="U1292" s="113"/>
      <c r="V1292" s="113" t="s">
        <v>72</v>
      </c>
      <c r="W1292" s="112" t="s">
        <v>3696</v>
      </c>
    </row>
    <row r="1293" ht="49.5" customHeight="1">
      <c r="A1293" s="110" t="s">
        <v>5151</v>
      </c>
      <c r="B1293" s="110" t="s">
        <v>5152</v>
      </c>
      <c r="C1293" s="110" t="s">
        <v>5153</v>
      </c>
      <c r="D1293" s="110"/>
      <c r="E1293" s="111" t="s">
        <v>5154</v>
      </c>
      <c r="F1293" s="111" t="s">
        <v>5155</v>
      </c>
      <c r="G1293" s="110" t="s">
        <v>5155</v>
      </c>
      <c r="H1293" s="113">
        <v>0.0</v>
      </c>
      <c r="I1293" s="110" t="s">
        <v>70</v>
      </c>
      <c r="J1293" s="112">
        <v>150190.0</v>
      </c>
      <c r="K1293" s="113" t="s">
        <v>71</v>
      </c>
      <c r="L1293" s="113"/>
      <c r="M1293" s="113"/>
      <c r="N1293" s="113"/>
      <c r="O1293" s="113"/>
      <c r="P1293" s="113"/>
      <c r="Q1293" s="113"/>
      <c r="R1293" s="113"/>
      <c r="S1293" s="113"/>
      <c r="T1293" s="113"/>
      <c r="U1293" s="113"/>
      <c r="V1293" s="113" t="s">
        <v>72</v>
      </c>
      <c r="W1293" s="112" t="s">
        <v>3696</v>
      </c>
    </row>
    <row r="1294" ht="49.5" customHeight="1">
      <c r="A1294" s="110" t="s">
        <v>5156</v>
      </c>
      <c r="B1294" s="110" t="s">
        <v>5157</v>
      </c>
      <c r="C1294" s="110" t="s">
        <v>5158</v>
      </c>
      <c r="D1294" s="110"/>
      <c r="E1294" s="111" t="s">
        <v>5159</v>
      </c>
      <c r="F1294" s="111" t="s">
        <v>5160</v>
      </c>
      <c r="G1294" s="110" t="s">
        <v>766</v>
      </c>
      <c r="H1294" s="113">
        <v>0.0</v>
      </c>
      <c r="I1294" s="110" t="s">
        <v>70</v>
      </c>
      <c r="J1294" s="112">
        <v>6090.0</v>
      </c>
      <c r="K1294" s="113" t="s">
        <v>71</v>
      </c>
      <c r="L1294" s="113"/>
      <c r="M1294" s="113"/>
      <c r="N1294" s="113"/>
      <c r="O1294" s="113"/>
      <c r="P1294" s="113"/>
      <c r="Q1294" s="113"/>
      <c r="R1294" s="113"/>
      <c r="S1294" s="113"/>
      <c r="T1294" s="113"/>
      <c r="U1294" s="113"/>
      <c r="V1294" s="113" t="s">
        <v>72</v>
      </c>
      <c r="W1294" s="112" t="s">
        <v>3696</v>
      </c>
    </row>
    <row r="1295" ht="49.5" customHeight="1">
      <c r="A1295" s="110" t="s">
        <v>5161</v>
      </c>
      <c r="B1295" s="110" t="s">
        <v>5162</v>
      </c>
      <c r="C1295" s="110" t="s">
        <v>5163</v>
      </c>
      <c r="D1295" s="110"/>
      <c r="E1295" s="111" t="s">
        <v>5164</v>
      </c>
      <c r="F1295" s="111" t="s">
        <v>5165</v>
      </c>
      <c r="G1295" s="110" t="s">
        <v>5165</v>
      </c>
      <c r="H1295" s="113">
        <v>30.0</v>
      </c>
      <c r="I1295" s="110" t="s">
        <v>70</v>
      </c>
      <c r="J1295" s="112">
        <v>16990.0</v>
      </c>
      <c r="K1295" s="113" t="s">
        <v>71</v>
      </c>
      <c r="L1295" s="113"/>
      <c r="M1295" s="113"/>
      <c r="N1295" s="113"/>
      <c r="O1295" s="113"/>
      <c r="P1295" s="113"/>
      <c r="Q1295" s="113"/>
      <c r="R1295" s="113"/>
      <c r="S1295" s="113"/>
      <c r="T1295" s="113"/>
      <c r="U1295" s="113"/>
      <c r="V1295" s="113" t="s">
        <v>72</v>
      </c>
      <c r="W1295" s="112" t="s">
        <v>3696</v>
      </c>
    </row>
    <row r="1296" ht="49.5" customHeight="1">
      <c r="A1296" s="110" t="s">
        <v>5166</v>
      </c>
      <c r="B1296" s="110" t="s">
        <v>5167</v>
      </c>
      <c r="C1296" s="110" t="s">
        <v>5168</v>
      </c>
      <c r="D1296" s="110"/>
      <c r="E1296" s="111" t="s">
        <v>5169</v>
      </c>
      <c r="F1296" s="111" t="s">
        <v>5170</v>
      </c>
      <c r="G1296" s="110" t="s">
        <v>213</v>
      </c>
      <c r="H1296" s="113">
        <v>0.0</v>
      </c>
      <c r="I1296" s="110" t="s">
        <v>70</v>
      </c>
      <c r="J1296" s="112">
        <v>6490.0</v>
      </c>
      <c r="K1296" s="113" t="s">
        <v>71</v>
      </c>
      <c r="L1296" s="113"/>
      <c r="M1296" s="113"/>
      <c r="N1296" s="113"/>
      <c r="O1296" s="113"/>
      <c r="P1296" s="113"/>
      <c r="Q1296" s="113"/>
      <c r="R1296" s="113"/>
      <c r="S1296" s="113"/>
      <c r="T1296" s="113"/>
      <c r="U1296" s="113"/>
      <c r="V1296" s="113" t="s">
        <v>72</v>
      </c>
      <c r="W1296" s="112" t="s">
        <v>3696</v>
      </c>
    </row>
    <row r="1297" ht="49.5" customHeight="1">
      <c r="A1297" s="110" t="s">
        <v>5171</v>
      </c>
      <c r="B1297" s="110" t="s">
        <v>5172</v>
      </c>
      <c r="C1297" s="110" t="s">
        <v>5173</v>
      </c>
      <c r="D1297" s="110"/>
      <c r="E1297" s="111" t="s">
        <v>5174</v>
      </c>
      <c r="F1297" s="111" t="s">
        <v>5175</v>
      </c>
      <c r="G1297" s="110" t="s">
        <v>213</v>
      </c>
      <c r="H1297" s="113">
        <v>0.0</v>
      </c>
      <c r="I1297" s="110" t="s">
        <v>70</v>
      </c>
      <c r="J1297" s="112">
        <v>5990.0</v>
      </c>
      <c r="K1297" s="113" t="s">
        <v>71</v>
      </c>
      <c r="L1297" s="113"/>
      <c r="M1297" s="113"/>
      <c r="N1297" s="113"/>
      <c r="O1297" s="113"/>
      <c r="P1297" s="113"/>
      <c r="Q1297" s="113"/>
      <c r="R1297" s="113"/>
      <c r="S1297" s="113"/>
      <c r="T1297" s="113"/>
      <c r="U1297" s="113"/>
      <c r="V1297" s="113" t="s">
        <v>72</v>
      </c>
      <c r="W1297" s="112" t="s">
        <v>3696</v>
      </c>
    </row>
    <row r="1298" ht="49.5" customHeight="1">
      <c r="A1298" s="110" t="s">
        <v>5176</v>
      </c>
      <c r="B1298" s="110" t="s">
        <v>5177</v>
      </c>
      <c r="C1298" s="110" t="s">
        <v>5178</v>
      </c>
      <c r="D1298" s="110"/>
      <c r="E1298" s="111" t="s">
        <v>5179</v>
      </c>
      <c r="F1298" s="111" t="s">
        <v>5180</v>
      </c>
      <c r="G1298" s="110" t="s">
        <v>213</v>
      </c>
      <c r="H1298" s="113">
        <v>0.0</v>
      </c>
      <c r="I1298" s="110" t="s">
        <v>70</v>
      </c>
      <c r="J1298" s="112">
        <v>6490.0</v>
      </c>
      <c r="K1298" s="113" t="s">
        <v>71</v>
      </c>
      <c r="L1298" s="113"/>
      <c r="M1298" s="113"/>
      <c r="N1298" s="113"/>
      <c r="O1298" s="113"/>
      <c r="P1298" s="113"/>
      <c r="Q1298" s="113"/>
      <c r="R1298" s="113"/>
      <c r="S1298" s="113"/>
      <c r="T1298" s="113"/>
      <c r="U1298" s="113"/>
      <c r="V1298" s="113" t="s">
        <v>72</v>
      </c>
      <c r="W1298" s="112" t="s">
        <v>3696</v>
      </c>
    </row>
    <row r="1299" ht="49.5" customHeight="1">
      <c r="A1299" s="110" t="s">
        <v>5181</v>
      </c>
      <c r="B1299" s="110" t="s">
        <v>5182</v>
      </c>
      <c r="C1299" s="110" t="s">
        <v>5183</v>
      </c>
      <c r="D1299" s="110"/>
      <c r="E1299" s="111" t="s">
        <v>5184</v>
      </c>
      <c r="F1299" s="111" t="s">
        <v>5185</v>
      </c>
      <c r="G1299" s="110" t="s">
        <v>213</v>
      </c>
      <c r="H1299" s="113">
        <v>0.0</v>
      </c>
      <c r="I1299" s="110" t="s">
        <v>70</v>
      </c>
      <c r="J1299" s="112">
        <v>6490.0</v>
      </c>
      <c r="K1299" s="113" t="s">
        <v>71</v>
      </c>
      <c r="L1299" s="113"/>
      <c r="M1299" s="113"/>
      <c r="N1299" s="113"/>
      <c r="O1299" s="113"/>
      <c r="P1299" s="113"/>
      <c r="Q1299" s="113"/>
      <c r="R1299" s="113"/>
      <c r="S1299" s="113"/>
      <c r="T1299" s="113"/>
      <c r="U1299" s="113"/>
      <c r="V1299" s="113" t="s">
        <v>72</v>
      </c>
      <c r="W1299" s="112" t="s">
        <v>3696</v>
      </c>
    </row>
    <row r="1300" ht="49.5" customHeight="1">
      <c r="A1300" s="110" t="s">
        <v>5186</v>
      </c>
      <c r="B1300" s="110" t="s">
        <v>5187</v>
      </c>
      <c r="C1300" s="110" t="s">
        <v>5188</v>
      </c>
      <c r="D1300" s="110"/>
      <c r="E1300" s="111" t="s">
        <v>5189</v>
      </c>
      <c r="F1300" s="111" t="s">
        <v>5190</v>
      </c>
      <c r="G1300" s="110" t="s">
        <v>213</v>
      </c>
      <c r="H1300" s="113">
        <v>0.0</v>
      </c>
      <c r="I1300" s="110" t="s">
        <v>70</v>
      </c>
      <c r="J1300" s="112">
        <v>6190.0</v>
      </c>
      <c r="K1300" s="113" t="s">
        <v>71</v>
      </c>
      <c r="L1300" s="113"/>
      <c r="M1300" s="113"/>
      <c r="N1300" s="113"/>
      <c r="O1300" s="113"/>
      <c r="P1300" s="113"/>
      <c r="Q1300" s="113"/>
      <c r="R1300" s="113"/>
      <c r="S1300" s="113"/>
      <c r="T1300" s="113"/>
      <c r="U1300" s="113"/>
      <c r="V1300" s="113" t="s">
        <v>72</v>
      </c>
      <c r="W1300" s="112" t="s">
        <v>3696</v>
      </c>
    </row>
    <row r="1301" ht="49.5" customHeight="1">
      <c r="A1301" s="110" t="s">
        <v>5191</v>
      </c>
      <c r="B1301" s="110" t="s">
        <v>5192</v>
      </c>
      <c r="C1301" s="110" t="s">
        <v>5193</v>
      </c>
      <c r="D1301" s="110"/>
      <c r="E1301" s="111" t="s">
        <v>5194</v>
      </c>
      <c r="F1301" s="111" t="s">
        <v>5195</v>
      </c>
      <c r="G1301" s="110" t="s">
        <v>213</v>
      </c>
      <c r="H1301" s="113">
        <v>0.0</v>
      </c>
      <c r="I1301" s="110" t="s">
        <v>70</v>
      </c>
      <c r="J1301" s="112">
        <v>6490.0</v>
      </c>
      <c r="K1301" s="113" t="s">
        <v>71</v>
      </c>
      <c r="L1301" s="113"/>
      <c r="M1301" s="113"/>
      <c r="N1301" s="113"/>
      <c r="O1301" s="113"/>
      <c r="P1301" s="113"/>
      <c r="Q1301" s="113"/>
      <c r="R1301" s="113"/>
      <c r="S1301" s="113"/>
      <c r="T1301" s="113"/>
      <c r="U1301" s="113"/>
      <c r="V1301" s="113" t="s">
        <v>72</v>
      </c>
      <c r="W1301" s="112" t="s">
        <v>3696</v>
      </c>
    </row>
    <row r="1302" ht="49.5" customHeight="1">
      <c r="A1302" s="110" t="s">
        <v>5196</v>
      </c>
      <c r="B1302" s="110" t="s">
        <v>5197</v>
      </c>
      <c r="C1302" s="110" t="s">
        <v>5198</v>
      </c>
      <c r="D1302" s="110"/>
      <c r="E1302" s="111" t="s">
        <v>5199</v>
      </c>
      <c r="F1302" s="111" t="s">
        <v>5200</v>
      </c>
      <c r="G1302" s="110" t="s">
        <v>213</v>
      </c>
      <c r="H1302" s="113">
        <v>0.0</v>
      </c>
      <c r="I1302" s="110" t="s">
        <v>70</v>
      </c>
      <c r="J1302" s="112">
        <v>6190.0</v>
      </c>
      <c r="K1302" s="113" t="s">
        <v>71</v>
      </c>
      <c r="L1302" s="113"/>
      <c r="M1302" s="113"/>
      <c r="N1302" s="113"/>
      <c r="O1302" s="113"/>
      <c r="P1302" s="113"/>
      <c r="Q1302" s="113"/>
      <c r="R1302" s="113"/>
      <c r="S1302" s="113"/>
      <c r="T1302" s="113"/>
      <c r="U1302" s="113"/>
      <c r="V1302" s="113" t="s">
        <v>72</v>
      </c>
      <c r="W1302" s="112" t="s">
        <v>3696</v>
      </c>
    </row>
    <row r="1303" ht="49.5" customHeight="1">
      <c r="A1303" s="110" t="s">
        <v>5201</v>
      </c>
      <c r="B1303" s="110" t="s">
        <v>5202</v>
      </c>
      <c r="C1303" s="110" t="s">
        <v>5203</v>
      </c>
      <c r="D1303" s="110"/>
      <c r="E1303" s="111" t="s">
        <v>5204</v>
      </c>
      <c r="F1303" s="111" t="s">
        <v>5205</v>
      </c>
      <c r="G1303" s="110" t="s">
        <v>213</v>
      </c>
      <c r="H1303" s="113">
        <v>0.0</v>
      </c>
      <c r="I1303" s="110" t="s">
        <v>70</v>
      </c>
      <c r="J1303" s="112">
        <v>6490.0</v>
      </c>
      <c r="K1303" s="113" t="s">
        <v>71</v>
      </c>
      <c r="L1303" s="113"/>
      <c r="M1303" s="113"/>
      <c r="N1303" s="113"/>
      <c r="O1303" s="113"/>
      <c r="P1303" s="113"/>
      <c r="Q1303" s="113"/>
      <c r="R1303" s="113"/>
      <c r="S1303" s="113"/>
      <c r="T1303" s="113"/>
      <c r="U1303" s="113"/>
      <c r="V1303" s="113" t="s">
        <v>72</v>
      </c>
      <c r="W1303" s="112" t="s">
        <v>3696</v>
      </c>
    </row>
    <row r="1304" ht="49.5" customHeight="1">
      <c r="A1304" s="110" t="s">
        <v>5206</v>
      </c>
      <c r="B1304" s="110" t="s">
        <v>5207</v>
      </c>
      <c r="C1304" s="110" t="s">
        <v>5208</v>
      </c>
      <c r="D1304" s="110"/>
      <c r="E1304" s="111" t="s">
        <v>5209</v>
      </c>
      <c r="F1304" s="111" t="s">
        <v>5210</v>
      </c>
      <c r="G1304" s="110" t="s">
        <v>213</v>
      </c>
      <c r="H1304" s="113">
        <v>0.0</v>
      </c>
      <c r="I1304" s="110" t="s">
        <v>70</v>
      </c>
      <c r="J1304" s="112">
        <v>6490.0</v>
      </c>
      <c r="K1304" s="113" t="s">
        <v>71</v>
      </c>
      <c r="L1304" s="113"/>
      <c r="M1304" s="113"/>
      <c r="N1304" s="113"/>
      <c r="O1304" s="113"/>
      <c r="P1304" s="113"/>
      <c r="Q1304" s="113"/>
      <c r="R1304" s="113"/>
      <c r="S1304" s="113"/>
      <c r="T1304" s="113"/>
      <c r="U1304" s="113"/>
      <c r="V1304" s="113" t="s">
        <v>72</v>
      </c>
      <c r="W1304" s="112" t="s">
        <v>3696</v>
      </c>
    </row>
    <row r="1305" ht="49.5" customHeight="1">
      <c r="A1305" s="110" t="s">
        <v>5211</v>
      </c>
      <c r="B1305" s="110" t="s">
        <v>5212</v>
      </c>
      <c r="C1305" s="110" t="s">
        <v>5213</v>
      </c>
      <c r="D1305" s="110"/>
      <c r="E1305" s="111" t="s">
        <v>5214</v>
      </c>
      <c r="F1305" s="111" t="s">
        <v>5215</v>
      </c>
      <c r="G1305" s="110" t="s">
        <v>766</v>
      </c>
      <c r="H1305" s="113">
        <v>0.0</v>
      </c>
      <c r="I1305" s="110" t="s">
        <v>70</v>
      </c>
      <c r="J1305" s="112">
        <v>6690.0</v>
      </c>
      <c r="K1305" s="113" t="s">
        <v>71</v>
      </c>
      <c r="L1305" s="113"/>
      <c r="M1305" s="113"/>
      <c r="N1305" s="113"/>
      <c r="O1305" s="113"/>
      <c r="P1305" s="113"/>
      <c r="Q1305" s="113"/>
      <c r="R1305" s="113"/>
      <c r="S1305" s="113"/>
      <c r="T1305" s="113"/>
      <c r="U1305" s="113"/>
      <c r="V1305" s="113" t="s">
        <v>72</v>
      </c>
      <c r="W1305" s="112" t="s">
        <v>3696</v>
      </c>
    </row>
    <row r="1306" ht="49.5" customHeight="1">
      <c r="A1306" s="110" t="s">
        <v>5216</v>
      </c>
      <c r="B1306" s="110" t="s">
        <v>5217</v>
      </c>
      <c r="C1306" s="110" t="s">
        <v>5218</v>
      </c>
      <c r="D1306" s="110"/>
      <c r="E1306" s="111" t="s">
        <v>5219</v>
      </c>
      <c r="F1306" s="111" t="s">
        <v>5220</v>
      </c>
      <c r="G1306" s="110" t="s">
        <v>2564</v>
      </c>
      <c r="H1306" s="113">
        <v>0.0</v>
      </c>
      <c r="I1306" s="110" t="s">
        <v>70</v>
      </c>
      <c r="J1306" s="112">
        <v>7690.0</v>
      </c>
      <c r="K1306" s="113" t="s">
        <v>71</v>
      </c>
      <c r="L1306" s="113"/>
      <c r="M1306" s="113"/>
      <c r="N1306" s="113"/>
      <c r="O1306" s="113"/>
      <c r="P1306" s="113"/>
      <c r="Q1306" s="113"/>
      <c r="R1306" s="113"/>
      <c r="S1306" s="113"/>
      <c r="T1306" s="113"/>
      <c r="U1306" s="113"/>
      <c r="V1306" s="113" t="s">
        <v>72</v>
      </c>
      <c r="W1306" s="112" t="s">
        <v>3696</v>
      </c>
    </row>
    <row r="1307" ht="49.5" customHeight="1">
      <c r="A1307" s="110" t="s">
        <v>5221</v>
      </c>
      <c r="B1307" s="110" t="s">
        <v>5222</v>
      </c>
      <c r="C1307" s="110" t="s">
        <v>5223</v>
      </c>
      <c r="D1307" s="110"/>
      <c r="E1307" s="111" t="s">
        <v>5224</v>
      </c>
      <c r="F1307" s="111" t="s">
        <v>5225</v>
      </c>
      <c r="G1307" s="110" t="s">
        <v>752</v>
      </c>
      <c r="H1307" s="113">
        <v>0.0</v>
      </c>
      <c r="I1307" s="110" t="s">
        <v>70</v>
      </c>
      <c r="J1307" s="112">
        <v>7990.0</v>
      </c>
      <c r="K1307" s="113" t="s">
        <v>71</v>
      </c>
      <c r="L1307" s="113"/>
      <c r="M1307" s="113"/>
      <c r="N1307" s="113"/>
      <c r="O1307" s="113"/>
      <c r="P1307" s="113"/>
      <c r="Q1307" s="113"/>
      <c r="R1307" s="113"/>
      <c r="S1307" s="113"/>
      <c r="T1307" s="113"/>
      <c r="U1307" s="113"/>
      <c r="V1307" s="113" t="s">
        <v>72</v>
      </c>
      <c r="W1307" s="112" t="s">
        <v>3696</v>
      </c>
    </row>
    <row r="1308" ht="49.5" customHeight="1">
      <c r="A1308" s="110" t="s">
        <v>5226</v>
      </c>
      <c r="B1308" s="110" t="s">
        <v>5227</v>
      </c>
      <c r="C1308" s="110" t="s">
        <v>5228</v>
      </c>
      <c r="D1308" s="110"/>
      <c r="E1308" s="111" t="s">
        <v>5229</v>
      </c>
      <c r="F1308" s="111" t="s">
        <v>5230</v>
      </c>
      <c r="G1308" s="110" t="s">
        <v>5231</v>
      </c>
      <c r="H1308" s="113">
        <v>0.0</v>
      </c>
      <c r="I1308" s="110" t="s">
        <v>70</v>
      </c>
      <c r="J1308" s="112">
        <v>6790.0</v>
      </c>
      <c r="K1308" s="113" t="s">
        <v>71</v>
      </c>
      <c r="L1308" s="113"/>
      <c r="M1308" s="113"/>
      <c r="N1308" s="113"/>
      <c r="O1308" s="113"/>
      <c r="P1308" s="113"/>
      <c r="Q1308" s="113"/>
      <c r="R1308" s="113"/>
      <c r="S1308" s="113"/>
      <c r="T1308" s="113"/>
      <c r="U1308" s="113"/>
      <c r="V1308" s="113" t="s">
        <v>72</v>
      </c>
      <c r="W1308" s="112" t="s">
        <v>3696</v>
      </c>
    </row>
    <row r="1309" ht="49.5" customHeight="1">
      <c r="A1309" s="110" t="s">
        <v>5232</v>
      </c>
      <c r="B1309" s="110" t="s">
        <v>5233</v>
      </c>
      <c r="C1309" s="110" t="s">
        <v>5234</v>
      </c>
      <c r="D1309" s="110"/>
      <c r="E1309" s="111" t="s">
        <v>5235</v>
      </c>
      <c r="F1309" s="111" t="s">
        <v>5236</v>
      </c>
      <c r="G1309" s="110" t="s">
        <v>752</v>
      </c>
      <c r="H1309" s="113">
        <v>0.0</v>
      </c>
      <c r="I1309" s="110" t="s">
        <v>70</v>
      </c>
      <c r="J1309" s="112">
        <v>6690.0</v>
      </c>
      <c r="K1309" s="113" t="s">
        <v>71</v>
      </c>
      <c r="L1309" s="113"/>
      <c r="M1309" s="113"/>
      <c r="N1309" s="113"/>
      <c r="O1309" s="113"/>
      <c r="P1309" s="113"/>
      <c r="Q1309" s="113"/>
      <c r="R1309" s="113"/>
      <c r="S1309" s="113"/>
      <c r="T1309" s="113"/>
      <c r="U1309" s="113"/>
      <c r="V1309" s="113" t="s">
        <v>72</v>
      </c>
      <c r="W1309" s="112" t="s">
        <v>3696</v>
      </c>
    </row>
    <row r="1310" ht="49.5" customHeight="1">
      <c r="A1310" s="110" t="s">
        <v>5237</v>
      </c>
      <c r="B1310" s="110" t="s">
        <v>5238</v>
      </c>
      <c r="C1310" s="110" t="s">
        <v>5239</v>
      </c>
      <c r="D1310" s="110"/>
      <c r="E1310" s="111" t="s">
        <v>5240</v>
      </c>
      <c r="F1310" s="111" t="s">
        <v>5241</v>
      </c>
      <c r="G1310" s="110" t="s">
        <v>5242</v>
      </c>
      <c r="H1310" s="113">
        <v>0.0</v>
      </c>
      <c r="I1310" s="110" t="s">
        <v>70</v>
      </c>
      <c r="J1310" s="112">
        <v>6090.0</v>
      </c>
      <c r="K1310" s="113" t="s">
        <v>71</v>
      </c>
      <c r="L1310" s="113"/>
      <c r="M1310" s="113"/>
      <c r="N1310" s="113"/>
      <c r="O1310" s="113"/>
      <c r="P1310" s="113"/>
      <c r="Q1310" s="113"/>
      <c r="R1310" s="113"/>
      <c r="S1310" s="113"/>
      <c r="T1310" s="113"/>
      <c r="U1310" s="113"/>
      <c r="V1310" s="113" t="s">
        <v>72</v>
      </c>
      <c r="W1310" s="112" t="s">
        <v>3696</v>
      </c>
    </row>
    <row r="1311" ht="49.5" customHeight="1">
      <c r="A1311" s="110" t="s">
        <v>5243</v>
      </c>
      <c r="B1311" s="110" t="s">
        <v>5244</v>
      </c>
      <c r="C1311" s="110" t="s">
        <v>5245</v>
      </c>
      <c r="D1311" s="110"/>
      <c r="E1311" s="111" t="s">
        <v>5246</v>
      </c>
      <c r="F1311" s="111" t="s">
        <v>5247</v>
      </c>
      <c r="G1311" s="110" t="s">
        <v>5248</v>
      </c>
      <c r="H1311" s="113">
        <v>0.0</v>
      </c>
      <c r="I1311" s="110" t="s">
        <v>70</v>
      </c>
      <c r="J1311" s="112">
        <v>6190.0</v>
      </c>
      <c r="K1311" s="113" t="s">
        <v>71</v>
      </c>
      <c r="L1311" s="113"/>
      <c r="M1311" s="113"/>
      <c r="N1311" s="113"/>
      <c r="O1311" s="113"/>
      <c r="P1311" s="113"/>
      <c r="Q1311" s="113"/>
      <c r="R1311" s="113"/>
      <c r="S1311" s="113"/>
      <c r="T1311" s="113"/>
      <c r="U1311" s="113"/>
      <c r="V1311" s="113" t="s">
        <v>72</v>
      </c>
      <c r="W1311" s="112" t="s">
        <v>3696</v>
      </c>
    </row>
    <row r="1312" ht="49.5" customHeight="1">
      <c r="A1312" s="110" t="s">
        <v>5249</v>
      </c>
      <c r="B1312" s="110" t="s">
        <v>5250</v>
      </c>
      <c r="C1312" s="110" t="s">
        <v>5251</v>
      </c>
      <c r="D1312" s="110"/>
      <c r="E1312" s="111" t="s">
        <v>5252</v>
      </c>
      <c r="F1312" s="111" t="s">
        <v>5253</v>
      </c>
      <c r="G1312" s="110" t="s">
        <v>5253</v>
      </c>
      <c r="H1312" s="113">
        <v>0.0</v>
      </c>
      <c r="I1312" s="110" t="s">
        <v>70</v>
      </c>
      <c r="J1312" s="112">
        <v>110590.0</v>
      </c>
      <c r="K1312" s="113" t="s">
        <v>71</v>
      </c>
      <c r="L1312" s="113"/>
      <c r="M1312" s="113"/>
      <c r="N1312" s="113"/>
      <c r="O1312" s="113"/>
      <c r="P1312" s="113"/>
      <c r="Q1312" s="113"/>
      <c r="R1312" s="113"/>
      <c r="S1312" s="113"/>
      <c r="T1312" s="113"/>
      <c r="U1312" s="113"/>
      <c r="V1312" s="113" t="s">
        <v>72</v>
      </c>
      <c r="W1312" s="112" t="s">
        <v>3696</v>
      </c>
    </row>
    <row r="1313" ht="49.5" customHeight="1">
      <c r="A1313" s="110" t="s">
        <v>3792</v>
      </c>
      <c r="B1313" s="110" t="s">
        <v>5254</v>
      </c>
      <c r="C1313" s="110" t="s">
        <v>3794</v>
      </c>
      <c r="D1313" s="110"/>
      <c r="E1313" s="111" t="s">
        <v>3795</v>
      </c>
      <c r="F1313" s="112" t="s">
        <v>5255</v>
      </c>
      <c r="G1313" s="110" t="s">
        <v>70</v>
      </c>
      <c r="H1313" s="113">
        <v>0.0</v>
      </c>
      <c r="I1313" s="110" t="s">
        <v>70</v>
      </c>
      <c r="J1313" s="112">
        <v>26190.0</v>
      </c>
      <c r="K1313" s="113" t="s">
        <v>71</v>
      </c>
      <c r="L1313" s="113"/>
      <c r="M1313" s="113"/>
      <c r="N1313" s="113"/>
      <c r="O1313" s="113"/>
      <c r="P1313" s="113"/>
      <c r="Q1313" s="113"/>
      <c r="R1313" s="113"/>
      <c r="S1313" s="113"/>
      <c r="T1313" s="113"/>
      <c r="U1313" s="113"/>
      <c r="V1313" s="110" t="s">
        <v>72</v>
      </c>
      <c r="W1313" s="112" t="s">
        <v>3696</v>
      </c>
    </row>
    <row r="1314" ht="49.5" customHeight="1">
      <c r="A1314" s="110" t="s">
        <v>4064</v>
      </c>
      <c r="B1314" s="110" t="s">
        <v>5256</v>
      </c>
      <c r="C1314" s="110" t="s">
        <v>4066</v>
      </c>
      <c r="D1314" s="110"/>
      <c r="E1314" s="111" t="s">
        <v>4067</v>
      </c>
      <c r="F1314" s="112" t="s">
        <v>5257</v>
      </c>
      <c r="G1314" s="110" t="s">
        <v>70</v>
      </c>
      <c r="H1314" s="113">
        <v>1.0</v>
      </c>
      <c r="I1314" s="110" t="s">
        <v>70</v>
      </c>
      <c r="J1314" s="112">
        <v>28390.0</v>
      </c>
      <c r="K1314" s="113" t="s">
        <v>71</v>
      </c>
      <c r="L1314" s="113"/>
      <c r="M1314" s="113"/>
      <c r="N1314" s="113"/>
      <c r="O1314" s="113"/>
      <c r="P1314" s="113"/>
      <c r="Q1314" s="113"/>
      <c r="R1314" s="113"/>
      <c r="S1314" s="113"/>
      <c r="T1314" s="113"/>
      <c r="U1314" s="113"/>
      <c r="V1314" s="110" t="s">
        <v>72</v>
      </c>
      <c r="W1314" s="112" t="s">
        <v>3696</v>
      </c>
    </row>
    <row r="1315" ht="49.5" customHeight="1">
      <c r="A1315" s="110" t="s">
        <v>4850</v>
      </c>
      <c r="B1315" s="110" t="s">
        <v>5258</v>
      </c>
      <c r="C1315" s="110" t="s">
        <v>4852</v>
      </c>
      <c r="D1315" s="110"/>
      <c r="E1315" s="111" t="s">
        <v>4853</v>
      </c>
      <c r="F1315" s="112" t="s">
        <v>5259</v>
      </c>
      <c r="G1315" s="110" t="s">
        <v>70</v>
      </c>
      <c r="H1315" s="113">
        <v>1.0</v>
      </c>
      <c r="I1315" s="110" t="s">
        <v>70</v>
      </c>
      <c r="J1315" s="112">
        <v>29490.0</v>
      </c>
      <c r="K1315" s="113" t="s">
        <v>71</v>
      </c>
      <c r="L1315" s="113"/>
      <c r="M1315" s="113"/>
      <c r="N1315" s="113"/>
      <c r="O1315" s="113"/>
      <c r="P1315" s="113"/>
      <c r="Q1315" s="113"/>
      <c r="R1315" s="113"/>
      <c r="S1315" s="113"/>
      <c r="T1315" s="113"/>
      <c r="U1315" s="113"/>
      <c r="V1315" s="110" t="s">
        <v>72</v>
      </c>
      <c r="W1315" s="112" t="s">
        <v>3696</v>
      </c>
    </row>
    <row r="1316" ht="49.5" customHeight="1">
      <c r="A1316" s="110" t="s">
        <v>5260</v>
      </c>
      <c r="B1316" s="110" t="s">
        <v>5261</v>
      </c>
      <c r="C1316" s="110" t="s">
        <v>5262</v>
      </c>
      <c r="D1316" s="110"/>
      <c r="E1316" s="112" t="s">
        <v>5263</v>
      </c>
      <c r="F1316" s="112" t="s">
        <v>5264</v>
      </c>
      <c r="G1316" s="110" t="s">
        <v>5264</v>
      </c>
      <c r="H1316" s="110" t="s">
        <v>321</v>
      </c>
      <c r="I1316" s="110" t="s">
        <v>70</v>
      </c>
      <c r="J1316" s="112" t="s">
        <v>5265</v>
      </c>
      <c r="K1316" s="110" t="s">
        <v>71</v>
      </c>
      <c r="L1316" s="110" t="s">
        <v>63</v>
      </c>
      <c r="M1316" s="110" t="s">
        <v>63</v>
      </c>
      <c r="N1316" s="110" t="s">
        <v>63</v>
      </c>
      <c r="O1316" s="110" t="s">
        <v>63</v>
      </c>
      <c r="P1316" s="110" t="s">
        <v>63</v>
      </c>
      <c r="Q1316" s="110" t="s">
        <v>63</v>
      </c>
      <c r="R1316" s="110" t="s">
        <v>63</v>
      </c>
      <c r="S1316" s="110" t="s">
        <v>63</v>
      </c>
      <c r="T1316" s="110" t="s">
        <v>63</v>
      </c>
      <c r="U1316" s="110" t="s">
        <v>63</v>
      </c>
      <c r="V1316" s="110" t="s">
        <v>72</v>
      </c>
      <c r="W1316" s="112" t="s">
        <v>3696</v>
      </c>
    </row>
    <row r="1317" ht="49.5" customHeight="1">
      <c r="A1317" s="110" t="s">
        <v>5266</v>
      </c>
      <c r="B1317" s="110" t="s">
        <v>5267</v>
      </c>
      <c r="C1317" s="110" t="s">
        <v>5268</v>
      </c>
      <c r="D1317" s="110"/>
      <c r="E1317" s="112" t="s">
        <v>5269</v>
      </c>
      <c r="F1317" s="112" t="s">
        <v>5270</v>
      </c>
      <c r="G1317" s="110" t="s">
        <v>90</v>
      </c>
      <c r="H1317" s="110" t="s">
        <v>321</v>
      </c>
      <c r="I1317" s="110" t="s">
        <v>70</v>
      </c>
      <c r="J1317" s="112" t="s">
        <v>5271</v>
      </c>
      <c r="K1317" s="110" t="s">
        <v>71</v>
      </c>
      <c r="L1317" s="110" t="s">
        <v>63</v>
      </c>
      <c r="M1317" s="110" t="s">
        <v>63</v>
      </c>
      <c r="N1317" s="110" t="s">
        <v>63</v>
      </c>
      <c r="O1317" s="110" t="s">
        <v>63</v>
      </c>
      <c r="P1317" s="110" t="s">
        <v>63</v>
      </c>
      <c r="Q1317" s="110" t="s">
        <v>63</v>
      </c>
      <c r="R1317" s="110" t="s">
        <v>63</v>
      </c>
      <c r="S1317" s="110" t="s">
        <v>63</v>
      </c>
      <c r="T1317" s="110" t="s">
        <v>63</v>
      </c>
      <c r="U1317" s="110" t="s">
        <v>63</v>
      </c>
      <c r="V1317" s="110" t="s">
        <v>72</v>
      </c>
      <c r="W1317" s="112" t="s">
        <v>3696</v>
      </c>
    </row>
    <row r="1318" ht="49.5" customHeight="1">
      <c r="A1318" s="110" t="s">
        <v>5272</v>
      </c>
      <c r="B1318" s="110" t="s">
        <v>5273</v>
      </c>
      <c r="C1318" s="110" t="s">
        <v>5274</v>
      </c>
      <c r="D1318" s="110"/>
      <c r="E1318" s="112" t="s">
        <v>5275</v>
      </c>
      <c r="F1318" s="112" t="s">
        <v>5276</v>
      </c>
      <c r="G1318" s="110" t="s">
        <v>5276</v>
      </c>
      <c r="H1318" s="110" t="s">
        <v>321</v>
      </c>
      <c r="I1318" s="110" t="s">
        <v>70</v>
      </c>
      <c r="J1318" s="112" t="s">
        <v>5277</v>
      </c>
      <c r="K1318" s="110" t="s">
        <v>71</v>
      </c>
      <c r="L1318" s="110" t="s">
        <v>63</v>
      </c>
      <c r="M1318" s="110" t="s">
        <v>63</v>
      </c>
      <c r="N1318" s="110" t="s">
        <v>63</v>
      </c>
      <c r="O1318" s="110" t="s">
        <v>63</v>
      </c>
      <c r="P1318" s="110" t="s">
        <v>63</v>
      </c>
      <c r="Q1318" s="110" t="s">
        <v>63</v>
      </c>
      <c r="R1318" s="110" t="s">
        <v>63</v>
      </c>
      <c r="S1318" s="110" t="s">
        <v>63</v>
      </c>
      <c r="T1318" s="110" t="s">
        <v>63</v>
      </c>
      <c r="U1318" s="110" t="s">
        <v>63</v>
      </c>
      <c r="V1318" s="110" t="s">
        <v>72</v>
      </c>
      <c r="W1318" s="112" t="s">
        <v>3696</v>
      </c>
    </row>
    <row r="1319" ht="49.5" customHeight="1">
      <c r="A1319" s="110" t="s">
        <v>5278</v>
      </c>
      <c r="B1319" s="110" t="s">
        <v>5279</v>
      </c>
      <c r="C1319" s="110" t="s">
        <v>5280</v>
      </c>
      <c r="D1319" s="110"/>
      <c r="E1319" s="112" t="s">
        <v>5281</v>
      </c>
      <c r="F1319" s="112" t="s">
        <v>5282</v>
      </c>
      <c r="G1319" s="110" t="s">
        <v>79</v>
      </c>
      <c r="H1319" s="110" t="s">
        <v>321</v>
      </c>
      <c r="I1319" s="110" t="s">
        <v>70</v>
      </c>
      <c r="J1319" s="112" t="s">
        <v>5283</v>
      </c>
      <c r="K1319" s="110" t="s">
        <v>71</v>
      </c>
      <c r="L1319" s="110" t="s">
        <v>63</v>
      </c>
      <c r="M1319" s="110" t="s">
        <v>63</v>
      </c>
      <c r="N1319" s="110" t="s">
        <v>63</v>
      </c>
      <c r="O1319" s="110" t="s">
        <v>63</v>
      </c>
      <c r="P1319" s="110" t="s">
        <v>63</v>
      </c>
      <c r="Q1319" s="110" t="s">
        <v>63</v>
      </c>
      <c r="R1319" s="110" t="s">
        <v>63</v>
      </c>
      <c r="S1319" s="110" t="s">
        <v>63</v>
      </c>
      <c r="T1319" s="110" t="s">
        <v>63</v>
      </c>
      <c r="U1319" s="110" t="s">
        <v>63</v>
      </c>
      <c r="V1319" s="110" t="s">
        <v>72</v>
      </c>
      <c r="W1319" s="112" t="s">
        <v>3696</v>
      </c>
    </row>
    <row r="1320" ht="49.5" customHeight="1">
      <c r="A1320" s="110" t="s">
        <v>5284</v>
      </c>
      <c r="B1320" s="110" t="s">
        <v>5285</v>
      </c>
      <c r="C1320" s="110" t="s">
        <v>5286</v>
      </c>
      <c r="D1320" s="110"/>
      <c r="E1320" s="112" t="s">
        <v>5287</v>
      </c>
      <c r="F1320" s="112" t="s">
        <v>5288</v>
      </c>
      <c r="G1320" s="110" t="s">
        <v>5288</v>
      </c>
      <c r="H1320" s="110" t="s">
        <v>321</v>
      </c>
      <c r="I1320" s="110" t="s">
        <v>70</v>
      </c>
      <c r="J1320" s="112" t="s">
        <v>5289</v>
      </c>
      <c r="K1320" s="110" t="s">
        <v>71</v>
      </c>
      <c r="L1320" s="110" t="s">
        <v>63</v>
      </c>
      <c r="M1320" s="110" t="s">
        <v>63</v>
      </c>
      <c r="N1320" s="110" t="s">
        <v>63</v>
      </c>
      <c r="O1320" s="110" t="s">
        <v>63</v>
      </c>
      <c r="P1320" s="110" t="s">
        <v>63</v>
      </c>
      <c r="Q1320" s="110" t="s">
        <v>63</v>
      </c>
      <c r="R1320" s="110" t="s">
        <v>63</v>
      </c>
      <c r="S1320" s="110" t="s">
        <v>63</v>
      </c>
      <c r="T1320" s="110" t="s">
        <v>63</v>
      </c>
      <c r="U1320" s="110" t="s">
        <v>63</v>
      </c>
      <c r="V1320" s="110" t="s">
        <v>72</v>
      </c>
      <c r="W1320" s="112" t="s">
        <v>3696</v>
      </c>
    </row>
    <row r="1321" ht="49.5" customHeight="1">
      <c r="A1321" s="110" t="s">
        <v>5290</v>
      </c>
      <c r="B1321" s="110" t="s">
        <v>5291</v>
      </c>
      <c r="C1321" s="110" t="s">
        <v>5292</v>
      </c>
      <c r="D1321" s="110"/>
      <c r="E1321" s="112" t="s">
        <v>5293</v>
      </c>
      <c r="F1321" s="112" t="s">
        <v>5294</v>
      </c>
      <c r="G1321" s="110" t="s">
        <v>5294</v>
      </c>
      <c r="H1321" s="110" t="s">
        <v>321</v>
      </c>
      <c r="I1321" s="110" t="s">
        <v>70</v>
      </c>
      <c r="J1321" s="112" t="s">
        <v>5289</v>
      </c>
      <c r="K1321" s="110" t="s">
        <v>71</v>
      </c>
      <c r="L1321" s="110" t="s">
        <v>63</v>
      </c>
      <c r="M1321" s="110" t="s">
        <v>63</v>
      </c>
      <c r="N1321" s="110" t="s">
        <v>63</v>
      </c>
      <c r="O1321" s="110" t="s">
        <v>63</v>
      </c>
      <c r="P1321" s="110" t="s">
        <v>63</v>
      </c>
      <c r="Q1321" s="110" t="s">
        <v>63</v>
      </c>
      <c r="R1321" s="110" t="s">
        <v>63</v>
      </c>
      <c r="S1321" s="110" t="s">
        <v>63</v>
      </c>
      <c r="T1321" s="110" t="s">
        <v>63</v>
      </c>
      <c r="U1321" s="110" t="s">
        <v>63</v>
      </c>
      <c r="V1321" s="110" t="s">
        <v>72</v>
      </c>
      <c r="W1321" s="112" t="s">
        <v>3696</v>
      </c>
    </row>
    <row r="1322" ht="49.5" customHeight="1">
      <c r="A1322" s="110" t="s">
        <v>5295</v>
      </c>
      <c r="B1322" s="110" t="s">
        <v>5296</v>
      </c>
      <c r="C1322" s="110" t="s">
        <v>5297</v>
      </c>
      <c r="D1322" s="110"/>
      <c r="E1322" s="112" t="s">
        <v>5298</v>
      </c>
      <c r="F1322" s="112" t="s">
        <v>5299</v>
      </c>
      <c r="G1322" s="110" t="s">
        <v>138</v>
      </c>
      <c r="H1322" s="110" t="s">
        <v>321</v>
      </c>
      <c r="I1322" s="110" t="s">
        <v>70</v>
      </c>
      <c r="J1322" s="112" t="s">
        <v>5300</v>
      </c>
      <c r="K1322" s="110" t="s">
        <v>71</v>
      </c>
      <c r="L1322" s="110" t="s">
        <v>63</v>
      </c>
      <c r="M1322" s="110" t="s">
        <v>63</v>
      </c>
      <c r="N1322" s="110" t="s">
        <v>63</v>
      </c>
      <c r="O1322" s="110" t="s">
        <v>63</v>
      </c>
      <c r="P1322" s="110" t="s">
        <v>63</v>
      </c>
      <c r="Q1322" s="110" t="s">
        <v>63</v>
      </c>
      <c r="R1322" s="110" t="s">
        <v>63</v>
      </c>
      <c r="S1322" s="110" t="s">
        <v>63</v>
      </c>
      <c r="T1322" s="110" t="s">
        <v>63</v>
      </c>
      <c r="U1322" s="110" t="s">
        <v>63</v>
      </c>
      <c r="V1322" s="110" t="s">
        <v>72</v>
      </c>
      <c r="W1322" s="112" t="s">
        <v>3696</v>
      </c>
    </row>
    <row r="1323" ht="49.5" customHeight="1">
      <c r="A1323" s="110" t="s">
        <v>5301</v>
      </c>
      <c r="B1323" s="110" t="s">
        <v>5302</v>
      </c>
      <c r="C1323" s="110" t="s">
        <v>5303</v>
      </c>
      <c r="D1323" s="110"/>
      <c r="E1323" s="112" t="s">
        <v>5304</v>
      </c>
      <c r="F1323" s="112" t="s">
        <v>5305</v>
      </c>
      <c r="G1323" s="110" t="s">
        <v>138</v>
      </c>
      <c r="H1323" s="110" t="s">
        <v>3089</v>
      </c>
      <c r="I1323" s="110" t="s">
        <v>70</v>
      </c>
      <c r="J1323" s="112" t="s">
        <v>5306</v>
      </c>
      <c r="K1323" s="110" t="s">
        <v>71</v>
      </c>
      <c r="L1323" s="110" t="s">
        <v>63</v>
      </c>
      <c r="M1323" s="110" t="s">
        <v>63</v>
      </c>
      <c r="N1323" s="110" t="s">
        <v>63</v>
      </c>
      <c r="O1323" s="110" t="s">
        <v>63</v>
      </c>
      <c r="P1323" s="110" t="s">
        <v>63</v>
      </c>
      <c r="Q1323" s="110" t="s">
        <v>63</v>
      </c>
      <c r="R1323" s="110" t="s">
        <v>63</v>
      </c>
      <c r="S1323" s="110" t="s">
        <v>63</v>
      </c>
      <c r="T1323" s="110" t="s">
        <v>63</v>
      </c>
      <c r="U1323" s="110" t="s">
        <v>63</v>
      </c>
      <c r="V1323" s="110" t="s">
        <v>72</v>
      </c>
      <c r="W1323" s="112" t="s">
        <v>3696</v>
      </c>
    </row>
    <row r="1324" ht="49.5" customHeight="1">
      <c r="A1324" s="110" t="s">
        <v>5307</v>
      </c>
      <c r="B1324" s="110" t="s">
        <v>5308</v>
      </c>
      <c r="C1324" s="110" t="s">
        <v>5309</v>
      </c>
      <c r="D1324" s="110"/>
      <c r="E1324" s="112" t="s">
        <v>943</v>
      </c>
      <c r="F1324" s="112" t="s">
        <v>5310</v>
      </c>
      <c r="G1324" s="110" t="s">
        <v>5310</v>
      </c>
      <c r="H1324" s="110" t="s">
        <v>3089</v>
      </c>
      <c r="I1324" s="110" t="s">
        <v>70</v>
      </c>
      <c r="J1324" s="112" t="s">
        <v>5311</v>
      </c>
      <c r="K1324" s="110" t="s">
        <v>71</v>
      </c>
      <c r="L1324" s="110" t="s">
        <v>63</v>
      </c>
      <c r="M1324" s="110" t="s">
        <v>63</v>
      </c>
      <c r="N1324" s="110" t="s">
        <v>63</v>
      </c>
      <c r="O1324" s="110" t="s">
        <v>63</v>
      </c>
      <c r="P1324" s="110" t="s">
        <v>63</v>
      </c>
      <c r="Q1324" s="110" t="s">
        <v>63</v>
      </c>
      <c r="R1324" s="110" t="s">
        <v>63</v>
      </c>
      <c r="S1324" s="110" t="s">
        <v>63</v>
      </c>
      <c r="T1324" s="110" t="s">
        <v>63</v>
      </c>
      <c r="U1324" s="110" t="s">
        <v>63</v>
      </c>
      <c r="V1324" s="110" t="s">
        <v>72</v>
      </c>
      <c r="W1324" s="112" t="s">
        <v>3696</v>
      </c>
    </row>
    <row r="1325" ht="49.5" customHeight="1">
      <c r="A1325" s="110" t="s">
        <v>5312</v>
      </c>
      <c r="B1325" s="110" t="s">
        <v>5313</v>
      </c>
      <c r="C1325" s="110" t="s">
        <v>5314</v>
      </c>
      <c r="D1325" s="110"/>
      <c r="E1325" s="112" t="s">
        <v>5315</v>
      </c>
      <c r="F1325" s="112" t="s">
        <v>5316</v>
      </c>
      <c r="G1325" s="110" t="s">
        <v>5316</v>
      </c>
      <c r="H1325" s="110" t="s">
        <v>321</v>
      </c>
      <c r="I1325" s="110" t="s">
        <v>70</v>
      </c>
      <c r="J1325" s="112" t="s">
        <v>5317</v>
      </c>
      <c r="K1325" s="110" t="s">
        <v>71</v>
      </c>
      <c r="L1325" s="110" t="s">
        <v>63</v>
      </c>
      <c r="M1325" s="110" t="s">
        <v>63</v>
      </c>
      <c r="N1325" s="110" t="s">
        <v>63</v>
      </c>
      <c r="O1325" s="110" t="s">
        <v>63</v>
      </c>
      <c r="P1325" s="110" t="s">
        <v>63</v>
      </c>
      <c r="Q1325" s="110" t="s">
        <v>63</v>
      </c>
      <c r="R1325" s="110" t="s">
        <v>63</v>
      </c>
      <c r="S1325" s="110" t="s">
        <v>63</v>
      </c>
      <c r="T1325" s="110" t="s">
        <v>63</v>
      </c>
      <c r="U1325" s="110" t="s">
        <v>63</v>
      </c>
      <c r="V1325" s="110" t="s">
        <v>72</v>
      </c>
      <c r="W1325" s="112" t="s">
        <v>3696</v>
      </c>
    </row>
    <row r="1326" ht="49.5" customHeight="1">
      <c r="A1326" s="110" t="s">
        <v>5318</v>
      </c>
      <c r="B1326" s="110" t="s">
        <v>5319</v>
      </c>
      <c r="C1326" s="110" t="s">
        <v>5320</v>
      </c>
      <c r="D1326" s="110"/>
      <c r="E1326" s="112" t="s">
        <v>5321</v>
      </c>
      <c r="F1326" s="112" t="s">
        <v>5322</v>
      </c>
      <c r="G1326" s="110" t="s">
        <v>5322</v>
      </c>
      <c r="H1326" s="110" t="s">
        <v>321</v>
      </c>
      <c r="I1326" s="110" t="s">
        <v>70</v>
      </c>
      <c r="J1326" s="112" t="s">
        <v>5323</v>
      </c>
      <c r="K1326" s="110" t="s">
        <v>71</v>
      </c>
      <c r="L1326" s="110" t="s">
        <v>63</v>
      </c>
      <c r="M1326" s="110" t="s">
        <v>63</v>
      </c>
      <c r="N1326" s="110" t="s">
        <v>63</v>
      </c>
      <c r="O1326" s="110" t="s">
        <v>63</v>
      </c>
      <c r="P1326" s="110" t="s">
        <v>63</v>
      </c>
      <c r="Q1326" s="110" t="s">
        <v>63</v>
      </c>
      <c r="R1326" s="110" t="s">
        <v>63</v>
      </c>
      <c r="S1326" s="110" t="s">
        <v>63</v>
      </c>
      <c r="T1326" s="110" t="s">
        <v>63</v>
      </c>
      <c r="U1326" s="110" t="s">
        <v>63</v>
      </c>
      <c r="V1326" s="110" t="s">
        <v>72</v>
      </c>
      <c r="W1326" s="112" t="s">
        <v>3696</v>
      </c>
    </row>
    <row r="1327" ht="49.5" customHeight="1">
      <c r="A1327" s="110" t="s">
        <v>810</v>
      </c>
      <c r="B1327" s="110" t="s">
        <v>5324</v>
      </c>
      <c r="C1327" s="110" t="s">
        <v>812</v>
      </c>
      <c r="D1327" s="110"/>
      <c r="E1327" s="112" t="s">
        <v>813</v>
      </c>
      <c r="F1327" s="112" t="s">
        <v>5325</v>
      </c>
      <c r="G1327" s="110" t="s">
        <v>271</v>
      </c>
      <c r="H1327" s="110" t="s">
        <v>321</v>
      </c>
      <c r="I1327" s="110" t="s">
        <v>70</v>
      </c>
      <c r="J1327" s="112" t="s">
        <v>5326</v>
      </c>
      <c r="K1327" s="110" t="s">
        <v>71</v>
      </c>
      <c r="L1327" s="110" t="s">
        <v>63</v>
      </c>
      <c r="M1327" s="110" t="s">
        <v>63</v>
      </c>
      <c r="N1327" s="110" t="s">
        <v>63</v>
      </c>
      <c r="O1327" s="110" t="s">
        <v>63</v>
      </c>
      <c r="P1327" s="110" t="s">
        <v>63</v>
      </c>
      <c r="Q1327" s="110" t="s">
        <v>63</v>
      </c>
      <c r="R1327" s="110" t="s">
        <v>63</v>
      </c>
      <c r="S1327" s="110" t="s">
        <v>63</v>
      </c>
      <c r="T1327" s="110" t="s">
        <v>63</v>
      </c>
      <c r="U1327" s="110" t="s">
        <v>63</v>
      </c>
      <c r="V1327" s="110" t="s">
        <v>72</v>
      </c>
      <c r="W1327" s="112" t="s">
        <v>3696</v>
      </c>
    </row>
    <row r="1328" ht="49.5" customHeight="1">
      <c r="A1328" s="110" t="s">
        <v>63</v>
      </c>
      <c r="B1328" s="110" t="s">
        <v>5327</v>
      </c>
      <c r="C1328" s="110"/>
      <c r="D1328" s="110"/>
      <c r="E1328" s="112" t="s">
        <v>63</v>
      </c>
      <c r="F1328" s="112" t="s">
        <v>5328</v>
      </c>
      <c r="G1328" s="110" t="s">
        <v>70</v>
      </c>
      <c r="H1328" s="110" t="s">
        <v>5329</v>
      </c>
      <c r="I1328" s="110" t="s">
        <v>70</v>
      </c>
      <c r="J1328" s="112" t="s">
        <v>5330</v>
      </c>
      <c r="K1328" s="110" t="s">
        <v>71</v>
      </c>
      <c r="L1328" s="110" t="s">
        <v>63</v>
      </c>
      <c r="M1328" s="110" t="s">
        <v>63</v>
      </c>
      <c r="N1328" s="110" t="s">
        <v>63</v>
      </c>
      <c r="O1328" s="110" t="s">
        <v>63</v>
      </c>
      <c r="P1328" s="110" t="s">
        <v>63</v>
      </c>
      <c r="Q1328" s="110" t="s">
        <v>63</v>
      </c>
      <c r="R1328" s="110" t="s">
        <v>63</v>
      </c>
      <c r="S1328" s="110" t="s">
        <v>63</v>
      </c>
      <c r="T1328" s="110" t="s">
        <v>63</v>
      </c>
      <c r="U1328" s="110" t="s">
        <v>63</v>
      </c>
      <c r="V1328" s="110" t="s">
        <v>72</v>
      </c>
      <c r="W1328" s="112" t="s">
        <v>3696</v>
      </c>
    </row>
    <row r="1329" ht="49.5" customHeight="1">
      <c r="A1329" s="110" t="s">
        <v>63</v>
      </c>
      <c r="B1329" s="110" t="s">
        <v>5327</v>
      </c>
      <c r="C1329" s="110" t="s">
        <v>5331</v>
      </c>
      <c r="D1329" s="110" t="s">
        <v>5331</v>
      </c>
      <c r="E1329" s="112" t="s">
        <v>5332</v>
      </c>
      <c r="F1329" s="114" t="str">
        <f>"     "&amp;F1328</f>
        <v>     Pack Short Dama Drb 2.40.39 Liso</v>
      </c>
      <c r="G1329" s="110" t="s">
        <v>5333</v>
      </c>
      <c r="H1329" s="110" t="s">
        <v>3089</v>
      </c>
      <c r="I1329" s="110" t="s">
        <v>70</v>
      </c>
      <c r="J1329" s="112" t="str">
        <f>J1328</f>
        <v>9090</v>
      </c>
      <c r="K1329" s="110" t="str">
        <f>K1328&amp;"     "</f>
        <v>$     </v>
      </c>
      <c r="L1329" s="110" t="str">
        <f t="shared" ref="L1329:U1329" si="875">L1328</f>
        <v/>
      </c>
      <c r="M1329" s="110" t="str">
        <f t="shared" si="875"/>
        <v/>
      </c>
      <c r="N1329" s="110" t="str">
        <f t="shared" si="875"/>
        <v/>
      </c>
      <c r="O1329" s="110" t="str">
        <f t="shared" si="875"/>
        <v/>
      </c>
      <c r="P1329" s="110" t="str">
        <f t="shared" si="875"/>
        <v/>
      </c>
      <c r="Q1329" s="110" t="str">
        <f t="shared" si="875"/>
        <v/>
      </c>
      <c r="R1329" s="110" t="str">
        <f t="shared" si="875"/>
        <v/>
      </c>
      <c r="S1329" s="110" t="str">
        <f t="shared" si="875"/>
        <v/>
      </c>
      <c r="T1329" s="110" t="str">
        <f t="shared" si="875"/>
        <v/>
      </c>
      <c r="U1329" s="110" t="str">
        <f t="shared" si="875"/>
        <v/>
      </c>
      <c r="V1329" s="110" t="str">
        <f>V1328&amp;"     "</f>
        <v>Nuevo     </v>
      </c>
      <c r="W1329" s="112" t="str">
        <f>W1328</f>
        <v>Inactiva</v>
      </c>
    </row>
    <row r="1330" ht="49.5" customHeight="1">
      <c r="A1330" s="110" t="s">
        <v>63</v>
      </c>
      <c r="B1330" s="110" t="s">
        <v>5327</v>
      </c>
      <c r="C1330" s="110" t="s">
        <v>5334</v>
      </c>
      <c r="D1330" s="110" t="s">
        <v>5334</v>
      </c>
      <c r="E1330" s="112" t="s">
        <v>5335</v>
      </c>
      <c r="F1330" s="114" t="str">
        <f>"     "&amp;F1328</f>
        <v>     Pack Short Dama Drb 2.40.39 Liso</v>
      </c>
      <c r="G1330" s="110" t="s">
        <v>5336</v>
      </c>
      <c r="H1330" s="110" t="s">
        <v>3089</v>
      </c>
      <c r="I1330" s="110" t="s">
        <v>70</v>
      </c>
      <c r="J1330" s="112" t="str">
        <f>J1328</f>
        <v>9090</v>
      </c>
      <c r="K1330" s="110" t="str">
        <f>K1328&amp;"     "</f>
        <v>$     </v>
      </c>
      <c r="L1330" s="110" t="str">
        <f t="shared" ref="L1330:U1330" si="876">L1328</f>
        <v/>
      </c>
      <c r="M1330" s="110" t="str">
        <f t="shared" si="876"/>
        <v/>
      </c>
      <c r="N1330" s="110" t="str">
        <f t="shared" si="876"/>
        <v/>
      </c>
      <c r="O1330" s="110" t="str">
        <f t="shared" si="876"/>
        <v/>
      </c>
      <c r="P1330" s="110" t="str">
        <f t="shared" si="876"/>
        <v/>
      </c>
      <c r="Q1330" s="110" t="str">
        <f t="shared" si="876"/>
        <v/>
      </c>
      <c r="R1330" s="110" t="str">
        <f t="shared" si="876"/>
        <v/>
      </c>
      <c r="S1330" s="110" t="str">
        <f t="shared" si="876"/>
        <v/>
      </c>
      <c r="T1330" s="110" t="str">
        <f t="shared" si="876"/>
        <v/>
      </c>
      <c r="U1330" s="110" t="str">
        <f t="shared" si="876"/>
        <v/>
      </c>
      <c r="V1330" s="110" t="str">
        <f>V1328&amp;"     "</f>
        <v>Nuevo     </v>
      </c>
      <c r="W1330" s="112" t="str">
        <f>W1328</f>
        <v>Inactiva</v>
      </c>
    </row>
    <row r="1331" ht="49.5" customHeight="1">
      <c r="A1331" s="110" t="s">
        <v>63</v>
      </c>
      <c r="B1331" s="110" t="s">
        <v>5327</v>
      </c>
      <c r="C1331" s="110" t="s">
        <v>5337</v>
      </c>
      <c r="D1331" s="110" t="s">
        <v>5337</v>
      </c>
      <c r="E1331" s="112" t="s">
        <v>5338</v>
      </c>
      <c r="F1331" s="114" t="str">
        <f>"     "&amp;F1328</f>
        <v>     Pack Short Dama Drb 2.40.39 Liso</v>
      </c>
      <c r="G1331" s="110" t="s">
        <v>839</v>
      </c>
      <c r="H1331" s="110" t="s">
        <v>3089</v>
      </c>
      <c r="I1331" s="110" t="s">
        <v>70</v>
      </c>
      <c r="J1331" s="112" t="str">
        <f>J1328</f>
        <v>9090</v>
      </c>
      <c r="K1331" s="110" t="str">
        <f>K1328&amp;"     "</f>
        <v>$     </v>
      </c>
      <c r="L1331" s="110" t="str">
        <f t="shared" ref="L1331:U1331" si="877">L1328</f>
        <v/>
      </c>
      <c r="M1331" s="110" t="str">
        <f t="shared" si="877"/>
        <v/>
      </c>
      <c r="N1331" s="110" t="str">
        <f t="shared" si="877"/>
        <v/>
      </c>
      <c r="O1331" s="110" t="str">
        <f t="shared" si="877"/>
        <v/>
      </c>
      <c r="P1331" s="110" t="str">
        <f t="shared" si="877"/>
        <v/>
      </c>
      <c r="Q1331" s="110" t="str">
        <f t="shared" si="877"/>
        <v/>
      </c>
      <c r="R1331" s="110" t="str">
        <f t="shared" si="877"/>
        <v/>
      </c>
      <c r="S1331" s="110" t="str">
        <f t="shared" si="877"/>
        <v/>
      </c>
      <c r="T1331" s="110" t="str">
        <f t="shared" si="877"/>
        <v/>
      </c>
      <c r="U1331" s="110" t="str">
        <f t="shared" si="877"/>
        <v/>
      </c>
      <c r="V1331" s="110" t="str">
        <f>V1328&amp;"     "</f>
        <v>Nuevo     </v>
      </c>
      <c r="W1331" s="112" t="str">
        <f>W1328</f>
        <v>Inactiva</v>
      </c>
    </row>
    <row r="1332" ht="49.5" customHeight="1">
      <c r="A1332" s="110" t="s">
        <v>63</v>
      </c>
      <c r="B1332" s="110" t="s">
        <v>5327</v>
      </c>
      <c r="C1332" s="110" t="s">
        <v>5339</v>
      </c>
      <c r="D1332" s="110" t="s">
        <v>5339</v>
      </c>
      <c r="E1332" s="112" t="s">
        <v>5340</v>
      </c>
      <c r="F1332" s="114" t="str">
        <f>"     "&amp;F1328</f>
        <v>     Pack Short Dama Drb 2.40.39 Liso</v>
      </c>
      <c r="G1332" s="110" t="s">
        <v>5341</v>
      </c>
      <c r="H1332" s="110" t="s">
        <v>3089</v>
      </c>
      <c r="I1332" s="110" t="s">
        <v>70</v>
      </c>
      <c r="J1332" s="112" t="str">
        <f>J1328</f>
        <v>9090</v>
      </c>
      <c r="K1332" s="110" t="str">
        <f>K1328&amp;"     "</f>
        <v>$     </v>
      </c>
      <c r="L1332" s="110" t="str">
        <f t="shared" ref="L1332:U1332" si="878">L1328</f>
        <v/>
      </c>
      <c r="M1332" s="110" t="str">
        <f t="shared" si="878"/>
        <v/>
      </c>
      <c r="N1332" s="110" t="str">
        <f t="shared" si="878"/>
        <v/>
      </c>
      <c r="O1332" s="110" t="str">
        <f t="shared" si="878"/>
        <v/>
      </c>
      <c r="P1332" s="110" t="str">
        <f t="shared" si="878"/>
        <v/>
      </c>
      <c r="Q1332" s="110" t="str">
        <f t="shared" si="878"/>
        <v/>
      </c>
      <c r="R1332" s="110" t="str">
        <f t="shared" si="878"/>
        <v/>
      </c>
      <c r="S1332" s="110" t="str">
        <f t="shared" si="878"/>
        <v/>
      </c>
      <c r="T1332" s="110" t="str">
        <f t="shared" si="878"/>
        <v/>
      </c>
      <c r="U1332" s="110" t="str">
        <f t="shared" si="878"/>
        <v/>
      </c>
      <c r="V1332" s="110" t="str">
        <f>V1328&amp;"     "</f>
        <v>Nuevo     </v>
      </c>
      <c r="W1332" s="112" t="str">
        <f>W1328</f>
        <v>Inactiva</v>
      </c>
    </row>
    <row r="1333" ht="49.5" customHeight="1">
      <c r="A1333" s="110" t="s">
        <v>63</v>
      </c>
      <c r="B1333" s="110" t="s">
        <v>5327</v>
      </c>
      <c r="C1333" s="110" t="s">
        <v>5342</v>
      </c>
      <c r="D1333" s="110" t="s">
        <v>5342</v>
      </c>
      <c r="E1333" s="112" t="s">
        <v>5343</v>
      </c>
      <c r="F1333" s="114" t="str">
        <f>"     "&amp;F1328</f>
        <v>     Pack Short Dama Drb 2.40.39 Liso</v>
      </c>
      <c r="G1333" s="110" t="s">
        <v>5344</v>
      </c>
      <c r="H1333" s="110" t="s">
        <v>3089</v>
      </c>
      <c r="I1333" s="110" t="s">
        <v>70</v>
      </c>
      <c r="J1333" s="112" t="str">
        <f>J1328</f>
        <v>9090</v>
      </c>
      <c r="K1333" s="110" t="str">
        <f>K1328&amp;"     "</f>
        <v>$     </v>
      </c>
      <c r="L1333" s="110" t="str">
        <f t="shared" ref="L1333:U1333" si="879">L1328</f>
        <v/>
      </c>
      <c r="M1333" s="110" t="str">
        <f t="shared" si="879"/>
        <v/>
      </c>
      <c r="N1333" s="110" t="str">
        <f t="shared" si="879"/>
        <v/>
      </c>
      <c r="O1333" s="110" t="str">
        <f t="shared" si="879"/>
        <v/>
      </c>
      <c r="P1333" s="110" t="str">
        <f t="shared" si="879"/>
        <v/>
      </c>
      <c r="Q1333" s="110" t="str">
        <f t="shared" si="879"/>
        <v/>
      </c>
      <c r="R1333" s="110" t="str">
        <f t="shared" si="879"/>
        <v/>
      </c>
      <c r="S1333" s="110" t="str">
        <f t="shared" si="879"/>
        <v/>
      </c>
      <c r="T1333" s="110" t="str">
        <f t="shared" si="879"/>
        <v/>
      </c>
      <c r="U1333" s="110" t="str">
        <f t="shared" si="879"/>
        <v/>
      </c>
      <c r="V1333" s="110" t="str">
        <f>V1328&amp;"     "</f>
        <v>Nuevo     </v>
      </c>
      <c r="W1333" s="112" t="str">
        <f>W1328</f>
        <v>Inactiva</v>
      </c>
    </row>
    <row r="1334" ht="49.5" customHeight="1">
      <c r="A1334" s="110" t="s">
        <v>63</v>
      </c>
      <c r="B1334" s="110" t="s">
        <v>5327</v>
      </c>
      <c r="C1334" s="110" t="s">
        <v>5345</v>
      </c>
      <c r="D1334" s="110" t="s">
        <v>5345</v>
      </c>
      <c r="E1334" s="112" t="s">
        <v>5346</v>
      </c>
      <c r="F1334" s="114" t="str">
        <f>"     "&amp;F1328</f>
        <v>     Pack Short Dama Drb 2.40.39 Liso</v>
      </c>
      <c r="G1334" s="110" t="s">
        <v>5347</v>
      </c>
      <c r="H1334" s="110" t="s">
        <v>3089</v>
      </c>
      <c r="I1334" s="110" t="s">
        <v>70</v>
      </c>
      <c r="J1334" s="112" t="str">
        <f>J1328</f>
        <v>9090</v>
      </c>
      <c r="K1334" s="110" t="str">
        <f>K1328&amp;"     "</f>
        <v>$     </v>
      </c>
      <c r="L1334" s="110" t="str">
        <f t="shared" ref="L1334:U1334" si="880">L1328</f>
        <v/>
      </c>
      <c r="M1334" s="110" t="str">
        <f t="shared" si="880"/>
        <v/>
      </c>
      <c r="N1334" s="110" t="str">
        <f t="shared" si="880"/>
        <v/>
      </c>
      <c r="O1334" s="110" t="str">
        <f t="shared" si="880"/>
        <v/>
      </c>
      <c r="P1334" s="110" t="str">
        <f t="shared" si="880"/>
        <v/>
      </c>
      <c r="Q1334" s="110" t="str">
        <f t="shared" si="880"/>
        <v/>
      </c>
      <c r="R1334" s="110" t="str">
        <f t="shared" si="880"/>
        <v/>
      </c>
      <c r="S1334" s="110" t="str">
        <f t="shared" si="880"/>
        <v/>
      </c>
      <c r="T1334" s="110" t="str">
        <f t="shared" si="880"/>
        <v/>
      </c>
      <c r="U1334" s="110" t="str">
        <f t="shared" si="880"/>
        <v/>
      </c>
      <c r="V1334" s="110" t="str">
        <f>V1328&amp;"     "</f>
        <v>Nuevo     </v>
      </c>
      <c r="W1334" s="112" t="str">
        <f>W1328</f>
        <v>Inactiva</v>
      </c>
    </row>
    <row r="1335" ht="49.5" customHeight="1">
      <c r="A1335" s="110" t="s">
        <v>63</v>
      </c>
      <c r="B1335" s="110" t="s">
        <v>5327</v>
      </c>
      <c r="C1335" s="110" t="s">
        <v>5348</v>
      </c>
      <c r="D1335" s="110" t="s">
        <v>5348</v>
      </c>
      <c r="E1335" s="112" t="s">
        <v>5349</v>
      </c>
      <c r="F1335" s="114" t="str">
        <f>"     "&amp;F1328</f>
        <v>     Pack Short Dama Drb 2.40.39 Liso</v>
      </c>
      <c r="G1335" s="110" t="s">
        <v>5350</v>
      </c>
      <c r="H1335" s="110" t="s">
        <v>3089</v>
      </c>
      <c r="I1335" s="110" t="s">
        <v>70</v>
      </c>
      <c r="J1335" s="112" t="str">
        <f>J1328</f>
        <v>9090</v>
      </c>
      <c r="K1335" s="110" t="str">
        <f>K1328&amp;"     "</f>
        <v>$     </v>
      </c>
      <c r="L1335" s="110" t="str">
        <f t="shared" ref="L1335:U1335" si="881">L1328</f>
        <v/>
      </c>
      <c r="M1335" s="110" t="str">
        <f t="shared" si="881"/>
        <v/>
      </c>
      <c r="N1335" s="110" t="str">
        <f t="shared" si="881"/>
        <v/>
      </c>
      <c r="O1335" s="110" t="str">
        <f t="shared" si="881"/>
        <v/>
      </c>
      <c r="P1335" s="110" t="str">
        <f t="shared" si="881"/>
        <v/>
      </c>
      <c r="Q1335" s="110" t="str">
        <f t="shared" si="881"/>
        <v/>
      </c>
      <c r="R1335" s="110" t="str">
        <f t="shared" si="881"/>
        <v/>
      </c>
      <c r="S1335" s="110" t="str">
        <f t="shared" si="881"/>
        <v/>
      </c>
      <c r="T1335" s="110" t="str">
        <f t="shared" si="881"/>
        <v/>
      </c>
      <c r="U1335" s="110" t="str">
        <f t="shared" si="881"/>
        <v/>
      </c>
      <c r="V1335" s="110" t="str">
        <f>V1328&amp;"     "</f>
        <v>Nuevo     </v>
      </c>
      <c r="W1335" s="112" t="str">
        <f>W1328</f>
        <v>Inactiva</v>
      </c>
    </row>
    <row r="1336" ht="49.5" customHeight="1">
      <c r="A1336" s="110" t="s">
        <v>63</v>
      </c>
      <c r="B1336" s="110" t="s">
        <v>5327</v>
      </c>
      <c r="C1336" s="110" t="s">
        <v>5351</v>
      </c>
      <c r="D1336" s="110" t="s">
        <v>5351</v>
      </c>
      <c r="E1336" s="112" t="s">
        <v>5352</v>
      </c>
      <c r="F1336" s="114" t="str">
        <f>"     "&amp;F1328</f>
        <v>     Pack Short Dama Drb 2.40.39 Liso</v>
      </c>
      <c r="G1336" s="110" t="s">
        <v>5353</v>
      </c>
      <c r="H1336" s="110" t="s">
        <v>3089</v>
      </c>
      <c r="I1336" s="110" t="s">
        <v>70</v>
      </c>
      <c r="J1336" s="112" t="str">
        <f>J1328</f>
        <v>9090</v>
      </c>
      <c r="K1336" s="110" t="str">
        <f>K1328&amp;"     "</f>
        <v>$     </v>
      </c>
      <c r="L1336" s="110" t="str">
        <f t="shared" ref="L1336:U1336" si="882">L1328</f>
        <v/>
      </c>
      <c r="M1336" s="110" t="str">
        <f t="shared" si="882"/>
        <v/>
      </c>
      <c r="N1336" s="110" t="str">
        <f t="shared" si="882"/>
        <v/>
      </c>
      <c r="O1336" s="110" t="str">
        <f t="shared" si="882"/>
        <v/>
      </c>
      <c r="P1336" s="110" t="str">
        <f t="shared" si="882"/>
        <v/>
      </c>
      <c r="Q1336" s="110" t="str">
        <f t="shared" si="882"/>
        <v/>
      </c>
      <c r="R1336" s="110" t="str">
        <f t="shared" si="882"/>
        <v/>
      </c>
      <c r="S1336" s="110" t="str">
        <f t="shared" si="882"/>
        <v/>
      </c>
      <c r="T1336" s="110" t="str">
        <f t="shared" si="882"/>
        <v/>
      </c>
      <c r="U1336" s="110" t="str">
        <f t="shared" si="882"/>
        <v/>
      </c>
      <c r="V1336" s="110" t="str">
        <f>V1328&amp;"     "</f>
        <v>Nuevo     </v>
      </c>
      <c r="W1336" s="112" t="str">
        <f>W1328</f>
        <v>Inactiva</v>
      </c>
    </row>
    <row r="1337" ht="49.5" customHeight="1">
      <c r="A1337" s="110" t="s">
        <v>63</v>
      </c>
      <c r="B1337" s="110" t="s">
        <v>5327</v>
      </c>
      <c r="C1337" s="110" t="s">
        <v>5354</v>
      </c>
      <c r="D1337" s="110" t="s">
        <v>5354</v>
      </c>
      <c r="E1337" s="112" t="s">
        <v>5355</v>
      </c>
      <c r="F1337" s="114" t="str">
        <f>"     "&amp;F1328</f>
        <v>     Pack Short Dama Drb 2.40.39 Liso</v>
      </c>
      <c r="G1337" s="110" t="s">
        <v>5356</v>
      </c>
      <c r="H1337" s="110" t="s">
        <v>3089</v>
      </c>
      <c r="I1337" s="110" t="s">
        <v>70</v>
      </c>
      <c r="J1337" s="112" t="str">
        <f>J1328</f>
        <v>9090</v>
      </c>
      <c r="K1337" s="110" t="str">
        <f>K1328&amp;"     "</f>
        <v>$     </v>
      </c>
      <c r="L1337" s="110" t="str">
        <f t="shared" ref="L1337:U1337" si="883">L1328</f>
        <v/>
      </c>
      <c r="M1337" s="110" t="str">
        <f t="shared" si="883"/>
        <v/>
      </c>
      <c r="N1337" s="110" t="str">
        <f t="shared" si="883"/>
        <v/>
      </c>
      <c r="O1337" s="110" t="str">
        <f t="shared" si="883"/>
        <v/>
      </c>
      <c r="P1337" s="110" t="str">
        <f t="shared" si="883"/>
        <v/>
      </c>
      <c r="Q1337" s="110" t="str">
        <f t="shared" si="883"/>
        <v/>
      </c>
      <c r="R1337" s="110" t="str">
        <f t="shared" si="883"/>
        <v/>
      </c>
      <c r="S1337" s="110" t="str">
        <f t="shared" si="883"/>
        <v/>
      </c>
      <c r="T1337" s="110" t="str">
        <f t="shared" si="883"/>
        <v/>
      </c>
      <c r="U1337" s="110" t="str">
        <f t="shared" si="883"/>
        <v/>
      </c>
      <c r="V1337" s="110" t="str">
        <f>V1328&amp;"     "</f>
        <v>Nuevo     </v>
      </c>
      <c r="W1337" s="112" t="str">
        <f>W1328</f>
        <v>Inactiva</v>
      </c>
    </row>
    <row r="1338" ht="49.5" customHeight="1">
      <c r="A1338" s="110" t="s">
        <v>63</v>
      </c>
      <c r="B1338" s="110" t="s">
        <v>5327</v>
      </c>
      <c r="C1338" s="110" t="s">
        <v>5357</v>
      </c>
      <c r="D1338" s="110" t="s">
        <v>5357</v>
      </c>
      <c r="E1338" s="112" t="s">
        <v>5358</v>
      </c>
      <c r="F1338" s="114" t="str">
        <f>"     "&amp;F1328</f>
        <v>     Pack Short Dama Drb 2.40.39 Liso</v>
      </c>
      <c r="G1338" s="110" t="s">
        <v>5359</v>
      </c>
      <c r="H1338" s="110" t="s">
        <v>3089</v>
      </c>
      <c r="I1338" s="110" t="s">
        <v>70</v>
      </c>
      <c r="J1338" s="112" t="str">
        <f>J1328</f>
        <v>9090</v>
      </c>
      <c r="K1338" s="110" t="str">
        <f>K1328&amp;"     "</f>
        <v>$     </v>
      </c>
      <c r="L1338" s="110" t="str">
        <f t="shared" ref="L1338:U1338" si="884">L1328</f>
        <v/>
      </c>
      <c r="M1338" s="110" t="str">
        <f t="shared" si="884"/>
        <v/>
      </c>
      <c r="N1338" s="110" t="str">
        <f t="shared" si="884"/>
        <v/>
      </c>
      <c r="O1338" s="110" t="str">
        <f t="shared" si="884"/>
        <v/>
      </c>
      <c r="P1338" s="110" t="str">
        <f t="shared" si="884"/>
        <v/>
      </c>
      <c r="Q1338" s="110" t="str">
        <f t="shared" si="884"/>
        <v/>
      </c>
      <c r="R1338" s="110" t="str">
        <f t="shared" si="884"/>
        <v/>
      </c>
      <c r="S1338" s="110" t="str">
        <f t="shared" si="884"/>
        <v/>
      </c>
      <c r="T1338" s="110" t="str">
        <f t="shared" si="884"/>
        <v/>
      </c>
      <c r="U1338" s="110" t="str">
        <f t="shared" si="884"/>
        <v/>
      </c>
      <c r="V1338" s="110" t="str">
        <f>V1328&amp;"     "</f>
        <v>Nuevo     </v>
      </c>
      <c r="W1338" s="112" t="str">
        <f>W1328</f>
        <v>Inactiva</v>
      </c>
    </row>
    <row r="1339" ht="49.5" customHeight="1">
      <c r="A1339" s="110" t="s">
        <v>63</v>
      </c>
      <c r="B1339" s="110" t="s">
        <v>5327</v>
      </c>
      <c r="C1339" s="110" t="s">
        <v>5360</v>
      </c>
      <c r="D1339" s="110" t="s">
        <v>5360</v>
      </c>
      <c r="E1339" s="112" t="s">
        <v>5361</v>
      </c>
      <c r="F1339" s="114" t="str">
        <f>"     "&amp;F1328</f>
        <v>     Pack Short Dama Drb 2.40.39 Liso</v>
      </c>
      <c r="G1339" s="110" t="s">
        <v>842</v>
      </c>
      <c r="H1339" s="110" t="s">
        <v>3089</v>
      </c>
      <c r="I1339" s="110" t="s">
        <v>70</v>
      </c>
      <c r="J1339" s="112" t="str">
        <f>J1328</f>
        <v>9090</v>
      </c>
      <c r="K1339" s="110" t="str">
        <f>K1328&amp;"     "</f>
        <v>$     </v>
      </c>
      <c r="L1339" s="110" t="str">
        <f t="shared" ref="L1339:U1339" si="885">L1328</f>
        <v/>
      </c>
      <c r="M1339" s="110" t="str">
        <f t="shared" si="885"/>
        <v/>
      </c>
      <c r="N1339" s="110" t="str">
        <f t="shared" si="885"/>
        <v/>
      </c>
      <c r="O1339" s="110" t="str">
        <f t="shared" si="885"/>
        <v/>
      </c>
      <c r="P1339" s="110" t="str">
        <f t="shared" si="885"/>
        <v/>
      </c>
      <c r="Q1339" s="110" t="str">
        <f t="shared" si="885"/>
        <v/>
      </c>
      <c r="R1339" s="110" t="str">
        <f t="shared" si="885"/>
        <v/>
      </c>
      <c r="S1339" s="110" t="str">
        <f t="shared" si="885"/>
        <v/>
      </c>
      <c r="T1339" s="110" t="str">
        <f t="shared" si="885"/>
        <v/>
      </c>
      <c r="U1339" s="110" t="str">
        <f t="shared" si="885"/>
        <v/>
      </c>
      <c r="V1339" s="110" t="str">
        <f>V1328&amp;"     "</f>
        <v>Nuevo     </v>
      </c>
      <c r="W1339" s="112" t="str">
        <f>W1328</f>
        <v>Inactiva</v>
      </c>
    </row>
    <row r="1340" ht="49.5" customHeight="1">
      <c r="A1340" s="110" t="s">
        <v>63</v>
      </c>
      <c r="B1340" s="110" t="s">
        <v>5327</v>
      </c>
      <c r="C1340" s="110" t="s">
        <v>5362</v>
      </c>
      <c r="D1340" s="110" t="s">
        <v>5362</v>
      </c>
      <c r="E1340" s="112" t="s">
        <v>5363</v>
      </c>
      <c r="F1340" s="114" t="str">
        <f>"     "&amp;F1328</f>
        <v>     Pack Short Dama Drb 2.40.39 Liso</v>
      </c>
      <c r="G1340" s="110" t="s">
        <v>5364</v>
      </c>
      <c r="H1340" s="110" t="s">
        <v>3089</v>
      </c>
      <c r="I1340" s="110" t="s">
        <v>70</v>
      </c>
      <c r="J1340" s="112" t="str">
        <f>J1328</f>
        <v>9090</v>
      </c>
      <c r="K1340" s="110" t="str">
        <f>K1328&amp;"     "</f>
        <v>$     </v>
      </c>
      <c r="L1340" s="110" t="str">
        <f t="shared" ref="L1340:U1340" si="886">L1328</f>
        <v/>
      </c>
      <c r="M1340" s="110" t="str">
        <f t="shared" si="886"/>
        <v/>
      </c>
      <c r="N1340" s="110" t="str">
        <f t="shared" si="886"/>
        <v/>
      </c>
      <c r="O1340" s="110" t="str">
        <f t="shared" si="886"/>
        <v/>
      </c>
      <c r="P1340" s="110" t="str">
        <f t="shared" si="886"/>
        <v/>
      </c>
      <c r="Q1340" s="110" t="str">
        <f t="shared" si="886"/>
        <v/>
      </c>
      <c r="R1340" s="110" t="str">
        <f t="shared" si="886"/>
        <v/>
      </c>
      <c r="S1340" s="110" t="str">
        <f t="shared" si="886"/>
        <v/>
      </c>
      <c r="T1340" s="110" t="str">
        <f t="shared" si="886"/>
        <v/>
      </c>
      <c r="U1340" s="110" t="str">
        <f t="shared" si="886"/>
        <v/>
      </c>
      <c r="V1340" s="110" t="str">
        <f>V1328&amp;"     "</f>
        <v>Nuevo     </v>
      </c>
      <c r="W1340" s="112" t="str">
        <f>W1328</f>
        <v>Inactiva</v>
      </c>
    </row>
    <row r="1341" ht="49.5" customHeight="1">
      <c r="A1341" s="110" t="s">
        <v>63</v>
      </c>
      <c r="B1341" s="110" t="s">
        <v>5327</v>
      </c>
      <c r="C1341" s="110" t="s">
        <v>5365</v>
      </c>
      <c r="D1341" s="110" t="s">
        <v>5365</v>
      </c>
      <c r="E1341" s="112" t="s">
        <v>5366</v>
      </c>
      <c r="F1341" s="114" t="str">
        <f>"     "&amp;F1328</f>
        <v>     Pack Short Dama Drb 2.40.39 Liso</v>
      </c>
      <c r="G1341" s="110" t="s">
        <v>5367</v>
      </c>
      <c r="H1341" s="110" t="s">
        <v>3089</v>
      </c>
      <c r="I1341" s="110" t="s">
        <v>70</v>
      </c>
      <c r="J1341" s="112" t="str">
        <f>J1328</f>
        <v>9090</v>
      </c>
      <c r="K1341" s="110" t="str">
        <f>K1328&amp;"     "</f>
        <v>$     </v>
      </c>
      <c r="L1341" s="110" t="str">
        <f t="shared" ref="L1341:U1341" si="887">L1328</f>
        <v/>
      </c>
      <c r="M1341" s="110" t="str">
        <f t="shared" si="887"/>
        <v/>
      </c>
      <c r="N1341" s="110" t="str">
        <f t="shared" si="887"/>
        <v/>
      </c>
      <c r="O1341" s="110" t="str">
        <f t="shared" si="887"/>
        <v/>
      </c>
      <c r="P1341" s="110" t="str">
        <f t="shared" si="887"/>
        <v/>
      </c>
      <c r="Q1341" s="110" t="str">
        <f t="shared" si="887"/>
        <v/>
      </c>
      <c r="R1341" s="110" t="str">
        <f t="shared" si="887"/>
        <v/>
      </c>
      <c r="S1341" s="110" t="str">
        <f t="shared" si="887"/>
        <v/>
      </c>
      <c r="T1341" s="110" t="str">
        <f t="shared" si="887"/>
        <v/>
      </c>
      <c r="U1341" s="110" t="str">
        <f t="shared" si="887"/>
        <v/>
      </c>
      <c r="V1341" s="110" t="str">
        <f>V1328&amp;"     "</f>
        <v>Nuevo     </v>
      </c>
      <c r="W1341" s="112" t="str">
        <f>W1328</f>
        <v>Inactiva</v>
      </c>
    </row>
    <row r="1342" ht="49.5" customHeight="1">
      <c r="A1342" s="110" t="s">
        <v>63</v>
      </c>
      <c r="B1342" s="110" t="s">
        <v>5327</v>
      </c>
      <c r="C1342" s="110" t="s">
        <v>5368</v>
      </c>
      <c r="D1342" s="110" t="s">
        <v>5368</v>
      </c>
      <c r="E1342" s="112" t="s">
        <v>5369</v>
      </c>
      <c r="F1342" s="114" t="str">
        <f>"     "&amp;F1328</f>
        <v>     Pack Short Dama Drb 2.40.39 Liso</v>
      </c>
      <c r="G1342" s="110" t="s">
        <v>849</v>
      </c>
      <c r="H1342" s="110" t="s">
        <v>3089</v>
      </c>
      <c r="I1342" s="110" t="s">
        <v>70</v>
      </c>
      <c r="J1342" s="112" t="str">
        <f>J1328</f>
        <v>9090</v>
      </c>
      <c r="K1342" s="110" t="str">
        <f>K1328&amp;"     "</f>
        <v>$     </v>
      </c>
      <c r="L1342" s="110" t="str">
        <f t="shared" ref="L1342:U1342" si="888">L1328</f>
        <v/>
      </c>
      <c r="M1342" s="110" t="str">
        <f t="shared" si="888"/>
        <v/>
      </c>
      <c r="N1342" s="110" t="str">
        <f t="shared" si="888"/>
        <v/>
      </c>
      <c r="O1342" s="110" t="str">
        <f t="shared" si="888"/>
        <v/>
      </c>
      <c r="P1342" s="110" t="str">
        <f t="shared" si="888"/>
        <v/>
      </c>
      <c r="Q1342" s="110" t="str">
        <f t="shared" si="888"/>
        <v/>
      </c>
      <c r="R1342" s="110" t="str">
        <f t="shared" si="888"/>
        <v/>
      </c>
      <c r="S1342" s="110" t="str">
        <f t="shared" si="888"/>
        <v/>
      </c>
      <c r="T1342" s="110" t="str">
        <f t="shared" si="888"/>
        <v/>
      </c>
      <c r="U1342" s="110" t="str">
        <f t="shared" si="888"/>
        <v/>
      </c>
      <c r="V1342" s="110" t="str">
        <f>V1328&amp;"     "</f>
        <v>Nuevo     </v>
      </c>
      <c r="W1342" s="112" t="str">
        <f>W1328</f>
        <v>Inactiva</v>
      </c>
    </row>
    <row r="1343" ht="49.5" customHeight="1">
      <c r="A1343" s="110" t="s">
        <v>63</v>
      </c>
      <c r="B1343" s="110" t="s">
        <v>5327</v>
      </c>
      <c r="C1343" s="110" t="s">
        <v>5370</v>
      </c>
      <c r="D1343" s="110" t="s">
        <v>5370</v>
      </c>
      <c r="E1343" s="112" t="s">
        <v>5371</v>
      </c>
      <c r="F1343" s="114" t="str">
        <f>"     "&amp;F1328</f>
        <v>     Pack Short Dama Drb 2.40.39 Liso</v>
      </c>
      <c r="G1343" s="110" t="s">
        <v>5372</v>
      </c>
      <c r="H1343" s="110" t="s">
        <v>3089</v>
      </c>
      <c r="I1343" s="110" t="s">
        <v>70</v>
      </c>
      <c r="J1343" s="112" t="str">
        <f>J1328</f>
        <v>9090</v>
      </c>
      <c r="K1343" s="110" t="str">
        <f>K1328&amp;"     "</f>
        <v>$     </v>
      </c>
      <c r="L1343" s="110" t="str">
        <f t="shared" ref="L1343:U1343" si="889">L1328</f>
        <v/>
      </c>
      <c r="M1343" s="110" t="str">
        <f t="shared" si="889"/>
        <v/>
      </c>
      <c r="N1343" s="110" t="str">
        <f t="shared" si="889"/>
        <v/>
      </c>
      <c r="O1343" s="110" t="str">
        <f t="shared" si="889"/>
        <v/>
      </c>
      <c r="P1343" s="110" t="str">
        <f t="shared" si="889"/>
        <v/>
      </c>
      <c r="Q1343" s="110" t="str">
        <f t="shared" si="889"/>
        <v/>
      </c>
      <c r="R1343" s="110" t="str">
        <f t="shared" si="889"/>
        <v/>
      </c>
      <c r="S1343" s="110" t="str">
        <f t="shared" si="889"/>
        <v/>
      </c>
      <c r="T1343" s="110" t="str">
        <f t="shared" si="889"/>
        <v/>
      </c>
      <c r="U1343" s="110" t="str">
        <f t="shared" si="889"/>
        <v/>
      </c>
      <c r="V1343" s="110" t="str">
        <f>V1328&amp;"     "</f>
        <v>Nuevo     </v>
      </c>
      <c r="W1343" s="112" t="str">
        <f>W1328</f>
        <v>Inactiva</v>
      </c>
    </row>
    <row r="1344" ht="49.5" customHeight="1">
      <c r="A1344" s="110" t="s">
        <v>63</v>
      </c>
      <c r="B1344" s="110" t="s">
        <v>5327</v>
      </c>
      <c r="C1344" s="110" t="s">
        <v>5373</v>
      </c>
      <c r="D1344" s="110" t="s">
        <v>5373</v>
      </c>
      <c r="E1344" s="112" t="s">
        <v>5374</v>
      </c>
      <c r="F1344" s="114" t="str">
        <f>"     "&amp;F1328</f>
        <v>     Pack Short Dama Drb 2.40.39 Liso</v>
      </c>
      <c r="G1344" s="110" t="s">
        <v>5375</v>
      </c>
      <c r="H1344" s="110" t="s">
        <v>3089</v>
      </c>
      <c r="I1344" s="110" t="s">
        <v>70</v>
      </c>
      <c r="J1344" s="112" t="str">
        <f>J1328</f>
        <v>9090</v>
      </c>
      <c r="K1344" s="110" t="str">
        <f>K1328&amp;"     "</f>
        <v>$     </v>
      </c>
      <c r="L1344" s="110" t="str">
        <f t="shared" ref="L1344:U1344" si="890">L1328</f>
        <v/>
      </c>
      <c r="M1344" s="110" t="str">
        <f t="shared" si="890"/>
        <v/>
      </c>
      <c r="N1344" s="110" t="str">
        <f t="shared" si="890"/>
        <v/>
      </c>
      <c r="O1344" s="110" t="str">
        <f t="shared" si="890"/>
        <v/>
      </c>
      <c r="P1344" s="110" t="str">
        <f t="shared" si="890"/>
        <v/>
      </c>
      <c r="Q1344" s="110" t="str">
        <f t="shared" si="890"/>
        <v/>
      </c>
      <c r="R1344" s="110" t="str">
        <f t="shared" si="890"/>
        <v/>
      </c>
      <c r="S1344" s="110" t="str">
        <f t="shared" si="890"/>
        <v/>
      </c>
      <c r="T1344" s="110" t="str">
        <f t="shared" si="890"/>
        <v/>
      </c>
      <c r="U1344" s="110" t="str">
        <f t="shared" si="890"/>
        <v/>
      </c>
      <c r="V1344" s="110" t="str">
        <f>V1328&amp;"     "</f>
        <v>Nuevo     </v>
      </c>
      <c r="W1344" s="112" t="str">
        <f>W1328</f>
        <v>Inactiva</v>
      </c>
    </row>
    <row r="1345" ht="49.5" customHeight="1">
      <c r="A1345" s="110" t="s">
        <v>5376</v>
      </c>
      <c r="B1345" s="110" t="s">
        <v>5377</v>
      </c>
      <c r="C1345" s="110" t="s">
        <v>5378</v>
      </c>
      <c r="D1345" s="110"/>
      <c r="E1345" s="112" t="s">
        <v>5379</v>
      </c>
      <c r="F1345" s="112" t="s">
        <v>5380</v>
      </c>
      <c r="G1345" s="110" t="s">
        <v>165</v>
      </c>
      <c r="H1345" s="110" t="s">
        <v>3089</v>
      </c>
      <c r="I1345" s="110" t="s">
        <v>70</v>
      </c>
      <c r="J1345" s="112" t="s">
        <v>5381</v>
      </c>
      <c r="K1345" s="110" t="s">
        <v>71</v>
      </c>
      <c r="L1345" s="110" t="s">
        <v>63</v>
      </c>
      <c r="M1345" s="110" t="s">
        <v>63</v>
      </c>
      <c r="N1345" s="110" t="s">
        <v>63</v>
      </c>
      <c r="O1345" s="110" t="s">
        <v>63</v>
      </c>
      <c r="P1345" s="110" t="s">
        <v>63</v>
      </c>
      <c r="Q1345" s="110" t="s">
        <v>63</v>
      </c>
      <c r="R1345" s="110" t="s">
        <v>63</v>
      </c>
      <c r="S1345" s="110" t="s">
        <v>63</v>
      </c>
      <c r="T1345" s="110" t="s">
        <v>63</v>
      </c>
      <c r="U1345" s="110" t="s">
        <v>63</v>
      </c>
      <c r="V1345" s="110" t="s">
        <v>72</v>
      </c>
      <c r="W1345" s="112" t="s">
        <v>3696</v>
      </c>
    </row>
    <row r="1346" ht="49.5" customHeight="1">
      <c r="A1346" s="110" t="s">
        <v>5382</v>
      </c>
      <c r="B1346" s="110" t="s">
        <v>5383</v>
      </c>
      <c r="C1346" s="110" t="s">
        <v>5384</v>
      </c>
      <c r="D1346" s="110"/>
      <c r="E1346" s="112" t="s">
        <v>5385</v>
      </c>
      <c r="F1346" s="112" t="s">
        <v>5386</v>
      </c>
      <c r="G1346" s="110" t="s">
        <v>165</v>
      </c>
      <c r="H1346" s="110" t="s">
        <v>3089</v>
      </c>
      <c r="I1346" s="110" t="s">
        <v>70</v>
      </c>
      <c r="J1346" s="112" t="s">
        <v>5387</v>
      </c>
      <c r="K1346" s="110" t="s">
        <v>71</v>
      </c>
      <c r="L1346" s="110" t="s">
        <v>63</v>
      </c>
      <c r="M1346" s="110" t="s">
        <v>63</v>
      </c>
      <c r="N1346" s="110" t="s">
        <v>63</v>
      </c>
      <c r="O1346" s="110" t="s">
        <v>63</v>
      </c>
      <c r="P1346" s="110" t="s">
        <v>63</v>
      </c>
      <c r="Q1346" s="110" t="s">
        <v>63</v>
      </c>
      <c r="R1346" s="110" t="s">
        <v>63</v>
      </c>
      <c r="S1346" s="110" t="s">
        <v>63</v>
      </c>
      <c r="T1346" s="110" t="s">
        <v>63</v>
      </c>
      <c r="U1346" s="110" t="s">
        <v>63</v>
      </c>
      <c r="V1346" s="110" t="s">
        <v>72</v>
      </c>
      <c r="W1346" s="112" t="s">
        <v>3696</v>
      </c>
    </row>
    <row r="1347" ht="49.5" customHeight="1">
      <c r="A1347" s="110" t="s">
        <v>5388</v>
      </c>
      <c r="B1347" s="110" t="s">
        <v>5389</v>
      </c>
      <c r="C1347" s="110" t="s">
        <v>5390</v>
      </c>
      <c r="D1347" s="110"/>
      <c r="E1347" s="112" t="s">
        <v>5391</v>
      </c>
      <c r="F1347" s="112" t="s">
        <v>5392</v>
      </c>
      <c r="G1347" s="110" t="s">
        <v>5393</v>
      </c>
      <c r="H1347" s="110" t="s">
        <v>3089</v>
      </c>
      <c r="I1347" s="110" t="s">
        <v>70</v>
      </c>
      <c r="J1347" s="112" t="s">
        <v>5394</v>
      </c>
      <c r="K1347" s="110" t="s">
        <v>71</v>
      </c>
      <c r="L1347" s="110" t="s">
        <v>63</v>
      </c>
      <c r="M1347" s="110" t="s">
        <v>63</v>
      </c>
      <c r="N1347" s="110" t="s">
        <v>63</v>
      </c>
      <c r="O1347" s="110" t="s">
        <v>63</v>
      </c>
      <c r="P1347" s="110" t="s">
        <v>63</v>
      </c>
      <c r="Q1347" s="110" t="s">
        <v>63</v>
      </c>
      <c r="R1347" s="110" t="s">
        <v>63</v>
      </c>
      <c r="S1347" s="110" t="s">
        <v>63</v>
      </c>
      <c r="T1347" s="110" t="s">
        <v>63</v>
      </c>
      <c r="U1347" s="110" t="s">
        <v>63</v>
      </c>
      <c r="V1347" s="110" t="s">
        <v>72</v>
      </c>
      <c r="W1347" s="112" t="s">
        <v>3696</v>
      </c>
    </row>
    <row r="1348" ht="49.5" customHeight="1">
      <c r="A1348" s="110" t="s">
        <v>5395</v>
      </c>
      <c r="B1348" s="110" t="s">
        <v>5396</v>
      </c>
      <c r="C1348" s="110" t="s">
        <v>5397</v>
      </c>
      <c r="D1348" s="110"/>
      <c r="E1348" s="112" t="s">
        <v>5398</v>
      </c>
      <c r="F1348" s="112" t="s">
        <v>2498</v>
      </c>
      <c r="G1348" s="110" t="s">
        <v>5399</v>
      </c>
      <c r="H1348" s="110" t="s">
        <v>3089</v>
      </c>
      <c r="I1348" s="110" t="s">
        <v>70</v>
      </c>
      <c r="J1348" s="112" t="s">
        <v>5400</v>
      </c>
      <c r="K1348" s="110" t="s">
        <v>71</v>
      </c>
      <c r="L1348" s="110" t="s">
        <v>63</v>
      </c>
      <c r="M1348" s="110" t="s">
        <v>63</v>
      </c>
      <c r="N1348" s="110" t="s">
        <v>63</v>
      </c>
      <c r="O1348" s="110" t="s">
        <v>63</v>
      </c>
      <c r="P1348" s="110" t="s">
        <v>63</v>
      </c>
      <c r="Q1348" s="110" t="s">
        <v>63</v>
      </c>
      <c r="R1348" s="110" t="s">
        <v>63</v>
      </c>
      <c r="S1348" s="110" t="s">
        <v>63</v>
      </c>
      <c r="T1348" s="110" t="s">
        <v>63</v>
      </c>
      <c r="U1348" s="110" t="s">
        <v>63</v>
      </c>
      <c r="V1348" s="110" t="s">
        <v>72</v>
      </c>
      <c r="W1348" s="112" t="s">
        <v>3696</v>
      </c>
    </row>
    <row r="1349" ht="49.5" customHeight="1">
      <c r="A1349" s="110" t="s">
        <v>5401</v>
      </c>
      <c r="B1349" s="110" t="s">
        <v>5402</v>
      </c>
      <c r="C1349" s="110" t="s">
        <v>5403</v>
      </c>
      <c r="D1349" s="110"/>
      <c r="E1349" s="112" t="s">
        <v>5404</v>
      </c>
      <c r="F1349" s="112" t="s">
        <v>3915</v>
      </c>
      <c r="G1349" s="110" t="s">
        <v>1546</v>
      </c>
      <c r="H1349" s="110" t="s">
        <v>321</v>
      </c>
      <c r="I1349" s="110" t="s">
        <v>70</v>
      </c>
      <c r="J1349" s="112" t="s">
        <v>5405</v>
      </c>
      <c r="K1349" s="110" t="s">
        <v>71</v>
      </c>
      <c r="L1349" s="110" t="s">
        <v>63</v>
      </c>
      <c r="M1349" s="110" t="s">
        <v>63</v>
      </c>
      <c r="N1349" s="110" t="s">
        <v>63</v>
      </c>
      <c r="O1349" s="110" t="s">
        <v>63</v>
      </c>
      <c r="P1349" s="110" t="s">
        <v>63</v>
      </c>
      <c r="Q1349" s="110" t="s">
        <v>63</v>
      </c>
      <c r="R1349" s="110" t="s">
        <v>63</v>
      </c>
      <c r="S1349" s="110" t="s">
        <v>63</v>
      </c>
      <c r="T1349" s="110" t="s">
        <v>63</v>
      </c>
      <c r="U1349" s="110" t="s">
        <v>63</v>
      </c>
      <c r="V1349" s="110" t="s">
        <v>72</v>
      </c>
      <c r="W1349" s="112" t="s">
        <v>3696</v>
      </c>
    </row>
    <row r="1350" ht="49.5" customHeight="1">
      <c r="A1350" s="110" t="s">
        <v>5406</v>
      </c>
      <c r="B1350" s="110" t="s">
        <v>5407</v>
      </c>
      <c r="C1350" s="110" t="s">
        <v>5408</v>
      </c>
      <c r="D1350" s="110"/>
      <c r="E1350" s="112" t="s">
        <v>5409</v>
      </c>
      <c r="F1350" s="112" t="s">
        <v>5410</v>
      </c>
      <c r="G1350" s="110" t="s">
        <v>5410</v>
      </c>
      <c r="H1350" s="110" t="s">
        <v>321</v>
      </c>
      <c r="I1350" s="110" t="s">
        <v>70</v>
      </c>
      <c r="J1350" s="112" t="s">
        <v>5411</v>
      </c>
      <c r="K1350" s="110" t="s">
        <v>71</v>
      </c>
      <c r="L1350" s="110" t="s">
        <v>63</v>
      </c>
      <c r="M1350" s="110" t="s">
        <v>63</v>
      </c>
      <c r="N1350" s="110" t="s">
        <v>63</v>
      </c>
      <c r="O1350" s="110" t="s">
        <v>63</v>
      </c>
      <c r="P1350" s="110" t="s">
        <v>63</v>
      </c>
      <c r="Q1350" s="110" t="s">
        <v>63</v>
      </c>
      <c r="R1350" s="110" t="s">
        <v>63</v>
      </c>
      <c r="S1350" s="110" t="s">
        <v>63</v>
      </c>
      <c r="T1350" s="110" t="s">
        <v>63</v>
      </c>
      <c r="U1350" s="110" t="s">
        <v>63</v>
      </c>
      <c r="V1350" s="110" t="s">
        <v>72</v>
      </c>
      <c r="W1350" s="112" t="s">
        <v>3696</v>
      </c>
    </row>
    <row r="1351" ht="49.5" customHeight="1">
      <c r="A1351" s="110" t="s">
        <v>5412</v>
      </c>
      <c r="B1351" s="110" t="s">
        <v>5413</v>
      </c>
      <c r="C1351" s="110" t="s">
        <v>5414</v>
      </c>
      <c r="D1351" s="110"/>
      <c r="E1351" s="112" t="s">
        <v>2343</v>
      </c>
      <c r="F1351" s="112" t="s">
        <v>5415</v>
      </c>
      <c r="G1351" s="110" t="s">
        <v>5415</v>
      </c>
      <c r="H1351" s="110" t="s">
        <v>321</v>
      </c>
      <c r="I1351" s="110" t="s">
        <v>70</v>
      </c>
      <c r="J1351" s="112" t="s">
        <v>5411</v>
      </c>
      <c r="K1351" s="110" t="s">
        <v>71</v>
      </c>
      <c r="L1351" s="110" t="s">
        <v>63</v>
      </c>
      <c r="M1351" s="110" t="s">
        <v>63</v>
      </c>
      <c r="N1351" s="110" t="s">
        <v>63</v>
      </c>
      <c r="O1351" s="110" t="s">
        <v>63</v>
      </c>
      <c r="P1351" s="110" t="s">
        <v>63</v>
      </c>
      <c r="Q1351" s="110" t="s">
        <v>63</v>
      </c>
      <c r="R1351" s="110" t="s">
        <v>63</v>
      </c>
      <c r="S1351" s="110" t="s">
        <v>63</v>
      </c>
      <c r="T1351" s="110" t="s">
        <v>63</v>
      </c>
      <c r="U1351" s="110" t="s">
        <v>63</v>
      </c>
      <c r="V1351" s="110" t="s">
        <v>72</v>
      </c>
      <c r="W1351" s="112" t="s">
        <v>3696</v>
      </c>
    </row>
    <row r="1352" ht="49.5" customHeight="1">
      <c r="A1352" s="110" t="s">
        <v>5416</v>
      </c>
      <c r="B1352" s="110" t="s">
        <v>5417</v>
      </c>
      <c r="C1352" s="110" t="s">
        <v>5418</v>
      </c>
      <c r="D1352" s="110"/>
      <c r="E1352" s="112" t="s">
        <v>5419</v>
      </c>
      <c r="F1352" s="112" t="s">
        <v>5420</v>
      </c>
      <c r="G1352" s="110" t="s">
        <v>5420</v>
      </c>
      <c r="H1352" s="110" t="s">
        <v>321</v>
      </c>
      <c r="I1352" s="110" t="s">
        <v>70</v>
      </c>
      <c r="J1352" s="112" t="s">
        <v>5421</v>
      </c>
      <c r="K1352" s="110" t="s">
        <v>71</v>
      </c>
      <c r="L1352" s="110" t="s">
        <v>63</v>
      </c>
      <c r="M1352" s="110" t="s">
        <v>63</v>
      </c>
      <c r="N1352" s="110" t="s">
        <v>63</v>
      </c>
      <c r="O1352" s="110" t="s">
        <v>63</v>
      </c>
      <c r="P1352" s="110" t="s">
        <v>63</v>
      </c>
      <c r="Q1352" s="110" t="s">
        <v>63</v>
      </c>
      <c r="R1352" s="110" t="s">
        <v>63</v>
      </c>
      <c r="S1352" s="110" t="s">
        <v>63</v>
      </c>
      <c r="T1352" s="110" t="s">
        <v>63</v>
      </c>
      <c r="U1352" s="110" t="s">
        <v>63</v>
      </c>
      <c r="V1352" s="110" t="s">
        <v>72</v>
      </c>
      <c r="W1352" s="112" t="s">
        <v>3696</v>
      </c>
    </row>
    <row r="1353" ht="49.5" customHeight="1">
      <c r="A1353" s="110" t="s">
        <v>5422</v>
      </c>
      <c r="B1353" s="110" t="s">
        <v>5423</v>
      </c>
      <c r="C1353" s="110" t="s">
        <v>5424</v>
      </c>
      <c r="D1353" s="110"/>
      <c r="E1353" s="112" t="s">
        <v>5425</v>
      </c>
      <c r="F1353" s="112" t="s">
        <v>5426</v>
      </c>
      <c r="G1353" s="110" t="s">
        <v>1198</v>
      </c>
      <c r="H1353" s="110" t="s">
        <v>321</v>
      </c>
      <c r="I1353" s="110" t="s">
        <v>70</v>
      </c>
      <c r="J1353" s="112" t="s">
        <v>5427</v>
      </c>
      <c r="K1353" s="110" t="s">
        <v>71</v>
      </c>
      <c r="L1353" s="110" t="s">
        <v>63</v>
      </c>
      <c r="M1353" s="110" t="s">
        <v>63</v>
      </c>
      <c r="N1353" s="110" t="s">
        <v>63</v>
      </c>
      <c r="O1353" s="110" t="s">
        <v>63</v>
      </c>
      <c r="P1353" s="110" t="s">
        <v>63</v>
      </c>
      <c r="Q1353" s="110" t="s">
        <v>63</v>
      </c>
      <c r="R1353" s="110" t="s">
        <v>63</v>
      </c>
      <c r="S1353" s="110" t="s">
        <v>63</v>
      </c>
      <c r="T1353" s="110" t="s">
        <v>63</v>
      </c>
      <c r="U1353" s="110" t="s">
        <v>63</v>
      </c>
      <c r="V1353" s="110" t="s">
        <v>72</v>
      </c>
      <c r="W1353" s="112" t="s">
        <v>3696</v>
      </c>
    </row>
    <row r="1354" ht="49.5" customHeight="1">
      <c r="A1354" s="110" t="s">
        <v>5428</v>
      </c>
      <c r="B1354" s="110" t="s">
        <v>5429</v>
      </c>
      <c r="C1354" s="110" t="s">
        <v>5430</v>
      </c>
      <c r="D1354" s="110"/>
      <c r="E1354" s="112" t="s">
        <v>5431</v>
      </c>
      <c r="F1354" s="112" t="s">
        <v>5432</v>
      </c>
      <c r="G1354" s="110" t="s">
        <v>144</v>
      </c>
      <c r="H1354" s="110" t="s">
        <v>321</v>
      </c>
      <c r="I1354" s="110" t="s">
        <v>70</v>
      </c>
      <c r="J1354" s="112" t="s">
        <v>5433</v>
      </c>
      <c r="K1354" s="110" t="s">
        <v>71</v>
      </c>
      <c r="L1354" s="110" t="s">
        <v>63</v>
      </c>
      <c r="M1354" s="110" t="s">
        <v>63</v>
      </c>
      <c r="N1354" s="110" t="s">
        <v>63</v>
      </c>
      <c r="O1354" s="110" t="s">
        <v>63</v>
      </c>
      <c r="P1354" s="110" t="s">
        <v>63</v>
      </c>
      <c r="Q1354" s="110" t="s">
        <v>63</v>
      </c>
      <c r="R1354" s="110" t="s">
        <v>63</v>
      </c>
      <c r="S1354" s="110" t="s">
        <v>63</v>
      </c>
      <c r="T1354" s="110" t="s">
        <v>63</v>
      </c>
      <c r="U1354" s="110" t="s">
        <v>63</v>
      </c>
      <c r="V1354" s="110" t="s">
        <v>72</v>
      </c>
      <c r="W1354" s="112" t="s">
        <v>3696</v>
      </c>
    </row>
    <row r="1355" ht="49.5" customHeight="1">
      <c r="A1355" s="110" t="s">
        <v>5434</v>
      </c>
      <c r="B1355" s="110" t="s">
        <v>5435</v>
      </c>
      <c r="C1355" s="110" t="s">
        <v>5436</v>
      </c>
      <c r="D1355" s="110"/>
      <c r="E1355" s="112" t="s">
        <v>5437</v>
      </c>
      <c r="F1355" s="112" t="s">
        <v>5438</v>
      </c>
      <c r="G1355" s="110" t="s">
        <v>308</v>
      </c>
      <c r="H1355" s="110" t="s">
        <v>3089</v>
      </c>
      <c r="I1355" s="110" t="s">
        <v>70</v>
      </c>
      <c r="J1355" s="112" t="s">
        <v>5439</v>
      </c>
      <c r="K1355" s="110" t="s">
        <v>71</v>
      </c>
      <c r="L1355" s="110" t="s">
        <v>63</v>
      </c>
      <c r="M1355" s="110" t="s">
        <v>63</v>
      </c>
      <c r="N1355" s="110" t="s">
        <v>63</v>
      </c>
      <c r="O1355" s="110" t="s">
        <v>63</v>
      </c>
      <c r="P1355" s="110" t="s">
        <v>63</v>
      </c>
      <c r="Q1355" s="110" t="s">
        <v>63</v>
      </c>
      <c r="R1355" s="110" t="s">
        <v>63</v>
      </c>
      <c r="S1355" s="110" t="s">
        <v>63</v>
      </c>
      <c r="T1355" s="110" t="s">
        <v>63</v>
      </c>
      <c r="U1355" s="110" t="s">
        <v>63</v>
      </c>
      <c r="V1355" s="110" t="s">
        <v>72</v>
      </c>
      <c r="W1355" s="112" t="s">
        <v>3696</v>
      </c>
    </row>
    <row r="1356" ht="49.5" customHeight="1">
      <c r="A1356" s="110" t="s">
        <v>5440</v>
      </c>
      <c r="B1356" s="110" t="s">
        <v>5441</v>
      </c>
      <c r="C1356" s="110" t="s">
        <v>5442</v>
      </c>
      <c r="D1356" s="110"/>
      <c r="E1356" s="112" t="s">
        <v>5443</v>
      </c>
      <c r="F1356" s="112" t="s">
        <v>5444</v>
      </c>
      <c r="G1356" s="110" t="s">
        <v>90</v>
      </c>
      <c r="H1356" s="110" t="s">
        <v>3089</v>
      </c>
      <c r="I1356" s="110" t="s">
        <v>70</v>
      </c>
      <c r="J1356" s="112" t="s">
        <v>5445</v>
      </c>
      <c r="K1356" s="110" t="s">
        <v>71</v>
      </c>
      <c r="L1356" s="110" t="s">
        <v>63</v>
      </c>
      <c r="M1356" s="110" t="s">
        <v>63</v>
      </c>
      <c r="N1356" s="110" t="s">
        <v>63</v>
      </c>
      <c r="O1356" s="110" t="s">
        <v>63</v>
      </c>
      <c r="P1356" s="110" t="s">
        <v>63</v>
      </c>
      <c r="Q1356" s="110" t="s">
        <v>63</v>
      </c>
      <c r="R1356" s="110" t="s">
        <v>63</v>
      </c>
      <c r="S1356" s="110" t="s">
        <v>63</v>
      </c>
      <c r="T1356" s="110" t="s">
        <v>63</v>
      </c>
      <c r="U1356" s="110" t="s">
        <v>63</v>
      </c>
      <c r="V1356" s="110" t="s">
        <v>72</v>
      </c>
      <c r="W1356" s="112" t="s">
        <v>3696</v>
      </c>
    </row>
    <row r="1357" ht="49.5" customHeight="1">
      <c r="A1357" s="110" t="s">
        <v>5446</v>
      </c>
      <c r="B1357" s="110" t="s">
        <v>5447</v>
      </c>
      <c r="C1357" s="110" t="s">
        <v>5448</v>
      </c>
      <c r="D1357" s="110"/>
      <c r="E1357" s="112" t="s">
        <v>5449</v>
      </c>
      <c r="F1357" s="112" t="s">
        <v>5450</v>
      </c>
      <c r="G1357" s="110" t="s">
        <v>138</v>
      </c>
      <c r="H1357" s="110" t="s">
        <v>321</v>
      </c>
      <c r="I1357" s="110" t="s">
        <v>70</v>
      </c>
      <c r="J1357" s="112" t="s">
        <v>5451</v>
      </c>
      <c r="K1357" s="110" t="s">
        <v>71</v>
      </c>
      <c r="L1357" s="110" t="s">
        <v>63</v>
      </c>
      <c r="M1357" s="110" t="s">
        <v>63</v>
      </c>
      <c r="N1357" s="110" t="s">
        <v>63</v>
      </c>
      <c r="O1357" s="110" t="s">
        <v>63</v>
      </c>
      <c r="P1357" s="110" t="s">
        <v>63</v>
      </c>
      <c r="Q1357" s="110" t="s">
        <v>63</v>
      </c>
      <c r="R1357" s="110" t="s">
        <v>63</v>
      </c>
      <c r="S1357" s="110" t="s">
        <v>63</v>
      </c>
      <c r="T1357" s="110" t="s">
        <v>63</v>
      </c>
      <c r="U1357" s="110" t="s">
        <v>63</v>
      </c>
      <c r="V1357" s="110" t="s">
        <v>72</v>
      </c>
      <c r="W1357" s="112" t="s">
        <v>3696</v>
      </c>
    </row>
    <row r="1358" ht="49.5" customHeight="1">
      <c r="A1358" s="110" t="s">
        <v>5452</v>
      </c>
      <c r="B1358" s="110" t="s">
        <v>5453</v>
      </c>
      <c r="C1358" s="110" t="s">
        <v>5454</v>
      </c>
      <c r="D1358" s="110"/>
      <c r="E1358" s="112" t="s">
        <v>5455</v>
      </c>
      <c r="F1358" s="112" t="s">
        <v>5456</v>
      </c>
      <c r="G1358" s="110" t="s">
        <v>1209</v>
      </c>
      <c r="H1358" s="110" t="s">
        <v>321</v>
      </c>
      <c r="I1358" s="110" t="s">
        <v>70</v>
      </c>
      <c r="J1358" s="112" t="s">
        <v>5457</v>
      </c>
      <c r="K1358" s="110" t="s">
        <v>71</v>
      </c>
      <c r="L1358" s="110" t="s">
        <v>63</v>
      </c>
      <c r="M1358" s="110" t="s">
        <v>63</v>
      </c>
      <c r="N1358" s="110" t="s">
        <v>63</v>
      </c>
      <c r="O1358" s="110" t="s">
        <v>63</v>
      </c>
      <c r="P1358" s="110" t="s">
        <v>63</v>
      </c>
      <c r="Q1358" s="110" t="s">
        <v>63</v>
      </c>
      <c r="R1358" s="110" t="s">
        <v>63</v>
      </c>
      <c r="S1358" s="110" t="s">
        <v>63</v>
      </c>
      <c r="T1358" s="110" t="s">
        <v>63</v>
      </c>
      <c r="U1358" s="110" t="s">
        <v>63</v>
      </c>
      <c r="V1358" s="110" t="s">
        <v>72</v>
      </c>
      <c r="W1358" s="112" t="s">
        <v>3696</v>
      </c>
    </row>
    <row r="1359" ht="49.5" customHeight="1">
      <c r="A1359" s="110" t="s">
        <v>5458</v>
      </c>
      <c r="B1359" s="110" t="s">
        <v>5459</v>
      </c>
      <c r="C1359" s="110" t="s">
        <v>5460</v>
      </c>
      <c r="D1359" s="110"/>
      <c r="E1359" s="112" t="s">
        <v>5461</v>
      </c>
      <c r="F1359" s="112" t="s">
        <v>5462</v>
      </c>
      <c r="G1359" s="110" t="s">
        <v>5463</v>
      </c>
      <c r="H1359" s="110" t="s">
        <v>3089</v>
      </c>
      <c r="I1359" s="110" t="s">
        <v>70</v>
      </c>
      <c r="J1359" s="112" t="s">
        <v>5464</v>
      </c>
      <c r="K1359" s="110" t="s">
        <v>71</v>
      </c>
      <c r="L1359" s="110" t="s">
        <v>63</v>
      </c>
      <c r="M1359" s="110" t="s">
        <v>63</v>
      </c>
      <c r="N1359" s="110" t="s">
        <v>63</v>
      </c>
      <c r="O1359" s="110" t="s">
        <v>63</v>
      </c>
      <c r="P1359" s="110" t="s">
        <v>63</v>
      </c>
      <c r="Q1359" s="110" t="s">
        <v>63</v>
      </c>
      <c r="R1359" s="110" t="s">
        <v>63</v>
      </c>
      <c r="S1359" s="110" t="s">
        <v>63</v>
      </c>
      <c r="T1359" s="110" t="s">
        <v>63</v>
      </c>
      <c r="U1359" s="110" t="s">
        <v>63</v>
      </c>
      <c r="V1359" s="110" t="s">
        <v>72</v>
      </c>
      <c r="W1359" s="112" t="s">
        <v>3696</v>
      </c>
    </row>
    <row r="1360" ht="49.5" customHeight="1">
      <c r="A1360" s="110" t="s">
        <v>5465</v>
      </c>
      <c r="B1360" s="110" t="s">
        <v>5466</v>
      </c>
      <c r="C1360" s="110" t="s">
        <v>5467</v>
      </c>
      <c r="D1360" s="110"/>
      <c r="E1360" s="112" t="s">
        <v>5468</v>
      </c>
      <c r="F1360" s="112" t="s">
        <v>5469</v>
      </c>
      <c r="G1360" s="110" t="s">
        <v>5470</v>
      </c>
      <c r="H1360" s="110" t="s">
        <v>321</v>
      </c>
      <c r="I1360" s="110" t="s">
        <v>70</v>
      </c>
      <c r="J1360" s="112" t="s">
        <v>5471</v>
      </c>
      <c r="K1360" s="110" t="s">
        <v>71</v>
      </c>
      <c r="L1360" s="110" t="s">
        <v>63</v>
      </c>
      <c r="M1360" s="110" t="s">
        <v>63</v>
      </c>
      <c r="N1360" s="110" t="s">
        <v>63</v>
      </c>
      <c r="O1360" s="110" t="s">
        <v>63</v>
      </c>
      <c r="P1360" s="110" t="s">
        <v>63</v>
      </c>
      <c r="Q1360" s="110" t="s">
        <v>63</v>
      </c>
      <c r="R1360" s="110" t="s">
        <v>63</v>
      </c>
      <c r="S1360" s="110" t="s">
        <v>63</v>
      </c>
      <c r="T1360" s="110" t="s">
        <v>63</v>
      </c>
      <c r="U1360" s="110" t="s">
        <v>63</v>
      </c>
      <c r="V1360" s="110" t="s">
        <v>72</v>
      </c>
      <c r="W1360" s="112" t="s">
        <v>3696</v>
      </c>
    </row>
    <row r="1361" ht="49.5" customHeight="1">
      <c r="A1361" s="110" t="s">
        <v>5472</v>
      </c>
      <c r="B1361" s="110" t="s">
        <v>5473</v>
      </c>
      <c r="C1361" s="110" t="s">
        <v>5474</v>
      </c>
      <c r="D1361" s="110"/>
      <c r="E1361" s="112" t="s">
        <v>5475</v>
      </c>
      <c r="F1361" s="112" t="s">
        <v>5476</v>
      </c>
      <c r="G1361" s="110" t="s">
        <v>138</v>
      </c>
      <c r="H1361" s="110" t="s">
        <v>321</v>
      </c>
      <c r="I1361" s="110" t="s">
        <v>70</v>
      </c>
      <c r="J1361" s="112" t="s">
        <v>5451</v>
      </c>
      <c r="K1361" s="110" t="s">
        <v>71</v>
      </c>
      <c r="L1361" s="110" t="s">
        <v>63</v>
      </c>
      <c r="M1361" s="110" t="s">
        <v>63</v>
      </c>
      <c r="N1361" s="110" t="s">
        <v>63</v>
      </c>
      <c r="O1361" s="110" t="s">
        <v>63</v>
      </c>
      <c r="P1361" s="110" t="s">
        <v>63</v>
      </c>
      <c r="Q1361" s="110" t="s">
        <v>63</v>
      </c>
      <c r="R1361" s="110" t="s">
        <v>63</v>
      </c>
      <c r="S1361" s="110" t="s">
        <v>63</v>
      </c>
      <c r="T1361" s="110" t="s">
        <v>63</v>
      </c>
      <c r="U1361" s="110" t="s">
        <v>63</v>
      </c>
      <c r="V1361" s="110" t="s">
        <v>72</v>
      </c>
      <c r="W1361" s="112" t="s">
        <v>3696</v>
      </c>
    </row>
    <row r="1362" ht="49.5" customHeight="1">
      <c r="A1362" s="110" t="s">
        <v>5477</v>
      </c>
      <c r="B1362" s="110" t="s">
        <v>5478</v>
      </c>
      <c r="C1362" s="110" t="s">
        <v>5479</v>
      </c>
      <c r="D1362" s="110"/>
      <c r="E1362" s="112" t="s">
        <v>5480</v>
      </c>
      <c r="F1362" s="112" t="s">
        <v>5481</v>
      </c>
      <c r="G1362" s="110" t="s">
        <v>5482</v>
      </c>
      <c r="H1362" s="110" t="s">
        <v>321</v>
      </c>
      <c r="I1362" s="110" t="s">
        <v>70</v>
      </c>
      <c r="J1362" s="112" t="s">
        <v>5464</v>
      </c>
      <c r="K1362" s="110" t="s">
        <v>71</v>
      </c>
      <c r="L1362" s="110" t="s">
        <v>63</v>
      </c>
      <c r="M1362" s="110" t="s">
        <v>63</v>
      </c>
      <c r="N1362" s="110" t="s">
        <v>63</v>
      </c>
      <c r="O1362" s="110" t="s">
        <v>63</v>
      </c>
      <c r="P1362" s="110" t="s">
        <v>63</v>
      </c>
      <c r="Q1362" s="110" t="s">
        <v>63</v>
      </c>
      <c r="R1362" s="110" t="s">
        <v>63</v>
      </c>
      <c r="S1362" s="110" t="s">
        <v>63</v>
      </c>
      <c r="T1362" s="110" t="s">
        <v>63</v>
      </c>
      <c r="U1362" s="110" t="s">
        <v>63</v>
      </c>
      <c r="V1362" s="110" t="s">
        <v>72</v>
      </c>
      <c r="W1362" s="112" t="s">
        <v>3696</v>
      </c>
    </row>
    <row r="1363" ht="49.5" customHeight="1">
      <c r="A1363" s="110" t="s">
        <v>5483</v>
      </c>
      <c r="B1363" s="110" t="s">
        <v>5484</v>
      </c>
      <c r="C1363" s="110" t="s">
        <v>5485</v>
      </c>
      <c r="D1363" s="110"/>
      <c r="E1363" s="112" t="s">
        <v>5486</v>
      </c>
      <c r="F1363" s="112" t="s">
        <v>5487</v>
      </c>
      <c r="G1363" s="110" t="s">
        <v>138</v>
      </c>
      <c r="H1363" s="110" t="s">
        <v>321</v>
      </c>
      <c r="I1363" s="110" t="s">
        <v>70</v>
      </c>
      <c r="J1363" s="112" t="s">
        <v>5488</v>
      </c>
      <c r="K1363" s="110" t="s">
        <v>71</v>
      </c>
      <c r="L1363" s="110" t="s">
        <v>63</v>
      </c>
      <c r="M1363" s="110" t="s">
        <v>63</v>
      </c>
      <c r="N1363" s="110" t="s">
        <v>63</v>
      </c>
      <c r="O1363" s="110" t="s">
        <v>63</v>
      </c>
      <c r="P1363" s="110" t="s">
        <v>63</v>
      </c>
      <c r="Q1363" s="110" t="s">
        <v>63</v>
      </c>
      <c r="R1363" s="110" t="s">
        <v>63</v>
      </c>
      <c r="S1363" s="110" t="s">
        <v>63</v>
      </c>
      <c r="T1363" s="110" t="s">
        <v>63</v>
      </c>
      <c r="U1363" s="110" t="s">
        <v>63</v>
      </c>
      <c r="V1363" s="110" t="s">
        <v>72</v>
      </c>
      <c r="W1363" s="112" t="s">
        <v>3696</v>
      </c>
    </row>
    <row r="1364" ht="49.5" customHeight="1">
      <c r="A1364" s="110" t="s">
        <v>5489</v>
      </c>
      <c r="B1364" s="110" t="s">
        <v>5490</v>
      </c>
      <c r="C1364" s="110" t="s">
        <v>5491</v>
      </c>
      <c r="D1364" s="110"/>
      <c r="E1364" s="112" t="s">
        <v>5492</v>
      </c>
      <c r="F1364" s="112" t="s">
        <v>5493</v>
      </c>
      <c r="G1364" s="110" t="s">
        <v>5494</v>
      </c>
      <c r="H1364" s="110" t="s">
        <v>321</v>
      </c>
      <c r="I1364" s="110" t="s">
        <v>70</v>
      </c>
      <c r="J1364" s="112" t="s">
        <v>5495</v>
      </c>
      <c r="K1364" s="110" t="s">
        <v>71</v>
      </c>
      <c r="L1364" s="110" t="s">
        <v>63</v>
      </c>
      <c r="M1364" s="110" t="s">
        <v>63</v>
      </c>
      <c r="N1364" s="110" t="s">
        <v>63</v>
      </c>
      <c r="O1364" s="110" t="s">
        <v>63</v>
      </c>
      <c r="P1364" s="110" t="s">
        <v>63</v>
      </c>
      <c r="Q1364" s="110" t="s">
        <v>63</v>
      </c>
      <c r="R1364" s="110" t="s">
        <v>63</v>
      </c>
      <c r="S1364" s="110" t="s">
        <v>63</v>
      </c>
      <c r="T1364" s="110" t="s">
        <v>63</v>
      </c>
      <c r="U1364" s="110" t="s">
        <v>63</v>
      </c>
      <c r="V1364" s="110" t="s">
        <v>72</v>
      </c>
      <c r="W1364" s="112" t="s">
        <v>3696</v>
      </c>
    </row>
    <row r="1365" ht="49.5" customHeight="1">
      <c r="A1365" s="110" t="s">
        <v>5496</v>
      </c>
      <c r="B1365" s="110" t="s">
        <v>5497</v>
      </c>
      <c r="C1365" s="110" t="s">
        <v>5498</v>
      </c>
      <c r="D1365" s="110"/>
      <c r="E1365" s="112" t="s">
        <v>5499</v>
      </c>
      <c r="F1365" s="112" t="s">
        <v>5500</v>
      </c>
      <c r="G1365" s="110" t="s">
        <v>165</v>
      </c>
      <c r="H1365" s="110" t="s">
        <v>321</v>
      </c>
      <c r="I1365" s="110" t="s">
        <v>70</v>
      </c>
      <c r="J1365" s="112" t="s">
        <v>5501</v>
      </c>
      <c r="K1365" s="110" t="s">
        <v>71</v>
      </c>
      <c r="L1365" s="110" t="s">
        <v>63</v>
      </c>
      <c r="M1365" s="110" t="s">
        <v>63</v>
      </c>
      <c r="N1365" s="110" t="s">
        <v>63</v>
      </c>
      <c r="O1365" s="110" t="s">
        <v>63</v>
      </c>
      <c r="P1365" s="110" t="s">
        <v>63</v>
      </c>
      <c r="Q1365" s="110" t="s">
        <v>63</v>
      </c>
      <c r="R1365" s="110" t="s">
        <v>63</v>
      </c>
      <c r="S1365" s="110" t="s">
        <v>63</v>
      </c>
      <c r="T1365" s="110" t="s">
        <v>63</v>
      </c>
      <c r="U1365" s="110" t="s">
        <v>63</v>
      </c>
      <c r="V1365" s="110" t="s">
        <v>72</v>
      </c>
      <c r="W1365" s="112" t="s">
        <v>3696</v>
      </c>
    </row>
    <row r="1366" ht="49.5" customHeight="1">
      <c r="A1366" s="110" t="s">
        <v>5502</v>
      </c>
      <c r="B1366" s="110" t="s">
        <v>5503</v>
      </c>
      <c r="C1366" s="110" t="s">
        <v>5504</v>
      </c>
      <c r="D1366" s="110"/>
      <c r="E1366" s="112" t="s">
        <v>5505</v>
      </c>
      <c r="F1366" s="112" t="s">
        <v>5506</v>
      </c>
      <c r="G1366" s="110" t="s">
        <v>138</v>
      </c>
      <c r="H1366" s="110" t="s">
        <v>321</v>
      </c>
      <c r="I1366" s="110" t="s">
        <v>70</v>
      </c>
      <c r="J1366" s="112" t="s">
        <v>5471</v>
      </c>
      <c r="K1366" s="110" t="s">
        <v>71</v>
      </c>
      <c r="L1366" s="110" t="s">
        <v>63</v>
      </c>
      <c r="M1366" s="110" t="s">
        <v>63</v>
      </c>
      <c r="N1366" s="110" t="s">
        <v>63</v>
      </c>
      <c r="O1366" s="110" t="s">
        <v>63</v>
      </c>
      <c r="P1366" s="110" t="s">
        <v>63</v>
      </c>
      <c r="Q1366" s="110" t="s">
        <v>63</v>
      </c>
      <c r="R1366" s="110" t="s">
        <v>63</v>
      </c>
      <c r="S1366" s="110" t="s">
        <v>63</v>
      </c>
      <c r="T1366" s="110" t="s">
        <v>63</v>
      </c>
      <c r="U1366" s="110" t="s">
        <v>63</v>
      </c>
      <c r="V1366" s="110" t="s">
        <v>72</v>
      </c>
      <c r="W1366" s="112" t="s">
        <v>3696</v>
      </c>
    </row>
    <row r="1367" ht="49.5" customHeight="1">
      <c r="A1367" s="110" t="s">
        <v>5507</v>
      </c>
      <c r="B1367" s="110" t="s">
        <v>5508</v>
      </c>
      <c r="C1367" s="110" t="s">
        <v>5509</v>
      </c>
      <c r="D1367" s="110"/>
      <c r="E1367" s="112" t="s">
        <v>5510</v>
      </c>
      <c r="F1367" s="112" t="s">
        <v>5511</v>
      </c>
      <c r="G1367" s="110" t="s">
        <v>5512</v>
      </c>
      <c r="H1367" s="110" t="s">
        <v>321</v>
      </c>
      <c r="I1367" s="110" t="s">
        <v>70</v>
      </c>
      <c r="J1367" s="112" t="s">
        <v>5513</v>
      </c>
      <c r="K1367" s="110" t="s">
        <v>71</v>
      </c>
      <c r="L1367" s="110" t="s">
        <v>63</v>
      </c>
      <c r="M1367" s="110" t="s">
        <v>63</v>
      </c>
      <c r="N1367" s="110" t="s">
        <v>63</v>
      </c>
      <c r="O1367" s="110" t="s">
        <v>63</v>
      </c>
      <c r="P1367" s="110" t="s">
        <v>63</v>
      </c>
      <c r="Q1367" s="110" t="s">
        <v>63</v>
      </c>
      <c r="R1367" s="110" t="s">
        <v>63</v>
      </c>
      <c r="S1367" s="110" t="s">
        <v>63</v>
      </c>
      <c r="T1367" s="110" t="s">
        <v>63</v>
      </c>
      <c r="U1367" s="110" t="s">
        <v>63</v>
      </c>
      <c r="V1367" s="110" t="s">
        <v>72</v>
      </c>
      <c r="W1367" s="112" t="s">
        <v>3696</v>
      </c>
    </row>
    <row r="1368" ht="49.5" customHeight="1">
      <c r="A1368" s="110" t="s">
        <v>5514</v>
      </c>
      <c r="B1368" s="110" t="s">
        <v>5515</v>
      </c>
      <c r="C1368" s="110" t="s">
        <v>5516</v>
      </c>
      <c r="D1368" s="110"/>
      <c r="E1368" s="112" t="s">
        <v>5517</v>
      </c>
      <c r="F1368" s="112" t="s">
        <v>5518</v>
      </c>
      <c r="G1368" s="110" t="s">
        <v>5519</v>
      </c>
      <c r="H1368" s="110" t="s">
        <v>3089</v>
      </c>
      <c r="I1368" s="110" t="s">
        <v>70</v>
      </c>
      <c r="J1368" s="112" t="s">
        <v>5520</v>
      </c>
      <c r="K1368" s="110" t="s">
        <v>71</v>
      </c>
      <c r="L1368" s="110" t="s">
        <v>63</v>
      </c>
      <c r="M1368" s="110" t="s">
        <v>63</v>
      </c>
      <c r="N1368" s="110" t="s">
        <v>63</v>
      </c>
      <c r="O1368" s="110" t="s">
        <v>63</v>
      </c>
      <c r="P1368" s="110" t="s">
        <v>63</v>
      </c>
      <c r="Q1368" s="110" t="s">
        <v>63</v>
      </c>
      <c r="R1368" s="110" t="s">
        <v>63</v>
      </c>
      <c r="S1368" s="110" t="s">
        <v>63</v>
      </c>
      <c r="T1368" s="110" t="s">
        <v>63</v>
      </c>
      <c r="U1368" s="110" t="s">
        <v>63</v>
      </c>
      <c r="V1368" s="110" t="s">
        <v>72</v>
      </c>
      <c r="W1368" s="112" t="s">
        <v>3696</v>
      </c>
    </row>
    <row r="1369" ht="49.5" customHeight="1">
      <c r="A1369" s="110" t="s">
        <v>5521</v>
      </c>
      <c r="B1369" s="110" t="s">
        <v>5522</v>
      </c>
      <c r="C1369" s="110" t="s">
        <v>5523</v>
      </c>
      <c r="D1369" s="110"/>
      <c r="E1369" s="112" t="s">
        <v>5524</v>
      </c>
      <c r="F1369" s="112" t="s">
        <v>5525</v>
      </c>
      <c r="G1369" s="110" t="s">
        <v>5525</v>
      </c>
      <c r="H1369" s="110" t="s">
        <v>321</v>
      </c>
      <c r="I1369" s="110" t="s">
        <v>70</v>
      </c>
      <c r="J1369" s="112" t="s">
        <v>5526</v>
      </c>
      <c r="K1369" s="110" t="s">
        <v>71</v>
      </c>
      <c r="L1369" s="110" t="s">
        <v>63</v>
      </c>
      <c r="M1369" s="110" t="s">
        <v>63</v>
      </c>
      <c r="N1369" s="110" t="s">
        <v>63</v>
      </c>
      <c r="O1369" s="110" t="s">
        <v>63</v>
      </c>
      <c r="P1369" s="110" t="s">
        <v>63</v>
      </c>
      <c r="Q1369" s="110" t="s">
        <v>63</v>
      </c>
      <c r="R1369" s="110" t="s">
        <v>63</v>
      </c>
      <c r="S1369" s="110" t="s">
        <v>63</v>
      </c>
      <c r="T1369" s="110" t="s">
        <v>63</v>
      </c>
      <c r="U1369" s="110" t="s">
        <v>63</v>
      </c>
      <c r="V1369" s="110" t="s">
        <v>72</v>
      </c>
      <c r="W1369" s="112" t="s">
        <v>3696</v>
      </c>
    </row>
    <row r="1370" ht="49.5" customHeight="1">
      <c r="A1370" s="110" t="s">
        <v>5527</v>
      </c>
      <c r="B1370" s="110" t="s">
        <v>5528</v>
      </c>
      <c r="C1370" s="110" t="s">
        <v>5529</v>
      </c>
      <c r="D1370" s="110"/>
      <c r="E1370" s="112" t="s">
        <v>5530</v>
      </c>
      <c r="F1370" s="112" t="s">
        <v>5531</v>
      </c>
      <c r="G1370" s="110" t="s">
        <v>5531</v>
      </c>
      <c r="H1370" s="110" t="s">
        <v>3089</v>
      </c>
      <c r="I1370" s="110" t="s">
        <v>70</v>
      </c>
      <c r="J1370" s="112" t="s">
        <v>5501</v>
      </c>
      <c r="K1370" s="110" t="s">
        <v>71</v>
      </c>
      <c r="L1370" s="110" t="s">
        <v>63</v>
      </c>
      <c r="M1370" s="110" t="s">
        <v>63</v>
      </c>
      <c r="N1370" s="110" t="s">
        <v>63</v>
      </c>
      <c r="O1370" s="110" t="s">
        <v>63</v>
      </c>
      <c r="P1370" s="110" t="s">
        <v>63</v>
      </c>
      <c r="Q1370" s="110" t="s">
        <v>63</v>
      </c>
      <c r="R1370" s="110" t="s">
        <v>63</v>
      </c>
      <c r="S1370" s="110" t="s">
        <v>63</v>
      </c>
      <c r="T1370" s="110" t="s">
        <v>63</v>
      </c>
      <c r="U1370" s="110" t="s">
        <v>63</v>
      </c>
      <c r="V1370" s="110" t="s">
        <v>72</v>
      </c>
      <c r="W1370" s="112" t="s">
        <v>3696</v>
      </c>
    </row>
    <row r="1371" ht="49.5" customHeight="1">
      <c r="A1371" s="110" t="s">
        <v>5532</v>
      </c>
      <c r="B1371" s="110" t="s">
        <v>5533</v>
      </c>
      <c r="C1371" s="110" t="s">
        <v>5534</v>
      </c>
      <c r="D1371" s="110"/>
      <c r="E1371" s="112" t="s">
        <v>5535</v>
      </c>
      <c r="F1371" s="112" t="s">
        <v>5536</v>
      </c>
      <c r="G1371" s="110" t="s">
        <v>5536</v>
      </c>
      <c r="H1371" s="110" t="s">
        <v>3089</v>
      </c>
      <c r="I1371" s="110" t="s">
        <v>70</v>
      </c>
      <c r="J1371" s="112" t="s">
        <v>5537</v>
      </c>
      <c r="K1371" s="110" t="s">
        <v>71</v>
      </c>
      <c r="L1371" s="110" t="s">
        <v>63</v>
      </c>
      <c r="M1371" s="110" t="s">
        <v>63</v>
      </c>
      <c r="N1371" s="110" t="s">
        <v>63</v>
      </c>
      <c r="O1371" s="110" t="s">
        <v>63</v>
      </c>
      <c r="P1371" s="110" t="s">
        <v>63</v>
      </c>
      <c r="Q1371" s="110" t="s">
        <v>63</v>
      </c>
      <c r="R1371" s="110" t="s">
        <v>63</v>
      </c>
      <c r="S1371" s="110" t="s">
        <v>63</v>
      </c>
      <c r="T1371" s="110" t="s">
        <v>63</v>
      </c>
      <c r="U1371" s="110" t="s">
        <v>63</v>
      </c>
      <c r="V1371" s="110" t="s">
        <v>72</v>
      </c>
      <c r="W1371" s="112" t="s">
        <v>3696</v>
      </c>
    </row>
    <row r="1372" ht="49.5" customHeight="1">
      <c r="A1372" s="110" t="s">
        <v>5538</v>
      </c>
      <c r="B1372" s="110" t="s">
        <v>5539</v>
      </c>
      <c r="C1372" s="110" t="s">
        <v>5540</v>
      </c>
      <c r="D1372" s="110"/>
      <c r="E1372" s="112" t="s">
        <v>5541</v>
      </c>
      <c r="F1372" s="112" t="s">
        <v>5542</v>
      </c>
      <c r="G1372" s="110" t="s">
        <v>5542</v>
      </c>
      <c r="H1372" s="110" t="s">
        <v>321</v>
      </c>
      <c r="I1372" s="110" t="s">
        <v>70</v>
      </c>
      <c r="J1372" s="112" t="s">
        <v>5543</v>
      </c>
      <c r="K1372" s="110" t="s">
        <v>71</v>
      </c>
      <c r="L1372" s="110" t="s">
        <v>63</v>
      </c>
      <c r="M1372" s="110" t="s">
        <v>63</v>
      </c>
      <c r="N1372" s="110" t="s">
        <v>63</v>
      </c>
      <c r="O1372" s="110" t="s">
        <v>63</v>
      </c>
      <c r="P1372" s="110" t="s">
        <v>63</v>
      </c>
      <c r="Q1372" s="110" t="s">
        <v>63</v>
      </c>
      <c r="R1372" s="110" t="s">
        <v>63</v>
      </c>
      <c r="S1372" s="110" t="s">
        <v>63</v>
      </c>
      <c r="T1372" s="110" t="s">
        <v>63</v>
      </c>
      <c r="U1372" s="110" t="s">
        <v>63</v>
      </c>
      <c r="V1372" s="110" t="s">
        <v>72</v>
      </c>
      <c r="W1372" s="112" t="s">
        <v>3696</v>
      </c>
    </row>
    <row r="1373" ht="49.5" customHeight="1">
      <c r="A1373" s="110" t="s">
        <v>5544</v>
      </c>
      <c r="B1373" s="110" t="s">
        <v>5545</v>
      </c>
      <c r="C1373" s="110" t="s">
        <v>5546</v>
      </c>
      <c r="D1373" s="110"/>
      <c r="E1373" s="112" t="s">
        <v>2941</v>
      </c>
      <c r="F1373" s="112" t="s">
        <v>5547</v>
      </c>
      <c r="G1373" s="110" t="s">
        <v>5547</v>
      </c>
      <c r="H1373" s="110" t="s">
        <v>3089</v>
      </c>
      <c r="I1373" s="110" t="s">
        <v>70</v>
      </c>
      <c r="J1373" s="112" t="s">
        <v>5548</v>
      </c>
      <c r="K1373" s="110" t="s">
        <v>71</v>
      </c>
      <c r="L1373" s="110" t="s">
        <v>63</v>
      </c>
      <c r="M1373" s="110" t="s">
        <v>63</v>
      </c>
      <c r="N1373" s="110" t="s">
        <v>63</v>
      </c>
      <c r="O1373" s="110" t="s">
        <v>63</v>
      </c>
      <c r="P1373" s="110" t="s">
        <v>63</v>
      </c>
      <c r="Q1373" s="110" t="s">
        <v>63</v>
      </c>
      <c r="R1373" s="110" t="s">
        <v>63</v>
      </c>
      <c r="S1373" s="110" t="s">
        <v>63</v>
      </c>
      <c r="T1373" s="110" t="s">
        <v>63</v>
      </c>
      <c r="U1373" s="110" t="s">
        <v>63</v>
      </c>
      <c r="V1373" s="110" t="s">
        <v>72</v>
      </c>
      <c r="W1373" s="112" t="s">
        <v>3696</v>
      </c>
    </row>
    <row r="1374" ht="49.5" customHeight="1">
      <c r="A1374" s="110" t="s">
        <v>5549</v>
      </c>
      <c r="B1374" s="110" t="s">
        <v>5550</v>
      </c>
      <c r="C1374" s="110" t="s">
        <v>5551</v>
      </c>
      <c r="D1374" s="110"/>
      <c r="E1374" s="112" t="s">
        <v>5552</v>
      </c>
      <c r="F1374" s="112" t="s">
        <v>5553</v>
      </c>
      <c r="G1374" s="110" t="s">
        <v>5553</v>
      </c>
      <c r="H1374" s="110" t="s">
        <v>3089</v>
      </c>
      <c r="I1374" s="110" t="s">
        <v>70</v>
      </c>
      <c r="J1374" s="112" t="s">
        <v>5501</v>
      </c>
      <c r="K1374" s="110" t="s">
        <v>71</v>
      </c>
      <c r="L1374" s="110" t="s">
        <v>63</v>
      </c>
      <c r="M1374" s="110" t="s">
        <v>63</v>
      </c>
      <c r="N1374" s="110" t="s">
        <v>63</v>
      </c>
      <c r="O1374" s="110" t="s">
        <v>63</v>
      </c>
      <c r="P1374" s="110" t="s">
        <v>63</v>
      </c>
      <c r="Q1374" s="110" t="s">
        <v>63</v>
      </c>
      <c r="R1374" s="110" t="s">
        <v>63</v>
      </c>
      <c r="S1374" s="110" t="s">
        <v>63</v>
      </c>
      <c r="T1374" s="110" t="s">
        <v>63</v>
      </c>
      <c r="U1374" s="110" t="s">
        <v>63</v>
      </c>
      <c r="V1374" s="110" t="s">
        <v>72</v>
      </c>
      <c r="W1374" s="112" t="s">
        <v>3696</v>
      </c>
    </row>
    <row r="1375" ht="49.5" customHeight="1">
      <c r="A1375" s="110" t="s">
        <v>5554</v>
      </c>
      <c r="B1375" s="110" t="s">
        <v>5555</v>
      </c>
      <c r="C1375" s="110" t="s">
        <v>5556</v>
      </c>
      <c r="D1375" s="110"/>
      <c r="E1375" s="112" t="s">
        <v>5557</v>
      </c>
      <c r="F1375" s="112" t="s">
        <v>5558</v>
      </c>
      <c r="G1375" s="110" t="s">
        <v>5558</v>
      </c>
      <c r="H1375" s="110" t="s">
        <v>3089</v>
      </c>
      <c r="I1375" s="110" t="s">
        <v>70</v>
      </c>
      <c r="J1375" s="112" t="s">
        <v>5501</v>
      </c>
      <c r="K1375" s="110" t="s">
        <v>71</v>
      </c>
      <c r="L1375" s="110" t="s">
        <v>63</v>
      </c>
      <c r="M1375" s="110" t="s">
        <v>63</v>
      </c>
      <c r="N1375" s="110" t="s">
        <v>63</v>
      </c>
      <c r="O1375" s="110" t="s">
        <v>63</v>
      </c>
      <c r="P1375" s="110" t="s">
        <v>63</v>
      </c>
      <c r="Q1375" s="110" t="s">
        <v>63</v>
      </c>
      <c r="R1375" s="110" t="s">
        <v>63</v>
      </c>
      <c r="S1375" s="110" t="s">
        <v>63</v>
      </c>
      <c r="T1375" s="110" t="s">
        <v>63</v>
      </c>
      <c r="U1375" s="110" t="s">
        <v>63</v>
      </c>
      <c r="V1375" s="110" t="s">
        <v>72</v>
      </c>
      <c r="W1375" s="112" t="s">
        <v>3696</v>
      </c>
    </row>
    <row r="1376" ht="49.5" customHeight="1">
      <c r="A1376" s="110" t="s">
        <v>5559</v>
      </c>
      <c r="B1376" s="110" t="s">
        <v>5560</v>
      </c>
      <c r="C1376" s="110" t="s">
        <v>5561</v>
      </c>
      <c r="D1376" s="110"/>
      <c r="E1376" s="112" t="s">
        <v>5562</v>
      </c>
      <c r="F1376" s="112" t="s">
        <v>5563</v>
      </c>
      <c r="G1376" s="110" t="s">
        <v>5563</v>
      </c>
      <c r="H1376" s="110" t="s">
        <v>321</v>
      </c>
      <c r="I1376" s="110" t="s">
        <v>70</v>
      </c>
      <c r="J1376" s="112" t="s">
        <v>5564</v>
      </c>
      <c r="K1376" s="110" t="s">
        <v>71</v>
      </c>
      <c r="L1376" s="110" t="s">
        <v>63</v>
      </c>
      <c r="M1376" s="110" t="s">
        <v>63</v>
      </c>
      <c r="N1376" s="110" t="s">
        <v>63</v>
      </c>
      <c r="O1376" s="110" t="s">
        <v>63</v>
      </c>
      <c r="P1376" s="110" t="s">
        <v>63</v>
      </c>
      <c r="Q1376" s="110" t="s">
        <v>63</v>
      </c>
      <c r="R1376" s="110" t="s">
        <v>63</v>
      </c>
      <c r="S1376" s="110" t="s">
        <v>63</v>
      </c>
      <c r="T1376" s="110" t="s">
        <v>63</v>
      </c>
      <c r="U1376" s="110" t="s">
        <v>63</v>
      </c>
      <c r="V1376" s="110" t="s">
        <v>72</v>
      </c>
      <c r="W1376" s="112" t="s">
        <v>3696</v>
      </c>
    </row>
    <row r="1377" ht="49.5" customHeight="1">
      <c r="A1377" s="110" t="s">
        <v>5565</v>
      </c>
      <c r="B1377" s="110" t="s">
        <v>5566</v>
      </c>
      <c r="C1377" s="110" t="s">
        <v>5567</v>
      </c>
      <c r="D1377" s="110"/>
      <c r="E1377" s="112" t="s">
        <v>5568</v>
      </c>
      <c r="F1377" s="112" t="s">
        <v>5569</v>
      </c>
      <c r="G1377" s="110" t="s">
        <v>1627</v>
      </c>
      <c r="H1377" s="110" t="s">
        <v>321</v>
      </c>
      <c r="I1377" s="110" t="s">
        <v>70</v>
      </c>
      <c r="J1377" s="112" t="s">
        <v>5570</v>
      </c>
      <c r="K1377" s="110" t="s">
        <v>71</v>
      </c>
      <c r="L1377" s="110" t="s">
        <v>63</v>
      </c>
      <c r="M1377" s="110" t="s">
        <v>63</v>
      </c>
      <c r="N1377" s="110" t="s">
        <v>63</v>
      </c>
      <c r="O1377" s="110" t="s">
        <v>63</v>
      </c>
      <c r="P1377" s="110" t="s">
        <v>63</v>
      </c>
      <c r="Q1377" s="110" t="s">
        <v>63</v>
      </c>
      <c r="R1377" s="110" t="s">
        <v>63</v>
      </c>
      <c r="S1377" s="110" t="s">
        <v>63</v>
      </c>
      <c r="T1377" s="110" t="s">
        <v>63</v>
      </c>
      <c r="U1377" s="110" t="s">
        <v>63</v>
      </c>
      <c r="V1377" s="110" t="s">
        <v>72</v>
      </c>
      <c r="W1377" s="112" t="s">
        <v>3696</v>
      </c>
    </row>
    <row r="1378" ht="49.5" customHeight="1">
      <c r="A1378" s="110" t="s">
        <v>5571</v>
      </c>
      <c r="B1378" s="110" t="s">
        <v>5572</v>
      </c>
      <c r="C1378" s="110" t="s">
        <v>5573</v>
      </c>
      <c r="D1378" s="110"/>
      <c r="E1378" s="112" t="s">
        <v>5574</v>
      </c>
      <c r="F1378" s="112" t="s">
        <v>5575</v>
      </c>
      <c r="G1378" s="110" t="s">
        <v>138</v>
      </c>
      <c r="H1378" s="110" t="s">
        <v>321</v>
      </c>
      <c r="I1378" s="110" t="s">
        <v>70</v>
      </c>
      <c r="J1378" s="112" t="s">
        <v>5576</v>
      </c>
      <c r="K1378" s="110" t="s">
        <v>71</v>
      </c>
      <c r="L1378" s="110" t="s">
        <v>63</v>
      </c>
      <c r="M1378" s="110" t="s">
        <v>63</v>
      </c>
      <c r="N1378" s="110" t="s">
        <v>63</v>
      </c>
      <c r="O1378" s="110" t="s">
        <v>63</v>
      </c>
      <c r="P1378" s="110" t="s">
        <v>63</v>
      </c>
      <c r="Q1378" s="110" t="s">
        <v>63</v>
      </c>
      <c r="R1378" s="110" t="s">
        <v>63</v>
      </c>
      <c r="S1378" s="110" t="s">
        <v>63</v>
      </c>
      <c r="T1378" s="110" t="s">
        <v>63</v>
      </c>
      <c r="U1378" s="110" t="s">
        <v>63</v>
      </c>
      <c r="V1378" s="110" t="s">
        <v>72</v>
      </c>
      <c r="W1378" s="112" t="s">
        <v>3696</v>
      </c>
    </row>
    <row r="1379" ht="49.5" customHeight="1">
      <c r="A1379" s="110" t="s">
        <v>5577</v>
      </c>
      <c r="B1379" s="110" t="s">
        <v>5578</v>
      </c>
      <c r="C1379" s="110" t="s">
        <v>5579</v>
      </c>
      <c r="D1379" s="110"/>
      <c r="E1379" s="112" t="s">
        <v>5580</v>
      </c>
      <c r="F1379" s="112" t="s">
        <v>5581</v>
      </c>
      <c r="G1379" s="110" t="s">
        <v>138</v>
      </c>
      <c r="H1379" s="110" t="s">
        <v>321</v>
      </c>
      <c r="I1379" s="110" t="s">
        <v>70</v>
      </c>
      <c r="J1379" s="112" t="s">
        <v>5445</v>
      </c>
      <c r="K1379" s="110" t="s">
        <v>71</v>
      </c>
      <c r="L1379" s="110" t="s">
        <v>63</v>
      </c>
      <c r="M1379" s="110" t="s">
        <v>63</v>
      </c>
      <c r="N1379" s="110" t="s">
        <v>63</v>
      </c>
      <c r="O1379" s="110" t="s">
        <v>63</v>
      </c>
      <c r="P1379" s="110" t="s">
        <v>63</v>
      </c>
      <c r="Q1379" s="110" t="s">
        <v>63</v>
      </c>
      <c r="R1379" s="110" t="s">
        <v>63</v>
      </c>
      <c r="S1379" s="110" t="s">
        <v>63</v>
      </c>
      <c r="T1379" s="110" t="s">
        <v>63</v>
      </c>
      <c r="U1379" s="110" t="s">
        <v>63</v>
      </c>
      <c r="V1379" s="110" t="s">
        <v>72</v>
      </c>
      <c r="W1379" s="112" t="s">
        <v>3696</v>
      </c>
    </row>
    <row r="1380" ht="49.5" customHeight="1">
      <c r="A1380" s="110" t="s">
        <v>5582</v>
      </c>
      <c r="B1380" s="110" t="s">
        <v>5583</v>
      </c>
      <c r="C1380" s="110" t="s">
        <v>5584</v>
      </c>
      <c r="D1380" s="110"/>
      <c r="E1380" s="112" t="s">
        <v>5585</v>
      </c>
      <c r="F1380" s="112" t="s">
        <v>5586</v>
      </c>
      <c r="G1380" s="110" t="s">
        <v>5587</v>
      </c>
      <c r="H1380" s="110" t="s">
        <v>321</v>
      </c>
      <c r="I1380" s="110" t="s">
        <v>70</v>
      </c>
      <c r="J1380" s="112" t="s">
        <v>5588</v>
      </c>
      <c r="K1380" s="110" t="s">
        <v>71</v>
      </c>
      <c r="L1380" s="110" t="s">
        <v>63</v>
      </c>
      <c r="M1380" s="110" t="s">
        <v>63</v>
      </c>
      <c r="N1380" s="110" t="s">
        <v>63</v>
      </c>
      <c r="O1380" s="110" t="s">
        <v>63</v>
      </c>
      <c r="P1380" s="110" t="s">
        <v>63</v>
      </c>
      <c r="Q1380" s="110" t="s">
        <v>63</v>
      </c>
      <c r="R1380" s="110" t="s">
        <v>63</v>
      </c>
      <c r="S1380" s="110" t="s">
        <v>63</v>
      </c>
      <c r="T1380" s="110" t="s">
        <v>63</v>
      </c>
      <c r="U1380" s="110" t="s">
        <v>63</v>
      </c>
      <c r="V1380" s="110" t="s">
        <v>72</v>
      </c>
      <c r="W1380" s="112" t="s">
        <v>3696</v>
      </c>
    </row>
    <row r="1381" ht="49.5" customHeight="1">
      <c r="A1381" s="110" t="s">
        <v>5589</v>
      </c>
      <c r="B1381" s="110" t="s">
        <v>5590</v>
      </c>
      <c r="C1381" s="110" t="s">
        <v>5591</v>
      </c>
      <c r="D1381" s="110"/>
      <c r="E1381" s="112" t="s">
        <v>5592</v>
      </c>
      <c r="F1381" s="112" t="s">
        <v>5593</v>
      </c>
      <c r="G1381" s="110" t="s">
        <v>5594</v>
      </c>
      <c r="H1381" s="110" t="s">
        <v>321</v>
      </c>
      <c r="I1381" s="110" t="s">
        <v>70</v>
      </c>
      <c r="J1381" s="112" t="s">
        <v>5595</v>
      </c>
      <c r="K1381" s="110" t="s">
        <v>71</v>
      </c>
      <c r="L1381" s="110" t="s">
        <v>63</v>
      </c>
      <c r="M1381" s="110" t="s">
        <v>63</v>
      </c>
      <c r="N1381" s="110" t="s">
        <v>63</v>
      </c>
      <c r="O1381" s="110" t="s">
        <v>63</v>
      </c>
      <c r="P1381" s="110" t="s">
        <v>63</v>
      </c>
      <c r="Q1381" s="110" t="s">
        <v>63</v>
      </c>
      <c r="R1381" s="110" t="s">
        <v>63</v>
      </c>
      <c r="S1381" s="110" t="s">
        <v>63</v>
      </c>
      <c r="T1381" s="110" t="s">
        <v>63</v>
      </c>
      <c r="U1381" s="110" t="s">
        <v>63</v>
      </c>
      <c r="V1381" s="110" t="s">
        <v>72</v>
      </c>
      <c r="W1381" s="112" t="s">
        <v>3696</v>
      </c>
    </row>
    <row r="1382" ht="49.5" customHeight="1">
      <c r="A1382" s="110" t="s">
        <v>5596</v>
      </c>
      <c r="B1382" s="110" t="s">
        <v>5597</v>
      </c>
      <c r="C1382" s="110" t="s">
        <v>5598</v>
      </c>
      <c r="D1382" s="110"/>
      <c r="E1382" s="112" t="s">
        <v>5599</v>
      </c>
      <c r="F1382" s="112" t="s">
        <v>5600</v>
      </c>
      <c r="G1382" s="110" t="s">
        <v>90</v>
      </c>
      <c r="H1382" s="110" t="s">
        <v>321</v>
      </c>
      <c r="I1382" s="110" t="s">
        <v>70</v>
      </c>
      <c r="J1382" s="112" t="s">
        <v>5601</v>
      </c>
      <c r="K1382" s="110" t="s">
        <v>71</v>
      </c>
      <c r="L1382" s="110" t="s">
        <v>63</v>
      </c>
      <c r="M1382" s="110" t="s">
        <v>63</v>
      </c>
      <c r="N1382" s="110" t="s">
        <v>63</v>
      </c>
      <c r="O1382" s="110" t="s">
        <v>63</v>
      </c>
      <c r="P1382" s="110" t="s">
        <v>63</v>
      </c>
      <c r="Q1382" s="110" t="s">
        <v>63</v>
      </c>
      <c r="R1382" s="110" t="s">
        <v>63</v>
      </c>
      <c r="S1382" s="110" t="s">
        <v>63</v>
      </c>
      <c r="T1382" s="110" t="s">
        <v>63</v>
      </c>
      <c r="U1382" s="110" t="s">
        <v>63</v>
      </c>
      <c r="V1382" s="110" t="s">
        <v>72</v>
      </c>
      <c r="W1382" s="112" t="s">
        <v>3696</v>
      </c>
    </row>
    <row r="1383" ht="49.5" customHeight="1">
      <c r="A1383" s="110" t="s">
        <v>5602</v>
      </c>
      <c r="B1383" s="110" t="s">
        <v>5603</v>
      </c>
      <c r="C1383" s="110" t="s">
        <v>5604</v>
      </c>
      <c r="D1383" s="110"/>
      <c r="E1383" s="112" t="s">
        <v>5605</v>
      </c>
      <c r="F1383" s="112" t="s">
        <v>5606</v>
      </c>
      <c r="G1383" s="110" t="s">
        <v>90</v>
      </c>
      <c r="H1383" s="110" t="s">
        <v>321</v>
      </c>
      <c r="I1383" s="110" t="s">
        <v>70</v>
      </c>
      <c r="J1383" s="112" t="s">
        <v>5271</v>
      </c>
      <c r="K1383" s="110" t="s">
        <v>71</v>
      </c>
      <c r="L1383" s="110" t="s">
        <v>63</v>
      </c>
      <c r="M1383" s="110" t="s">
        <v>63</v>
      </c>
      <c r="N1383" s="110" t="s">
        <v>63</v>
      </c>
      <c r="O1383" s="110" t="s">
        <v>63</v>
      </c>
      <c r="P1383" s="110" t="s">
        <v>63</v>
      </c>
      <c r="Q1383" s="110" t="s">
        <v>63</v>
      </c>
      <c r="R1383" s="110" t="s">
        <v>63</v>
      </c>
      <c r="S1383" s="110" t="s">
        <v>63</v>
      </c>
      <c r="T1383" s="110" t="s">
        <v>63</v>
      </c>
      <c r="U1383" s="110" t="s">
        <v>63</v>
      </c>
      <c r="V1383" s="110" t="s">
        <v>72</v>
      </c>
      <c r="W1383" s="112" t="s">
        <v>3696</v>
      </c>
    </row>
    <row r="1384" ht="49.5" customHeight="1">
      <c r="A1384" s="110" t="s">
        <v>5607</v>
      </c>
      <c r="B1384" s="110" t="s">
        <v>5608</v>
      </c>
      <c r="C1384" s="110" t="s">
        <v>5609</v>
      </c>
      <c r="D1384" s="110"/>
      <c r="E1384" s="112" t="s">
        <v>5610</v>
      </c>
      <c r="F1384" s="112" t="s">
        <v>5611</v>
      </c>
      <c r="G1384" s="110" t="s">
        <v>144</v>
      </c>
      <c r="H1384" s="110" t="s">
        <v>321</v>
      </c>
      <c r="I1384" s="110" t="s">
        <v>70</v>
      </c>
      <c r="J1384" s="112" t="s">
        <v>5612</v>
      </c>
      <c r="K1384" s="110" t="s">
        <v>71</v>
      </c>
      <c r="L1384" s="110" t="s">
        <v>63</v>
      </c>
      <c r="M1384" s="110" t="s">
        <v>63</v>
      </c>
      <c r="N1384" s="110" t="s">
        <v>63</v>
      </c>
      <c r="O1384" s="110" t="s">
        <v>63</v>
      </c>
      <c r="P1384" s="110" t="s">
        <v>63</v>
      </c>
      <c r="Q1384" s="110" t="s">
        <v>63</v>
      </c>
      <c r="R1384" s="110" t="s">
        <v>63</v>
      </c>
      <c r="S1384" s="110" t="s">
        <v>63</v>
      </c>
      <c r="T1384" s="110" t="s">
        <v>63</v>
      </c>
      <c r="U1384" s="110" t="s">
        <v>63</v>
      </c>
      <c r="V1384" s="110" t="s">
        <v>72</v>
      </c>
      <c r="W1384" s="112" t="s">
        <v>3696</v>
      </c>
    </row>
    <row r="1385" ht="49.5" customHeight="1">
      <c r="A1385" s="110" t="s">
        <v>5613</v>
      </c>
      <c r="B1385" s="110" t="s">
        <v>5614</v>
      </c>
      <c r="C1385" s="110" t="s">
        <v>5615</v>
      </c>
      <c r="D1385" s="110"/>
      <c r="E1385" s="112" t="s">
        <v>5616</v>
      </c>
      <c r="F1385" s="112" t="s">
        <v>5617</v>
      </c>
      <c r="G1385" s="110" t="s">
        <v>79</v>
      </c>
      <c r="H1385" s="110" t="s">
        <v>321</v>
      </c>
      <c r="I1385" s="110" t="s">
        <v>70</v>
      </c>
      <c r="J1385" s="112" t="s">
        <v>5618</v>
      </c>
      <c r="K1385" s="110" t="s">
        <v>71</v>
      </c>
      <c r="L1385" s="110" t="s">
        <v>63</v>
      </c>
      <c r="M1385" s="110" t="s">
        <v>63</v>
      </c>
      <c r="N1385" s="110" t="s">
        <v>63</v>
      </c>
      <c r="O1385" s="110" t="s">
        <v>63</v>
      </c>
      <c r="P1385" s="110" t="s">
        <v>63</v>
      </c>
      <c r="Q1385" s="110" t="s">
        <v>63</v>
      </c>
      <c r="R1385" s="110" t="s">
        <v>63</v>
      </c>
      <c r="S1385" s="110" t="s">
        <v>63</v>
      </c>
      <c r="T1385" s="110" t="s">
        <v>63</v>
      </c>
      <c r="U1385" s="110" t="s">
        <v>63</v>
      </c>
      <c r="V1385" s="110" t="s">
        <v>72</v>
      </c>
      <c r="W1385" s="112" t="s">
        <v>3696</v>
      </c>
    </row>
    <row r="1386" ht="49.5" customHeight="1">
      <c r="A1386" s="110" t="s">
        <v>5619</v>
      </c>
      <c r="B1386" s="110" t="s">
        <v>5620</v>
      </c>
      <c r="C1386" s="110" t="s">
        <v>5621</v>
      </c>
      <c r="D1386" s="110"/>
      <c r="E1386" s="112" t="s">
        <v>5622</v>
      </c>
      <c r="F1386" s="112" t="s">
        <v>5623</v>
      </c>
      <c r="G1386" s="110" t="s">
        <v>90</v>
      </c>
      <c r="H1386" s="110" t="s">
        <v>321</v>
      </c>
      <c r="I1386" s="110" t="s">
        <v>70</v>
      </c>
      <c r="J1386" s="112" t="s">
        <v>5624</v>
      </c>
      <c r="K1386" s="110" t="s">
        <v>71</v>
      </c>
      <c r="L1386" s="110" t="s">
        <v>63</v>
      </c>
      <c r="M1386" s="110" t="s">
        <v>63</v>
      </c>
      <c r="N1386" s="110" t="s">
        <v>63</v>
      </c>
      <c r="O1386" s="110" t="s">
        <v>63</v>
      </c>
      <c r="P1386" s="110" t="s">
        <v>63</v>
      </c>
      <c r="Q1386" s="110" t="s">
        <v>63</v>
      </c>
      <c r="R1386" s="110" t="s">
        <v>63</v>
      </c>
      <c r="S1386" s="110" t="s">
        <v>63</v>
      </c>
      <c r="T1386" s="110" t="s">
        <v>63</v>
      </c>
      <c r="U1386" s="110" t="s">
        <v>63</v>
      </c>
      <c r="V1386" s="110" t="s">
        <v>72</v>
      </c>
      <c r="W1386" s="112" t="s">
        <v>3696</v>
      </c>
    </row>
    <row r="1387" ht="49.5" customHeight="1">
      <c r="A1387" s="110" t="s">
        <v>5625</v>
      </c>
      <c r="B1387" s="110" t="s">
        <v>5626</v>
      </c>
      <c r="C1387" s="110" t="s">
        <v>5627</v>
      </c>
      <c r="D1387" s="110"/>
      <c r="E1387" s="112" t="s">
        <v>5628</v>
      </c>
      <c r="F1387" s="112" t="s">
        <v>5629</v>
      </c>
      <c r="G1387" s="110" t="s">
        <v>165</v>
      </c>
      <c r="H1387" s="110" t="s">
        <v>321</v>
      </c>
      <c r="I1387" s="110" t="s">
        <v>70</v>
      </c>
      <c r="J1387" s="112" t="s">
        <v>5630</v>
      </c>
      <c r="K1387" s="110" t="s">
        <v>71</v>
      </c>
      <c r="L1387" s="110" t="s">
        <v>63</v>
      </c>
      <c r="M1387" s="110" t="s">
        <v>63</v>
      </c>
      <c r="N1387" s="110" t="s">
        <v>63</v>
      </c>
      <c r="O1387" s="110" t="s">
        <v>63</v>
      </c>
      <c r="P1387" s="110" t="s">
        <v>63</v>
      </c>
      <c r="Q1387" s="110" t="s">
        <v>63</v>
      </c>
      <c r="R1387" s="110" t="s">
        <v>63</v>
      </c>
      <c r="S1387" s="110" t="s">
        <v>63</v>
      </c>
      <c r="T1387" s="110" t="s">
        <v>63</v>
      </c>
      <c r="U1387" s="110" t="s">
        <v>63</v>
      </c>
      <c r="V1387" s="110" t="s">
        <v>72</v>
      </c>
      <c r="W1387" s="112" t="s">
        <v>3696</v>
      </c>
    </row>
    <row r="1388" ht="49.5" customHeight="1">
      <c r="A1388" s="110" t="s">
        <v>5631</v>
      </c>
      <c r="B1388" s="110" t="s">
        <v>5632</v>
      </c>
      <c r="C1388" s="110" t="s">
        <v>5633</v>
      </c>
      <c r="D1388" s="110"/>
      <c r="E1388" s="112" t="s">
        <v>5634</v>
      </c>
      <c r="F1388" s="112" t="s">
        <v>5635</v>
      </c>
      <c r="G1388" s="110" t="s">
        <v>5635</v>
      </c>
      <c r="H1388" s="110" t="s">
        <v>321</v>
      </c>
      <c r="I1388" s="110" t="s">
        <v>70</v>
      </c>
      <c r="J1388" s="112" t="s">
        <v>5636</v>
      </c>
      <c r="K1388" s="110" t="s">
        <v>71</v>
      </c>
      <c r="L1388" s="110" t="s">
        <v>63</v>
      </c>
      <c r="M1388" s="110" t="s">
        <v>63</v>
      </c>
      <c r="N1388" s="110" t="s">
        <v>63</v>
      </c>
      <c r="O1388" s="110" t="s">
        <v>63</v>
      </c>
      <c r="P1388" s="110" t="s">
        <v>63</v>
      </c>
      <c r="Q1388" s="110" t="s">
        <v>63</v>
      </c>
      <c r="R1388" s="110" t="s">
        <v>63</v>
      </c>
      <c r="S1388" s="110" t="s">
        <v>63</v>
      </c>
      <c r="T1388" s="110" t="s">
        <v>63</v>
      </c>
      <c r="U1388" s="110" t="s">
        <v>63</v>
      </c>
      <c r="V1388" s="110" t="s">
        <v>72</v>
      </c>
      <c r="W1388" s="112" t="s">
        <v>3696</v>
      </c>
    </row>
    <row r="1389" ht="49.5" customHeight="1">
      <c r="A1389" s="110" t="s">
        <v>5637</v>
      </c>
      <c r="B1389" s="110" t="s">
        <v>5638</v>
      </c>
      <c r="C1389" s="110" t="s">
        <v>5639</v>
      </c>
      <c r="D1389" s="110"/>
      <c r="E1389" s="112" t="s">
        <v>937</v>
      </c>
      <c r="F1389" s="112" t="s">
        <v>5640</v>
      </c>
      <c r="G1389" s="110" t="s">
        <v>5640</v>
      </c>
      <c r="H1389" s="110" t="s">
        <v>3089</v>
      </c>
      <c r="I1389" s="110" t="s">
        <v>70</v>
      </c>
      <c r="J1389" s="112" t="s">
        <v>5641</v>
      </c>
      <c r="K1389" s="110" t="s">
        <v>71</v>
      </c>
      <c r="L1389" s="110" t="s">
        <v>63</v>
      </c>
      <c r="M1389" s="110" t="s">
        <v>63</v>
      </c>
      <c r="N1389" s="110" t="s">
        <v>63</v>
      </c>
      <c r="O1389" s="110" t="s">
        <v>63</v>
      </c>
      <c r="P1389" s="110" t="s">
        <v>63</v>
      </c>
      <c r="Q1389" s="110" t="s">
        <v>63</v>
      </c>
      <c r="R1389" s="110" t="s">
        <v>63</v>
      </c>
      <c r="S1389" s="110" t="s">
        <v>63</v>
      </c>
      <c r="T1389" s="110" t="s">
        <v>63</v>
      </c>
      <c r="U1389" s="110" t="s">
        <v>63</v>
      </c>
      <c r="V1389" s="110" t="s">
        <v>72</v>
      </c>
      <c r="W1389" s="112" t="s">
        <v>3696</v>
      </c>
    </row>
    <row r="1390" ht="49.5" customHeight="1">
      <c r="A1390" s="110" t="s">
        <v>5642</v>
      </c>
      <c r="B1390" s="110" t="s">
        <v>5643</v>
      </c>
      <c r="C1390" s="110" t="s">
        <v>5644</v>
      </c>
      <c r="D1390" s="110"/>
      <c r="E1390" s="112" t="s">
        <v>5645</v>
      </c>
      <c r="F1390" s="112" t="s">
        <v>5646</v>
      </c>
      <c r="G1390" s="110" t="s">
        <v>5646</v>
      </c>
      <c r="H1390" s="110" t="s">
        <v>321</v>
      </c>
      <c r="I1390" s="110" t="s">
        <v>70</v>
      </c>
      <c r="J1390" s="112" t="s">
        <v>5647</v>
      </c>
      <c r="K1390" s="110" t="s">
        <v>71</v>
      </c>
      <c r="L1390" s="110" t="s">
        <v>63</v>
      </c>
      <c r="M1390" s="110" t="s">
        <v>63</v>
      </c>
      <c r="N1390" s="110" t="s">
        <v>63</v>
      </c>
      <c r="O1390" s="110" t="s">
        <v>63</v>
      </c>
      <c r="P1390" s="110" t="s">
        <v>63</v>
      </c>
      <c r="Q1390" s="110" t="s">
        <v>63</v>
      </c>
      <c r="R1390" s="110" t="s">
        <v>63</v>
      </c>
      <c r="S1390" s="110" t="s">
        <v>63</v>
      </c>
      <c r="T1390" s="110" t="s">
        <v>63</v>
      </c>
      <c r="U1390" s="110" t="s">
        <v>63</v>
      </c>
      <c r="V1390" s="110" t="s">
        <v>72</v>
      </c>
      <c r="W1390" s="112" t="s">
        <v>3696</v>
      </c>
    </row>
    <row r="1391" ht="49.5" customHeight="1">
      <c r="A1391" s="110" t="s">
        <v>5648</v>
      </c>
      <c r="B1391" s="110" t="s">
        <v>5649</v>
      </c>
      <c r="C1391" s="110" t="s">
        <v>5650</v>
      </c>
      <c r="D1391" s="110"/>
      <c r="E1391" s="112" t="s">
        <v>5651</v>
      </c>
      <c r="F1391" s="112" t="s">
        <v>5652</v>
      </c>
      <c r="G1391" s="110" t="s">
        <v>5652</v>
      </c>
      <c r="H1391" s="110" t="s">
        <v>321</v>
      </c>
      <c r="I1391" s="110" t="s">
        <v>70</v>
      </c>
      <c r="J1391" s="112" t="s">
        <v>5653</v>
      </c>
      <c r="K1391" s="110" t="s">
        <v>71</v>
      </c>
      <c r="L1391" s="110" t="s">
        <v>63</v>
      </c>
      <c r="M1391" s="110" t="s">
        <v>63</v>
      </c>
      <c r="N1391" s="110" t="s">
        <v>63</v>
      </c>
      <c r="O1391" s="110" t="s">
        <v>63</v>
      </c>
      <c r="P1391" s="110" t="s">
        <v>63</v>
      </c>
      <c r="Q1391" s="110" t="s">
        <v>63</v>
      </c>
      <c r="R1391" s="110" t="s">
        <v>63</v>
      </c>
      <c r="S1391" s="110" t="s">
        <v>63</v>
      </c>
      <c r="T1391" s="110" t="s">
        <v>63</v>
      </c>
      <c r="U1391" s="110" t="s">
        <v>63</v>
      </c>
      <c r="V1391" s="110" t="s">
        <v>72</v>
      </c>
      <c r="W1391" s="112" t="s">
        <v>3696</v>
      </c>
    </row>
    <row r="1392" ht="49.5" customHeight="1">
      <c r="A1392" s="110" t="s">
        <v>5654</v>
      </c>
      <c r="B1392" s="110" t="s">
        <v>5655</v>
      </c>
      <c r="C1392" s="110" t="s">
        <v>5656</v>
      </c>
      <c r="D1392" s="110"/>
      <c r="E1392" s="112" t="s">
        <v>948</v>
      </c>
      <c r="F1392" s="112" t="s">
        <v>5657</v>
      </c>
      <c r="G1392" s="110" t="s">
        <v>5657</v>
      </c>
      <c r="H1392" s="110" t="s">
        <v>3089</v>
      </c>
      <c r="I1392" s="110" t="s">
        <v>70</v>
      </c>
      <c r="J1392" s="112" t="s">
        <v>5658</v>
      </c>
      <c r="K1392" s="110" t="s">
        <v>71</v>
      </c>
      <c r="L1392" s="110" t="s">
        <v>63</v>
      </c>
      <c r="M1392" s="110" t="s">
        <v>63</v>
      </c>
      <c r="N1392" s="110" t="s">
        <v>63</v>
      </c>
      <c r="O1392" s="110" t="s">
        <v>63</v>
      </c>
      <c r="P1392" s="110" t="s">
        <v>63</v>
      </c>
      <c r="Q1392" s="110" t="s">
        <v>63</v>
      </c>
      <c r="R1392" s="110" t="s">
        <v>63</v>
      </c>
      <c r="S1392" s="110" t="s">
        <v>63</v>
      </c>
      <c r="T1392" s="110" t="s">
        <v>63</v>
      </c>
      <c r="U1392" s="110" t="s">
        <v>63</v>
      </c>
      <c r="V1392" s="110" t="s">
        <v>72</v>
      </c>
      <c r="W1392" s="112" t="s">
        <v>3696</v>
      </c>
    </row>
    <row r="1393" ht="49.5" customHeight="1">
      <c r="A1393" s="110" t="s">
        <v>5659</v>
      </c>
      <c r="B1393" s="110" t="s">
        <v>5660</v>
      </c>
      <c r="C1393" s="110" t="s">
        <v>5661</v>
      </c>
      <c r="D1393" s="110"/>
      <c r="E1393" s="112" t="s">
        <v>968</v>
      </c>
      <c r="F1393" s="112" t="s">
        <v>5662</v>
      </c>
      <c r="G1393" s="110" t="s">
        <v>5662</v>
      </c>
      <c r="H1393" s="110" t="s">
        <v>3089</v>
      </c>
      <c r="I1393" s="110" t="s">
        <v>70</v>
      </c>
      <c r="J1393" s="112" t="s">
        <v>5663</v>
      </c>
      <c r="K1393" s="110" t="s">
        <v>71</v>
      </c>
      <c r="L1393" s="110" t="s">
        <v>63</v>
      </c>
      <c r="M1393" s="110" t="s">
        <v>63</v>
      </c>
      <c r="N1393" s="110" t="s">
        <v>63</v>
      </c>
      <c r="O1393" s="110" t="s">
        <v>63</v>
      </c>
      <c r="P1393" s="110" t="s">
        <v>63</v>
      </c>
      <c r="Q1393" s="110" t="s">
        <v>63</v>
      </c>
      <c r="R1393" s="110" t="s">
        <v>63</v>
      </c>
      <c r="S1393" s="110" t="s">
        <v>63</v>
      </c>
      <c r="T1393" s="110" t="s">
        <v>63</v>
      </c>
      <c r="U1393" s="110" t="s">
        <v>63</v>
      </c>
      <c r="V1393" s="110" t="s">
        <v>72</v>
      </c>
      <c r="W1393" s="112" t="s">
        <v>3696</v>
      </c>
    </row>
    <row r="1394" ht="49.5" customHeight="1">
      <c r="A1394" s="110" t="s">
        <v>5664</v>
      </c>
      <c r="B1394" s="110" t="s">
        <v>5665</v>
      </c>
      <c r="C1394" s="110" t="s">
        <v>5666</v>
      </c>
      <c r="D1394" s="110"/>
      <c r="E1394" s="112" t="s">
        <v>2710</v>
      </c>
      <c r="F1394" s="112" t="s">
        <v>5667</v>
      </c>
      <c r="G1394" s="110" t="s">
        <v>5667</v>
      </c>
      <c r="H1394" s="110" t="s">
        <v>3089</v>
      </c>
      <c r="I1394" s="110" t="s">
        <v>70</v>
      </c>
      <c r="J1394" s="112" t="s">
        <v>5668</v>
      </c>
      <c r="K1394" s="110" t="s">
        <v>71</v>
      </c>
      <c r="L1394" s="110" t="s">
        <v>63</v>
      </c>
      <c r="M1394" s="110" t="s">
        <v>63</v>
      </c>
      <c r="N1394" s="110" t="s">
        <v>63</v>
      </c>
      <c r="O1394" s="110" t="s">
        <v>63</v>
      </c>
      <c r="P1394" s="110" t="s">
        <v>63</v>
      </c>
      <c r="Q1394" s="110" t="s">
        <v>63</v>
      </c>
      <c r="R1394" s="110" t="s">
        <v>63</v>
      </c>
      <c r="S1394" s="110" t="s">
        <v>63</v>
      </c>
      <c r="T1394" s="110" t="s">
        <v>63</v>
      </c>
      <c r="U1394" s="110" t="s">
        <v>63</v>
      </c>
      <c r="V1394" s="110" t="s">
        <v>72</v>
      </c>
      <c r="W1394" s="112" t="s">
        <v>3696</v>
      </c>
    </row>
    <row r="1395" ht="49.5" customHeight="1">
      <c r="A1395" s="110" t="s">
        <v>5669</v>
      </c>
      <c r="B1395" s="110" t="s">
        <v>5670</v>
      </c>
      <c r="C1395" s="110" t="s">
        <v>5671</v>
      </c>
      <c r="D1395" s="110"/>
      <c r="E1395" s="112" t="s">
        <v>5672</v>
      </c>
      <c r="F1395" s="112" t="s">
        <v>5673</v>
      </c>
      <c r="G1395" s="110" t="s">
        <v>90</v>
      </c>
      <c r="H1395" s="110" t="s">
        <v>321</v>
      </c>
      <c r="I1395" s="110" t="s">
        <v>70</v>
      </c>
      <c r="J1395" s="112" t="s">
        <v>5674</v>
      </c>
      <c r="K1395" s="110" t="s">
        <v>71</v>
      </c>
      <c r="L1395" s="110" t="s">
        <v>63</v>
      </c>
      <c r="M1395" s="110" t="s">
        <v>63</v>
      </c>
      <c r="N1395" s="110" t="s">
        <v>63</v>
      </c>
      <c r="O1395" s="110" t="s">
        <v>63</v>
      </c>
      <c r="P1395" s="110" t="s">
        <v>63</v>
      </c>
      <c r="Q1395" s="110" t="s">
        <v>63</v>
      </c>
      <c r="R1395" s="110" t="s">
        <v>63</v>
      </c>
      <c r="S1395" s="110" t="s">
        <v>63</v>
      </c>
      <c r="T1395" s="110" t="s">
        <v>63</v>
      </c>
      <c r="U1395" s="110" t="s">
        <v>63</v>
      </c>
      <c r="V1395" s="110" t="s">
        <v>72</v>
      </c>
      <c r="W1395" s="112" t="s">
        <v>3696</v>
      </c>
    </row>
    <row r="1396" ht="49.5" customHeight="1">
      <c r="A1396" s="110" t="s">
        <v>63</v>
      </c>
      <c r="B1396" s="110" t="s">
        <v>5675</v>
      </c>
      <c r="C1396" s="110"/>
      <c r="D1396" s="110"/>
      <c r="E1396" s="112" t="s">
        <v>5675</v>
      </c>
      <c r="F1396" s="112" t="s">
        <v>5676</v>
      </c>
      <c r="G1396" s="110" t="s">
        <v>70</v>
      </c>
      <c r="H1396" s="110" t="s">
        <v>681</v>
      </c>
      <c r="I1396" s="110" t="s">
        <v>70</v>
      </c>
      <c r="J1396" s="112" t="s">
        <v>5677</v>
      </c>
      <c r="K1396" s="110" t="s">
        <v>71</v>
      </c>
      <c r="L1396" s="110" t="s">
        <v>63</v>
      </c>
      <c r="M1396" s="110" t="s">
        <v>63</v>
      </c>
      <c r="N1396" s="110" t="s">
        <v>63</v>
      </c>
      <c r="O1396" s="110" t="s">
        <v>63</v>
      </c>
      <c r="P1396" s="110" t="s">
        <v>63</v>
      </c>
      <c r="Q1396" s="110" t="s">
        <v>63</v>
      </c>
      <c r="R1396" s="110" t="s">
        <v>63</v>
      </c>
      <c r="S1396" s="110" t="s">
        <v>63</v>
      </c>
      <c r="T1396" s="110" t="s">
        <v>63</v>
      </c>
      <c r="U1396" s="110" t="s">
        <v>63</v>
      </c>
      <c r="V1396" s="110" t="s">
        <v>72</v>
      </c>
      <c r="W1396" s="112" t="s">
        <v>3696</v>
      </c>
    </row>
    <row r="1397" ht="49.5" customHeight="1">
      <c r="A1397" s="110" t="s">
        <v>63</v>
      </c>
      <c r="B1397" s="110" t="s">
        <v>5675</v>
      </c>
      <c r="C1397" s="110" t="s">
        <v>5678</v>
      </c>
      <c r="D1397" s="110" t="s">
        <v>5678</v>
      </c>
      <c r="E1397" s="112" t="s">
        <v>5679</v>
      </c>
      <c r="F1397" s="114" t="str">
        <f>"     "&amp;F1396</f>
        <v>     Short Futbol Niño Negro</v>
      </c>
      <c r="G1397" s="110" t="s">
        <v>4795</v>
      </c>
      <c r="H1397" s="110" t="s">
        <v>3089</v>
      </c>
      <c r="I1397" s="110" t="s">
        <v>70</v>
      </c>
      <c r="J1397" s="112" t="str">
        <f>J1396</f>
        <v>9690</v>
      </c>
      <c r="K1397" s="110" t="str">
        <f>K1396&amp;"     "</f>
        <v>$     </v>
      </c>
      <c r="L1397" s="110" t="str">
        <f t="shared" ref="L1397:U1397" si="891">L1396</f>
        <v/>
      </c>
      <c r="M1397" s="110" t="str">
        <f t="shared" si="891"/>
        <v/>
      </c>
      <c r="N1397" s="110" t="str">
        <f t="shared" si="891"/>
        <v/>
      </c>
      <c r="O1397" s="110" t="str">
        <f t="shared" si="891"/>
        <v/>
      </c>
      <c r="P1397" s="110" t="str">
        <f t="shared" si="891"/>
        <v/>
      </c>
      <c r="Q1397" s="110" t="str">
        <f t="shared" si="891"/>
        <v/>
      </c>
      <c r="R1397" s="110" t="str">
        <f t="shared" si="891"/>
        <v/>
      </c>
      <c r="S1397" s="110" t="str">
        <f t="shared" si="891"/>
        <v/>
      </c>
      <c r="T1397" s="110" t="str">
        <f t="shared" si="891"/>
        <v/>
      </c>
      <c r="U1397" s="110" t="str">
        <f t="shared" si="891"/>
        <v/>
      </c>
      <c r="V1397" s="110" t="str">
        <f>V1396&amp;"     "</f>
        <v>Nuevo     </v>
      </c>
      <c r="W1397" s="112" t="str">
        <f>W1396</f>
        <v>Inactiva</v>
      </c>
    </row>
    <row r="1398" ht="49.5" customHeight="1">
      <c r="A1398" s="110" t="s">
        <v>63</v>
      </c>
      <c r="B1398" s="110" t="s">
        <v>5675</v>
      </c>
      <c r="C1398" s="110" t="s">
        <v>5680</v>
      </c>
      <c r="D1398" s="110" t="s">
        <v>5680</v>
      </c>
      <c r="E1398" s="112" t="s">
        <v>5681</v>
      </c>
      <c r="F1398" s="114" t="str">
        <f>"     "&amp;F1396</f>
        <v>     Short Futbol Niño Negro</v>
      </c>
      <c r="G1398" s="110" t="s">
        <v>5682</v>
      </c>
      <c r="H1398" s="110" t="s">
        <v>3089</v>
      </c>
      <c r="I1398" s="110" t="s">
        <v>70</v>
      </c>
      <c r="J1398" s="112" t="str">
        <f>J1396</f>
        <v>9690</v>
      </c>
      <c r="K1398" s="110" t="str">
        <f>K1396&amp;"     "</f>
        <v>$     </v>
      </c>
      <c r="L1398" s="110" t="str">
        <f t="shared" ref="L1398:U1398" si="892">L1396</f>
        <v/>
      </c>
      <c r="M1398" s="110" t="str">
        <f t="shared" si="892"/>
        <v/>
      </c>
      <c r="N1398" s="110" t="str">
        <f t="shared" si="892"/>
        <v/>
      </c>
      <c r="O1398" s="110" t="str">
        <f t="shared" si="892"/>
        <v/>
      </c>
      <c r="P1398" s="110" t="str">
        <f t="shared" si="892"/>
        <v/>
      </c>
      <c r="Q1398" s="110" t="str">
        <f t="shared" si="892"/>
        <v/>
      </c>
      <c r="R1398" s="110" t="str">
        <f t="shared" si="892"/>
        <v/>
      </c>
      <c r="S1398" s="110" t="str">
        <f t="shared" si="892"/>
        <v/>
      </c>
      <c r="T1398" s="110" t="str">
        <f t="shared" si="892"/>
        <v/>
      </c>
      <c r="U1398" s="110" t="str">
        <f t="shared" si="892"/>
        <v/>
      </c>
      <c r="V1398" s="110" t="str">
        <f>V1396&amp;"     "</f>
        <v>Nuevo     </v>
      </c>
      <c r="W1398" s="112" t="str">
        <f>W1396</f>
        <v>Inactiva</v>
      </c>
    </row>
    <row r="1399" ht="49.5" customHeight="1">
      <c r="A1399" s="110" t="s">
        <v>63</v>
      </c>
      <c r="B1399" s="110" t="s">
        <v>5683</v>
      </c>
      <c r="C1399" s="110"/>
      <c r="D1399" s="110"/>
      <c r="E1399" s="112" t="s">
        <v>63</v>
      </c>
      <c r="F1399" s="112" t="s">
        <v>5684</v>
      </c>
      <c r="G1399" s="110" t="s">
        <v>70</v>
      </c>
      <c r="H1399" s="110" t="s">
        <v>321</v>
      </c>
      <c r="I1399" s="110" t="s">
        <v>70</v>
      </c>
      <c r="J1399" s="112" t="s">
        <v>5685</v>
      </c>
      <c r="K1399" s="110" t="s">
        <v>71</v>
      </c>
      <c r="L1399" s="110" t="s">
        <v>63</v>
      </c>
      <c r="M1399" s="110" t="s">
        <v>63</v>
      </c>
      <c r="N1399" s="110" t="s">
        <v>63</v>
      </c>
      <c r="O1399" s="110" t="s">
        <v>63</v>
      </c>
      <c r="P1399" s="110" t="s">
        <v>63</v>
      </c>
      <c r="Q1399" s="110" t="s">
        <v>63</v>
      </c>
      <c r="R1399" s="110" t="s">
        <v>63</v>
      </c>
      <c r="S1399" s="110" t="s">
        <v>63</v>
      </c>
      <c r="T1399" s="110" t="s">
        <v>63</v>
      </c>
      <c r="U1399" s="110" t="s">
        <v>63</v>
      </c>
      <c r="V1399" s="110" t="s">
        <v>72</v>
      </c>
      <c r="W1399" s="112" t="s">
        <v>3696</v>
      </c>
    </row>
    <row r="1400" ht="49.5" customHeight="1">
      <c r="A1400" s="110" t="s">
        <v>63</v>
      </c>
      <c r="B1400" s="110" t="s">
        <v>5683</v>
      </c>
      <c r="C1400" s="110" t="s">
        <v>5686</v>
      </c>
      <c r="D1400" s="110" t="s">
        <v>5686</v>
      </c>
      <c r="E1400" s="112" t="s">
        <v>5687</v>
      </c>
      <c r="F1400" s="114" t="str">
        <f>"     "&amp;F1399</f>
        <v>     Pack Media Juvenil 2.20.04 Lisa</v>
      </c>
      <c r="G1400" s="110" t="s">
        <v>5688</v>
      </c>
      <c r="H1400" s="110" t="s">
        <v>3089</v>
      </c>
      <c r="I1400" s="110" t="s">
        <v>70</v>
      </c>
      <c r="J1400" s="112" t="str">
        <f>J1399</f>
        <v>7690</v>
      </c>
      <c r="K1400" s="110" t="str">
        <f>K1399&amp;"     "</f>
        <v>$     </v>
      </c>
      <c r="L1400" s="110" t="str">
        <f t="shared" ref="L1400:U1400" si="893">L1399</f>
        <v/>
      </c>
      <c r="M1400" s="110" t="str">
        <f t="shared" si="893"/>
        <v/>
      </c>
      <c r="N1400" s="110" t="str">
        <f t="shared" si="893"/>
        <v/>
      </c>
      <c r="O1400" s="110" t="str">
        <f t="shared" si="893"/>
        <v/>
      </c>
      <c r="P1400" s="110" t="str">
        <f t="shared" si="893"/>
        <v/>
      </c>
      <c r="Q1400" s="110" t="str">
        <f t="shared" si="893"/>
        <v/>
      </c>
      <c r="R1400" s="110" t="str">
        <f t="shared" si="893"/>
        <v/>
      </c>
      <c r="S1400" s="110" t="str">
        <f t="shared" si="893"/>
        <v/>
      </c>
      <c r="T1400" s="110" t="str">
        <f t="shared" si="893"/>
        <v/>
      </c>
      <c r="U1400" s="110" t="str">
        <f t="shared" si="893"/>
        <v/>
      </c>
      <c r="V1400" s="110" t="str">
        <f>V1399&amp;"     "</f>
        <v>Nuevo     </v>
      </c>
      <c r="W1400" s="112" t="str">
        <f>W1399</f>
        <v>Inactiva</v>
      </c>
    </row>
    <row r="1401" ht="49.5" customHeight="1">
      <c r="A1401" s="110" t="s">
        <v>63</v>
      </c>
      <c r="B1401" s="110" t="s">
        <v>5683</v>
      </c>
      <c r="C1401" s="110" t="s">
        <v>5689</v>
      </c>
      <c r="D1401" s="110" t="s">
        <v>5689</v>
      </c>
      <c r="E1401" s="112" t="s">
        <v>5690</v>
      </c>
      <c r="F1401" s="114" t="str">
        <f>"     "&amp;F1399</f>
        <v>     Pack Media Juvenil 2.20.04 Lisa</v>
      </c>
      <c r="G1401" s="110" t="s">
        <v>5691</v>
      </c>
      <c r="H1401" s="110" t="s">
        <v>3089</v>
      </c>
      <c r="I1401" s="110" t="s">
        <v>70</v>
      </c>
      <c r="J1401" s="112" t="str">
        <f>J1399</f>
        <v>7690</v>
      </c>
      <c r="K1401" s="110" t="str">
        <f>K1399&amp;"     "</f>
        <v>$     </v>
      </c>
      <c r="L1401" s="110" t="str">
        <f t="shared" ref="L1401:U1401" si="894">L1399</f>
        <v/>
      </c>
      <c r="M1401" s="110" t="str">
        <f t="shared" si="894"/>
        <v/>
      </c>
      <c r="N1401" s="110" t="str">
        <f t="shared" si="894"/>
        <v/>
      </c>
      <c r="O1401" s="110" t="str">
        <f t="shared" si="894"/>
        <v/>
      </c>
      <c r="P1401" s="110" t="str">
        <f t="shared" si="894"/>
        <v/>
      </c>
      <c r="Q1401" s="110" t="str">
        <f t="shared" si="894"/>
        <v/>
      </c>
      <c r="R1401" s="110" t="str">
        <f t="shared" si="894"/>
        <v/>
      </c>
      <c r="S1401" s="110" t="str">
        <f t="shared" si="894"/>
        <v/>
      </c>
      <c r="T1401" s="110" t="str">
        <f t="shared" si="894"/>
        <v/>
      </c>
      <c r="U1401" s="110" t="str">
        <f t="shared" si="894"/>
        <v/>
      </c>
      <c r="V1401" s="110" t="str">
        <f>V1399&amp;"     "</f>
        <v>Nuevo     </v>
      </c>
      <c r="W1401" s="112" t="str">
        <f>W1399</f>
        <v>Inactiva</v>
      </c>
    </row>
    <row r="1402" ht="49.5" customHeight="1">
      <c r="A1402" s="110" t="s">
        <v>63</v>
      </c>
      <c r="B1402" s="110" t="s">
        <v>5683</v>
      </c>
      <c r="C1402" s="110" t="s">
        <v>5692</v>
      </c>
      <c r="D1402" s="110" t="s">
        <v>5692</v>
      </c>
      <c r="E1402" s="112" t="s">
        <v>5693</v>
      </c>
      <c r="F1402" s="114" t="str">
        <f>"     "&amp;F1399</f>
        <v>     Pack Media Juvenil 2.20.04 Lisa</v>
      </c>
      <c r="G1402" s="110" t="s">
        <v>889</v>
      </c>
      <c r="H1402" s="110" t="s">
        <v>3089</v>
      </c>
      <c r="I1402" s="110" t="s">
        <v>70</v>
      </c>
      <c r="J1402" s="112" t="str">
        <f>J1399</f>
        <v>7690</v>
      </c>
      <c r="K1402" s="110" t="str">
        <f>K1399&amp;"     "</f>
        <v>$     </v>
      </c>
      <c r="L1402" s="110" t="str">
        <f t="shared" ref="L1402:U1402" si="895">L1399</f>
        <v/>
      </c>
      <c r="M1402" s="110" t="str">
        <f t="shared" si="895"/>
        <v/>
      </c>
      <c r="N1402" s="110" t="str">
        <f t="shared" si="895"/>
        <v/>
      </c>
      <c r="O1402" s="110" t="str">
        <f t="shared" si="895"/>
        <v/>
      </c>
      <c r="P1402" s="110" t="str">
        <f t="shared" si="895"/>
        <v/>
      </c>
      <c r="Q1402" s="110" t="str">
        <f t="shared" si="895"/>
        <v/>
      </c>
      <c r="R1402" s="110" t="str">
        <f t="shared" si="895"/>
        <v/>
      </c>
      <c r="S1402" s="110" t="str">
        <f t="shared" si="895"/>
        <v/>
      </c>
      <c r="T1402" s="110" t="str">
        <f t="shared" si="895"/>
        <v/>
      </c>
      <c r="U1402" s="110" t="str">
        <f t="shared" si="895"/>
        <v/>
      </c>
      <c r="V1402" s="110" t="str">
        <f>V1399&amp;"     "</f>
        <v>Nuevo     </v>
      </c>
      <c r="W1402" s="112" t="str">
        <f>W1399</f>
        <v>Inactiva</v>
      </c>
    </row>
    <row r="1403" ht="49.5" customHeight="1">
      <c r="A1403" s="110" t="s">
        <v>5694</v>
      </c>
      <c r="B1403" s="110" t="s">
        <v>5695</v>
      </c>
      <c r="C1403" s="110" t="s">
        <v>5696</v>
      </c>
      <c r="D1403" s="110"/>
      <c r="E1403" s="112" t="s">
        <v>5697</v>
      </c>
      <c r="F1403" s="112" t="s">
        <v>5698</v>
      </c>
      <c r="G1403" s="110" t="s">
        <v>463</v>
      </c>
      <c r="H1403" s="110" t="s">
        <v>5699</v>
      </c>
      <c r="I1403" s="110" t="s">
        <v>70</v>
      </c>
      <c r="J1403" s="112" t="s">
        <v>5700</v>
      </c>
      <c r="K1403" s="110" t="s">
        <v>71</v>
      </c>
      <c r="L1403" s="110" t="s">
        <v>63</v>
      </c>
      <c r="M1403" s="110" t="s">
        <v>63</v>
      </c>
      <c r="N1403" s="110" t="s">
        <v>63</v>
      </c>
      <c r="O1403" s="110" t="s">
        <v>63</v>
      </c>
      <c r="P1403" s="110" t="s">
        <v>63</v>
      </c>
      <c r="Q1403" s="110" t="s">
        <v>63</v>
      </c>
      <c r="R1403" s="110" t="s">
        <v>63</v>
      </c>
      <c r="S1403" s="110" t="s">
        <v>63</v>
      </c>
      <c r="T1403" s="110" t="s">
        <v>63</v>
      </c>
      <c r="U1403" s="110" t="s">
        <v>63</v>
      </c>
      <c r="V1403" s="110" t="s">
        <v>72</v>
      </c>
      <c r="W1403" s="112" t="s">
        <v>3696</v>
      </c>
    </row>
    <row r="1404" ht="49.5" customHeight="1">
      <c r="A1404" s="110" t="s">
        <v>5701</v>
      </c>
      <c r="B1404" s="110" t="s">
        <v>5702</v>
      </c>
      <c r="C1404" s="110" t="s">
        <v>5703</v>
      </c>
      <c r="D1404" s="110"/>
      <c r="E1404" s="112" t="s">
        <v>5704</v>
      </c>
      <c r="F1404" s="112" t="s">
        <v>5705</v>
      </c>
      <c r="G1404" s="110" t="s">
        <v>138</v>
      </c>
      <c r="H1404" s="110" t="s">
        <v>5699</v>
      </c>
      <c r="I1404" s="110" t="s">
        <v>70</v>
      </c>
      <c r="J1404" s="112" t="s">
        <v>5706</v>
      </c>
      <c r="K1404" s="110" t="s">
        <v>71</v>
      </c>
      <c r="L1404" s="110" t="s">
        <v>63</v>
      </c>
      <c r="M1404" s="110" t="s">
        <v>63</v>
      </c>
      <c r="N1404" s="110" t="s">
        <v>63</v>
      </c>
      <c r="O1404" s="110" t="s">
        <v>63</v>
      </c>
      <c r="P1404" s="110" t="s">
        <v>63</v>
      </c>
      <c r="Q1404" s="110" t="s">
        <v>63</v>
      </c>
      <c r="R1404" s="110" t="s">
        <v>63</v>
      </c>
      <c r="S1404" s="110" t="s">
        <v>63</v>
      </c>
      <c r="T1404" s="110" t="s">
        <v>63</v>
      </c>
      <c r="U1404" s="110" t="s">
        <v>63</v>
      </c>
      <c r="V1404" s="110" t="s">
        <v>72</v>
      </c>
      <c r="W1404" s="112" t="s">
        <v>3696</v>
      </c>
    </row>
    <row r="1405" ht="49.5" customHeight="1">
      <c r="A1405" s="110" t="s">
        <v>5707</v>
      </c>
      <c r="B1405" s="110" t="s">
        <v>5708</v>
      </c>
      <c r="C1405" s="110" t="s">
        <v>5709</v>
      </c>
      <c r="D1405" s="110"/>
      <c r="E1405" s="112" t="s">
        <v>5710</v>
      </c>
      <c r="F1405" s="112" t="s">
        <v>5711</v>
      </c>
      <c r="G1405" s="110" t="s">
        <v>5711</v>
      </c>
      <c r="H1405" s="110" t="s">
        <v>3089</v>
      </c>
      <c r="I1405" s="110" t="s">
        <v>70</v>
      </c>
      <c r="J1405" s="112" t="s">
        <v>5712</v>
      </c>
      <c r="K1405" s="110" t="s">
        <v>71</v>
      </c>
      <c r="L1405" s="110" t="s">
        <v>63</v>
      </c>
      <c r="M1405" s="110" t="s">
        <v>63</v>
      </c>
      <c r="N1405" s="110" t="s">
        <v>63</v>
      </c>
      <c r="O1405" s="110" t="s">
        <v>63</v>
      </c>
      <c r="P1405" s="110" t="s">
        <v>63</v>
      </c>
      <c r="Q1405" s="110" t="s">
        <v>63</v>
      </c>
      <c r="R1405" s="110" t="s">
        <v>63</v>
      </c>
      <c r="S1405" s="110" t="s">
        <v>63</v>
      </c>
      <c r="T1405" s="110" t="s">
        <v>63</v>
      </c>
      <c r="U1405" s="110" t="s">
        <v>63</v>
      </c>
      <c r="V1405" s="110" t="s">
        <v>72</v>
      </c>
      <c r="W1405" s="112" t="s">
        <v>3696</v>
      </c>
    </row>
    <row r="1406" ht="49.5" customHeight="1">
      <c r="A1406" s="110" t="s">
        <v>5713</v>
      </c>
      <c r="B1406" s="110" t="s">
        <v>5714</v>
      </c>
      <c r="C1406" s="110" t="s">
        <v>5715</v>
      </c>
      <c r="D1406" s="110"/>
      <c r="E1406" s="112" t="s">
        <v>5716</v>
      </c>
      <c r="F1406" s="112" t="s">
        <v>5717</v>
      </c>
      <c r="G1406" s="110" t="s">
        <v>84</v>
      </c>
      <c r="H1406" s="110" t="s">
        <v>5699</v>
      </c>
      <c r="I1406" s="110" t="s">
        <v>70</v>
      </c>
      <c r="J1406" s="112" t="s">
        <v>5718</v>
      </c>
      <c r="K1406" s="110" t="s">
        <v>71</v>
      </c>
      <c r="L1406" s="110" t="s">
        <v>63</v>
      </c>
      <c r="M1406" s="110" t="s">
        <v>63</v>
      </c>
      <c r="N1406" s="110" t="s">
        <v>63</v>
      </c>
      <c r="O1406" s="110" t="s">
        <v>63</v>
      </c>
      <c r="P1406" s="110" t="s">
        <v>63</v>
      </c>
      <c r="Q1406" s="110" t="s">
        <v>63</v>
      </c>
      <c r="R1406" s="110" t="s">
        <v>63</v>
      </c>
      <c r="S1406" s="110" t="s">
        <v>63</v>
      </c>
      <c r="T1406" s="110" t="s">
        <v>63</v>
      </c>
      <c r="U1406" s="110" t="s">
        <v>63</v>
      </c>
      <c r="V1406" s="110" t="s">
        <v>72</v>
      </c>
      <c r="W1406" s="112" t="s">
        <v>3696</v>
      </c>
    </row>
    <row r="1407" ht="49.5" customHeight="1">
      <c r="A1407" s="110" t="s">
        <v>5719</v>
      </c>
      <c r="B1407" s="110" t="s">
        <v>5720</v>
      </c>
      <c r="C1407" s="110" t="s">
        <v>5721</v>
      </c>
      <c r="D1407" s="110"/>
      <c r="E1407" s="112" t="s">
        <v>5722</v>
      </c>
      <c r="F1407" s="112" t="s">
        <v>5723</v>
      </c>
      <c r="G1407" s="110" t="s">
        <v>5723</v>
      </c>
      <c r="H1407" s="110" t="s">
        <v>3089</v>
      </c>
      <c r="I1407" s="110" t="s">
        <v>70</v>
      </c>
      <c r="J1407" s="112" t="s">
        <v>5724</v>
      </c>
      <c r="K1407" s="110" t="s">
        <v>71</v>
      </c>
      <c r="L1407" s="110" t="s">
        <v>63</v>
      </c>
      <c r="M1407" s="110" t="s">
        <v>63</v>
      </c>
      <c r="N1407" s="110" t="s">
        <v>63</v>
      </c>
      <c r="O1407" s="110" t="s">
        <v>63</v>
      </c>
      <c r="P1407" s="110" t="s">
        <v>63</v>
      </c>
      <c r="Q1407" s="110" t="s">
        <v>63</v>
      </c>
      <c r="R1407" s="110" t="s">
        <v>63</v>
      </c>
      <c r="S1407" s="110" t="s">
        <v>63</v>
      </c>
      <c r="T1407" s="110" t="s">
        <v>63</v>
      </c>
      <c r="U1407" s="110" t="s">
        <v>63</v>
      </c>
      <c r="V1407" s="110" t="s">
        <v>72</v>
      </c>
      <c r="W1407" s="112" t="s">
        <v>3696</v>
      </c>
    </row>
    <row r="1408" ht="49.5" customHeight="1">
      <c r="A1408" s="110" t="s">
        <v>5725</v>
      </c>
      <c r="B1408" s="110" t="s">
        <v>5726</v>
      </c>
      <c r="C1408" s="110" t="s">
        <v>5727</v>
      </c>
      <c r="D1408" s="110"/>
      <c r="E1408" s="112" t="s">
        <v>5728</v>
      </c>
      <c r="F1408" s="112" t="s">
        <v>5729</v>
      </c>
      <c r="G1408" s="110" t="s">
        <v>368</v>
      </c>
      <c r="H1408" s="110" t="s">
        <v>5699</v>
      </c>
      <c r="I1408" s="110" t="s">
        <v>70</v>
      </c>
      <c r="J1408" s="112" t="s">
        <v>5730</v>
      </c>
      <c r="K1408" s="110" t="s">
        <v>71</v>
      </c>
      <c r="L1408" s="110" t="s">
        <v>63</v>
      </c>
      <c r="M1408" s="110" t="s">
        <v>63</v>
      </c>
      <c r="N1408" s="110" t="s">
        <v>63</v>
      </c>
      <c r="O1408" s="110" t="s">
        <v>63</v>
      </c>
      <c r="P1408" s="110" t="s">
        <v>63</v>
      </c>
      <c r="Q1408" s="110" t="s">
        <v>63</v>
      </c>
      <c r="R1408" s="110" t="s">
        <v>63</v>
      </c>
      <c r="S1408" s="110" t="s">
        <v>63</v>
      </c>
      <c r="T1408" s="110" t="s">
        <v>63</v>
      </c>
      <c r="U1408" s="110" t="s">
        <v>63</v>
      </c>
      <c r="V1408" s="110" t="s">
        <v>72</v>
      </c>
      <c r="W1408" s="112" t="s">
        <v>3696</v>
      </c>
    </row>
    <row r="1409" ht="49.5" customHeight="1">
      <c r="A1409" s="110" t="s">
        <v>5731</v>
      </c>
      <c r="B1409" s="110" t="s">
        <v>5732</v>
      </c>
      <c r="C1409" s="110" t="s">
        <v>5733</v>
      </c>
      <c r="D1409" s="110"/>
      <c r="E1409" s="112" t="s">
        <v>5734</v>
      </c>
      <c r="F1409" s="112" t="s">
        <v>5735</v>
      </c>
      <c r="G1409" s="110" t="s">
        <v>368</v>
      </c>
      <c r="H1409" s="110" t="s">
        <v>5699</v>
      </c>
      <c r="I1409" s="110" t="s">
        <v>70</v>
      </c>
      <c r="J1409" s="112" t="s">
        <v>5736</v>
      </c>
      <c r="K1409" s="110" t="s">
        <v>71</v>
      </c>
      <c r="L1409" s="110" t="s">
        <v>63</v>
      </c>
      <c r="M1409" s="110" t="s">
        <v>63</v>
      </c>
      <c r="N1409" s="110" t="s">
        <v>63</v>
      </c>
      <c r="O1409" s="110" t="s">
        <v>63</v>
      </c>
      <c r="P1409" s="110" t="s">
        <v>63</v>
      </c>
      <c r="Q1409" s="110" t="s">
        <v>63</v>
      </c>
      <c r="R1409" s="110" t="s">
        <v>63</v>
      </c>
      <c r="S1409" s="110" t="s">
        <v>63</v>
      </c>
      <c r="T1409" s="110" t="s">
        <v>63</v>
      </c>
      <c r="U1409" s="110" t="s">
        <v>63</v>
      </c>
      <c r="V1409" s="110" t="s">
        <v>72</v>
      </c>
      <c r="W1409" s="112" t="s">
        <v>3696</v>
      </c>
    </row>
    <row r="1410" ht="49.5" customHeight="1">
      <c r="A1410" s="110" t="s">
        <v>63</v>
      </c>
      <c r="B1410" s="110" t="s">
        <v>5737</v>
      </c>
      <c r="C1410" s="110"/>
      <c r="D1410" s="110"/>
      <c r="E1410" s="112" t="s">
        <v>63</v>
      </c>
      <c r="F1410" s="112" t="s">
        <v>4983</v>
      </c>
      <c r="G1410" s="110" t="s">
        <v>70</v>
      </c>
      <c r="H1410" s="110" t="s">
        <v>1934</v>
      </c>
      <c r="I1410" s="110" t="s">
        <v>70</v>
      </c>
      <c r="J1410" s="112" t="s">
        <v>5738</v>
      </c>
      <c r="K1410" s="110" t="s">
        <v>71</v>
      </c>
      <c r="L1410" s="110" t="s">
        <v>63</v>
      </c>
      <c r="M1410" s="110" t="s">
        <v>63</v>
      </c>
      <c r="N1410" s="110" t="s">
        <v>63</v>
      </c>
      <c r="O1410" s="110" t="s">
        <v>63</v>
      </c>
      <c r="P1410" s="110" t="s">
        <v>63</v>
      </c>
      <c r="Q1410" s="110" t="s">
        <v>63</v>
      </c>
      <c r="R1410" s="110" t="s">
        <v>63</v>
      </c>
      <c r="S1410" s="110" t="s">
        <v>63</v>
      </c>
      <c r="T1410" s="110" t="s">
        <v>63</v>
      </c>
      <c r="U1410" s="110" t="s">
        <v>63</v>
      </c>
      <c r="V1410" s="110" t="s">
        <v>72</v>
      </c>
      <c r="W1410" s="112" t="s">
        <v>3696</v>
      </c>
    </row>
    <row r="1411" ht="49.5" customHeight="1">
      <c r="A1411" s="110" t="s">
        <v>63</v>
      </c>
      <c r="B1411" s="110" t="s">
        <v>5737</v>
      </c>
      <c r="C1411" s="110" t="s">
        <v>5739</v>
      </c>
      <c r="D1411" s="110" t="s">
        <v>5739</v>
      </c>
      <c r="E1411" s="112" t="s">
        <v>4993</v>
      </c>
      <c r="F1411" s="114" t="str">
        <f>"     "&amp;F1410</f>
        <v>     Pack Top Mujer Lady Genny S-127 Cotton Spandex</v>
      </c>
      <c r="G1411" s="110" t="s">
        <v>5740</v>
      </c>
      <c r="H1411" s="110" t="s">
        <v>3089</v>
      </c>
      <c r="I1411" s="110" t="s">
        <v>70</v>
      </c>
      <c r="J1411" s="112" t="str">
        <f>J1410</f>
        <v>13590</v>
      </c>
      <c r="K1411" s="110" t="str">
        <f>K1410&amp;"     "</f>
        <v>$     </v>
      </c>
      <c r="L1411" s="110" t="str">
        <f t="shared" ref="L1411:U1411" si="896">L1410</f>
        <v/>
      </c>
      <c r="M1411" s="110" t="str">
        <f t="shared" si="896"/>
        <v/>
      </c>
      <c r="N1411" s="110" t="str">
        <f t="shared" si="896"/>
        <v/>
      </c>
      <c r="O1411" s="110" t="str">
        <f t="shared" si="896"/>
        <v/>
      </c>
      <c r="P1411" s="110" t="str">
        <f t="shared" si="896"/>
        <v/>
      </c>
      <c r="Q1411" s="110" t="str">
        <f t="shared" si="896"/>
        <v/>
      </c>
      <c r="R1411" s="110" t="str">
        <f t="shared" si="896"/>
        <v/>
      </c>
      <c r="S1411" s="110" t="str">
        <f t="shared" si="896"/>
        <v/>
      </c>
      <c r="T1411" s="110" t="str">
        <f t="shared" si="896"/>
        <v/>
      </c>
      <c r="U1411" s="110" t="str">
        <f t="shared" si="896"/>
        <v/>
      </c>
      <c r="V1411" s="110" t="str">
        <f>V1410&amp;"     "</f>
        <v>Nuevo     </v>
      </c>
      <c r="W1411" s="112" t="str">
        <f>W1410</f>
        <v>Inactiva</v>
      </c>
    </row>
    <row r="1412" ht="49.5" customHeight="1">
      <c r="A1412" s="110" t="s">
        <v>63</v>
      </c>
      <c r="B1412" s="110" t="s">
        <v>5737</v>
      </c>
      <c r="C1412" s="110" t="s">
        <v>5741</v>
      </c>
      <c r="D1412" s="110" t="s">
        <v>5741</v>
      </c>
      <c r="E1412" s="112" t="s">
        <v>4985</v>
      </c>
      <c r="F1412" s="114" t="str">
        <f>"     "&amp;F1410</f>
        <v>     Pack Top Mujer Lady Genny S-127 Cotton Spandex</v>
      </c>
      <c r="G1412" s="110" t="s">
        <v>5742</v>
      </c>
      <c r="H1412" s="110" t="s">
        <v>3699</v>
      </c>
      <c r="I1412" s="110" t="s">
        <v>70</v>
      </c>
      <c r="J1412" s="112" t="str">
        <f>J1410</f>
        <v>13590</v>
      </c>
      <c r="K1412" s="110" t="str">
        <f>K1410&amp;"     "</f>
        <v>$     </v>
      </c>
      <c r="L1412" s="110" t="str">
        <f t="shared" ref="L1412:U1412" si="897">L1410</f>
        <v/>
      </c>
      <c r="M1412" s="110" t="str">
        <f t="shared" si="897"/>
        <v/>
      </c>
      <c r="N1412" s="110" t="str">
        <f t="shared" si="897"/>
        <v/>
      </c>
      <c r="O1412" s="110" t="str">
        <f t="shared" si="897"/>
        <v/>
      </c>
      <c r="P1412" s="110" t="str">
        <f t="shared" si="897"/>
        <v/>
      </c>
      <c r="Q1412" s="110" t="str">
        <f t="shared" si="897"/>
        <v/>
      </c>
      <c r="R1412" s="110" t="str">
        <f t="shared" si="897"/>
        <v/>
      </c>
      <c r="S1412" s="110" t="str">
        <f t="shared" si="897"/>
        <v/>
      </c>
      <c r="T1412" s="110" t="str">
        <f t="shared" si="897"/>
        <v/>
      </c>
      <c r="U1412" s="110" t="str">
        <f t="shared" si="897"/>
        <v/>
      </c>
      <c r="V1412" s="110" t="str">
        <f>V1410&amp;"     "</f>
        <v>Nuevo     </v>
      </c>
      <c r="W1412" s="112" t="str">
        <f>W1410</f>
        <v>Inactiva</v>
      </c>
    </row>
    <row r="1413" ht="49.5" customHeight="1">
      <c r="A1413" s="110" t="s">
        <v>63</v>
      </c>
      <c r="B1413" s="110" t="s">
        <v>5737</v>
      </c>
      <c r="C1413" s="110" t="s">
        <v>5743</v>
      </c>
      <c r="D1413" s="110" t="s">
        <v>5743</v>
      </c>
      <c r="E1413" s="112" t="s">
        <v>4988</v>
      </c>
      <c r="F1413" s="114" t="str">
        <f>"     "&amp;F1410</f>
        <v>     Pack Top Mujer Lady Genny S-127 Cotton Spandex</v>
      </c>
      <c r="G1413" s="110" t="s">
        <v>5744</v>
      </c>
      <c r="H1413" s="110" t="s">
        <v>3699</v>
      </c>
      <c r="I1413" s="110" t="s">
        <v>70</v>
      </c>
      <c r="J1413" s="112" t="str">
        <f>J1410</f>
        <v>13590</v>
      </c>
      <c r="K1413" s="110" t="str">
        <f>K1410&amp;"     "</f>
        <v>$     </v>
      </c>
      <c r="L1413" s="110" t="str">
        <f t="shared" ref="L1413:U1413" si="898">L1410</f>
        <v/>
      </c>
      <c r="M1413" s="110" t="str">
        <f t="shared" si="898"/>
        <v/>
      </c>
      <c r="N1413" s="110" t="str">
        <f t="shared" si="898"/>
        <v/>
      </c>
      <c r="O1413" s="110" t="str">
        <f t="shared" si="898"/>
        <v/>
      </c>
      <c r="P1413" s="110" t="str">
        <f t="shared" si="898"/>
        <v/>
      </c>
      <c r="Q1413" s="110" t="str">
        <f t="shared" si="898"/>
        <v/>
      </c>
      <c r="R1413" s="110" t="str">
        <f t="shared" si="898"/>
        <v/>
      </c>
      <c r="S1413" s="110" t="str">
        <f t="shared" si="898"/>
        <v/>
      </c>
      <c r="T1413" s="110" t="str">
        <f t="shared" si="898"/>
        <v/>
      </c>
      <c r="U1413" s="110" t="str">
        <f t="shared" si="898"/>
        <v/>
      </c>
      <c r="V1413" s="110" t="str">
        <f>V1410&amp;"     "</f>
        <v>Nuevo     </v>
      </c>
      <c r="W1413" s="112" t="str">
        <f>W1410</f>
        <v>Inactiva</v>
      </c>
    </row>
    <row r="1414" ht="49.5" customHeight="1">
      <c r="A1414" s="110" t="s">
        <v>63</v>
      </c>
      <c r="B1414" s="110" t="s">
        <v>5737</v>
      </c>
      <c r="C1414" s="110" t="s">
        <v>5745</v>
      </c>
      <c r="D1414" s="110" t="s">
        <v>5745</v>
      </c>
      <c r="E1414" s="112" t="s">
        <v>4991</v>
      </c>
      <c r="F1414" s="114" t="str">
        <f>"     "&amp;F1410</f>
        <v>     Pack Top Mujer Lady Genny S-127 Cotton Spandex</v>
      </c>
      <c r="G1414" s="110" t="s">
        <v>2674</v>
      </c>
      <c r="H1414" s="110" t="s">
        <v>3089</v>
      </c>
      <c r="I1414" s="110" t="s">
        <v>70</v>
      </c>
      <c r="J1414" s="112" t="str">
        <f>J1410</f>
        <v>13590</v>
      </c>
      <c r="K1414" s="110" t="str">
        <f>K1410&amp;"     "</f>
        <v>$     </v>
      </c>
      <c r="L1414" s="110" t="str">
        <f t="shared" ref="L1414:U1414" si="899">L1410</f>
        <v/>
      </c>
      <c r="M1414" s="110" t="str">
        <f t="shared" si="899"/>
        <v/>
      </c>
      <c r="N1414" s="110" t="str">
        <f t="shared" si="899"/>
        <v/>
      </c>
      <c r="O1414" s="110" t="str">
        <f t="shared" si="899"/>
        <v/>
      </c>
      <c r="P1414" s="110" t="str">
        <f t="shared" si="899"/>
        <v/>
      </c>
      <c r="Q1414" s="110" t="str">
        <f t="shared" si="899"/>
        <v/>
      </c>
      <c r="R1414" s="110" t="str">
        <f t="shared" si="899"/>
        <v/>
      </c>
      <c r="S1414" s="110" t="str">
        <f t="shared" si="899"/>
        <v/>
      </c>
      <c r="T1414" s="110" t="str">
        <f t="shared" si="899"/>
        <v/>
      </c>
      <c r="U1414" s="110" t="str">
        <f t="shared" si="899"/>
        <v/>
      </c>
      <c r="V1414" s="110" t="str">
        <f>V1410&amp;"     "</f>
        <v>Nuevo     </v>
      </c>
      <c r="W1414" s="112" t="str">
        <f>W1410</f>
        <v>Inactiva</v>
      </c>
    </row>
    <row r="1415" ht="49.5" customHeight="1">
      <c r="A1415" s="110" t="s">
        <v>63</v>
      </c>
      <c r="B1415" s="110" t="s">
        <v>5737</v>
      </c>
      <c r="C1415" s="110" t="s">
        <v>5746</v>
      </c>
      <c r="D1415" s="110" t="s">
        <v>5746</v>
      </c>
      <c r="E1415" s="112" t="s">
        <v>4996</v>
      </c>
      <c r="F1415" s="114" t="str">
        <f>"     "&amp;F1410</f>
        <v>     Pack Top Mujer Lady Genny S-127 Cotton Spandex</v>
      </c>
      <c r="G1415" s="110" t="s">
        <v>5747</v>
      </c>
      <c r="H1415" s="110" t="s">
        <v>3089</v>
      </c>
      <c r="I1415" s="110" t="s">
        <v>70</v>
      </c>
      <c r="J1415" s="112" t="str">
        <f>J1410</f>
        <v>13590</v>
      </c>
      <c r="K1415" s="110" t="str">
        <f>K1410&amp;"     "</f>
        <v>$     </v>
      </c>
      <c r="L1415" s="110" t="str">
        <f t="shared" ref="L1415:U1415" si="900">L1410</f>
        <v/>
      </c>
      <c r="M1415" s="110" t="str">
        <f t="shared" si="900"/>
        <v/>
      </c>
      <c r="N1415" s="110" t="str">
        <f t="shared" si="900"/>
        <v/>
      </c>
      <c r="O1415" s="110" t="str">
        <f t="shared" si="900"/>
        <v/>
      </c>
      <c r="P1415" s="110" t="str">
        <f t="shared" si="900"/>
        <v/>
      </c>
      <c r="Q1415" s="110" t="str">
        <f t="shared" si="900"/>
        <v/>
      </c>
      <c r="R1415" s="110" t="str">
        <f t="shared" si="900"/>
        <v/>
      </c>
      <c r="S1415" s="110" t="str">
        <f t="shared" si="900"/>
        <v/>
      </c>
      <c r="T1415" s="110" t="str">
        <f t="shared" si="900"/>
        <v/>
      </c>
      <c r="U1415" s="110" t="str">
        <f t="shared" si="900"/>
        <v/>
      </c>
      <c r="V1415" s="110" t="str">
        <f>V1410&amp;"     "</f>
        <v>Nuevo     </v>
      </c>
      <c r="W1415" s="112" t="str">
        <f>W1410</f>
        <v>Inactiva</v>
      </c>
    </row>
    <row r="1416" ht="49.5" customHeight="1">
      <c r="A1416" s="110" t="s">
        <v>63</v>
      </c>
      <c r="B1416" s="110" t="s">
        <v>5737</v>
      </c>
      <c r="C1416" s="110" t="s">
        <v>5748</v>
      </c>
      <c r="D1416" s="110" t="s">
        <v>5748</v>
      </c>
      <c r="E1416" s="112" t="s">
        <v>4999</v>
      </c>
      <c r="F1416" s="114" t="str">
        <f>"     "&amp;F1410</f>
        <v>     Pack Top Mujer Lady Genny S-127 Cotton Spandex</v>
      </c>
      <c r="G1416" s="110" t="s">
        <v>2671</v>
      </c>
      <c r="H1416" s="110" t="s">
        <v>3089</v>
      </c>
      <c r="I1416" s="110" t="s">
        <v>70</v>
      </c>
      <c r="J1416" s="112" t="str">
        <f>J1410</f>
        <v>13590</v>
      </c>
      <c r="K1416" s="110" t="str">
        <f>K1410&amp;"     "</f>
        <v>$     </v>
      </c>
      <c r="L1416" s="110" t="str">
        <f t="shared" ref="L1416:U1416" si="901">L1410</f>
        <v/>
      </c>
      <c r="M1416" s="110" t="str">
        <f t="shared" si="901"/>
        <v/>
      </c>
      <c r="N1416" s="110" t="str">
        <f t="shared" si="901"/>
        <v/>
      </c>
      <c r="O1416" s="110" t="str">
        <f t="shared" si="901"/>
        <v/>
      </c>
      <c r="P1416" s="110" t="str">
        <f t="shared" si="901"/>
        <v/>
      </c>
      <c r="Q1416" s="110" t="str">
        <f t="shared" si="901"/>
        <v/>
      </c>
      <c r="R1416" s="110" t="str">
        <f t="shared" si="901"/>
        <v/>
      </c>
      <c r="S1416" s="110" t="str">
        <f t="shared" si="901"/>
        <v/>
      </c>
      <c r="T1416" s="110" t="str">
        <f t="shared" si="901"/>
        <v/>
      </c>
      <c r="U1416" s="110" t="str">
        <f t="shared" si="901"/>
        <v/>
      </c>
      <c r="V1416" s="110" t="str">
        <f>V1410&amp;"     "</f>
        <v>Nuevo     </v>
      </c>
      <c r="W1416" s="112" t="str">
        <f>W1410</f>
        <v>Inactiva</v>
      </c>
    </row>
    <row r="1417" ht="49.5" customHeight="1">
      <c r="A1417" s="110" t="s">
        <v>63</v>
      </c>
      <c r="B1417" s="110" t="s">
        <v>5737</v>
      </c>
      <c r="C1417" s="110" t="s">
        <v>5749</v>
      </c>
      <c r="D1417" s="110" t="s">
        <v>5749</v>
      </c>
      <c r="E1417" s="112" t="s">
        <v>5001</v>
      </c>
      <c r="F1417" s="114" t="str">
        <f>"     "&amp;F1410</f>
        <v>     Pack Top Mujer Lady Genny S-127 Cotton Spandex</v>
      </c>
      <c r="G1417" s="110" t="s">
        <v>5750</v>
      </c>
      <c r="H1417" s="110" t="s">
        <v>3089</v>
      </c>
      <c r="I1417" s="110" t="s">
        <v>70</v>
      </c>
      <c r="J1417" s="112" t="str">
        <f>J1410</f>
        <v>13590</v>
      </c>
      <c r="K1417" s="110" t="str">
        <f>K1410&amp;"     "</f>
        <v>$     </v>
      </c>
      <c r="L1417" s="110" t="str">
        <f t="shared" ref="L1417:U1417" si="902">L1410</f>
        <v/>
      </c>
      <c r="M1417" s="110" t="str">
        <f t="shared" si="902"/>
        <v/>
      </c>
      <c r="N1417" s="110" t="str">
        <f t="shared" si="902"/>
        <v/>
      </c>
      <c r="O1417" s="110" t="str">
        <f t="shared" si="902"/>
        <v/>
      </c>
      <c r="P1417" s="110" t="str">
        <f t="shared" si="902"/>
        <v/>
      </c>
      <c r="Q1417" s="110" t="str">
        <f t="shared" si="902"/>
        <v/>
      </c>
      <c r="R1417" s="110" t="str">
        <f t="shared" si="902"/>
        <v/>
      </c>
      <c r="S1417" s="110" t="str">
        <f t="shared" si="902"/>
        <v/>
      </c>
      <c r="T1417" s="110" t="str">
        <f t="shared" si="902"/>
        <v/>
      </c>
      <c r="U1417" s="110" t="str">
        <f t="shared" si="902"/>
        <v/>
      </c>
      <c r="V1417" s="110" t="str">
        <f>V1410&amp;"     "</f>
        <v>Nuevo     </v>
      </c>
      <c r="W1417" s="112" t="str">
        <f>W1410</f>
        <v>Inactiva</v>
      </c>
    </row>
    <row r="1418" ht="49.5" customHeight="1">
      <c r="A1418" s="110" t="s">
        <v>63</v>
      </c>
      <c r="B1418" s="110" t="s">
        <v>5737</v>
      </c>
      <c r="C1418" s="110" t="s">
        <v>5751</v>
      </c>
      <c r="D1418" s="110" t="s">
        <v>5751</v>
      </c>
      <c r="E1418" s="112" t="s">
        <v>5004</v>
      </c>
      <c r="F1418" s="114" t="str">
        <f>"     "&amp;F1410</f>
        <v>     Pack Top Mujer Lady Genny S-127 Cotton Spandex</v>
      </c>
      <c r="G1418" s="110" t="s">
        <v>5752</v>
      </c>
      <c r="H1418" s="110" t="s">
        <v>3089</v>
      </c>
      <c r="I1418" s="110" t="s">
        <v>70</v>
      </c>
      <c r="J1418" s="112" t="str">
        <f>J1410</f>
        <v>13590</v>
      </c>
      <c r="K1418" s="110" t="str">
        <f>K1410&amp;"     "</f>
        <v>$     </v>
      </c>
      <c r="L1418" s="110" t="str">
        <f t="shared" ref="L1418:U1418" si="903">L1410</f>
        <v/>
      </c>
      <c r="M1418" s="110" t="str">
        <f t="shared" si="903"/>
        <v/>
      </c>
      <c r="N1418" s="110" t="str">
        <f t="shared" si="903"/>
        <v/>
      </c>
      <c r="O1418" s="110" t="str">
        <f t="shared" si="903"/>
        <v/>
      </c>
      <c r="P1418" s="110" t="str">
        <f t="shared" si="903"/>
        <v/>
      </c>
      <c r="Q1418" s="110" t="str">
        <f t="shared" si="903"/>
        <v/>
      </c>
      <c r="R1418" s="110" t="str">
        <f t="shared" si="903"/>
        <v/>
      </c>
      <c r="S1418" s="110" t="str">
        <f t="shared" si="903"/>
        <v/>
      </c>
      <c r="T1418" s="110" t="str">
        <f t="shared" si="903"/>
        <v/>
      </c>
      <c r="U1418" s="110" t="str">
        <f t="shared" si="903"/>
        <v/>
      </c>
      <c r="V1418" s="110" t="str">
        <f>V1410&amp;"     "</f>
        <v>Nuevo     </v>
      </c>
      <c r="W1418" s="112" t="str">
        <f>W1410</f>
        <v>Inactiva</v>
      </c>
    </row>
    <row r="1419" ht="49.5" customHeight="1">
      <c r="A1419" s="110" t="s">
        <v>63</v>
      </c>
      <c r="B1419" s="110" t="s">
        <v>5737</v>
      </c>
      <c r="C1419" s="110" t="s">
        <v>5753</v>
      </c>
      <c r="D1419" s="110" t="s">
        <v>5753</v>
      </c>
      <c r="E1419" s="112" t="s">
        <v>5007</v>
      </c>
      <c r="F1419" s="114" t="str">
        <f>"     "&amp;F1410</f>
        <v>     Pack Top Mujer Lady Genny S-127 Cotton Spandex</v>
      </c>
      <c r="G1419" s="110" t="s">
        <v>2677</v>
      </c>
      <c r="H1419" s="110" t="s">
        <v>3089</v>
      </c>
      <c r="I1419" s="110" t="s">
        <v>70</v>
      </c>
      <c r="J1419" s="112" t="str">
        <f>J1410</f>
        <v>13590</v>
      </c>
      <c r="K1419" s="110" t="str">
        <f>K1410&amp;"     "</f>
        <v>$     </v>
      </c>
      <c r="L1419" s="110" t="str">
        <f t="shared" ref="L1419:U1419" si="904">L1410</f>
        <v/>
      </c>
      <c r="M1419" s="110" t="str">
        <f t="shared" si="904"/>
        <v/>
      </c>
      <c r="N1419" s="110" t="str">
        <f t="shared" si="904"/>
        <v/>
      </c>
      <c r="O1419" s="110" t="str">
        <f t="shared" si="904"/>
        <v/>
      </c>
      <c r="P1419" s="110" t="str">
        <f t="shared" si="904"/>
        <v/>
      </c>
      <c r="Q1419" s="110" t="str">
        <f t="shared" si="904"/>
        <v/>
      </c>
      <c r="R1419" s="110" t="str">
        <f t="shared" si="904"/>
        <v/>
      </c>
      <c r="S1419" s="110" t="str">
        <f t="shared" si="904"/>
        <v/>
      </c>
      <c r="T1419" s="110" t="str">
        <f t="shared" si="904"/>
        <v/>
      </c>
      <c r="U1419" s="110" t="str">
        <f t="shared" si="904"/>
        <v/>
      </c>
      <c r="V1419" s="110" t="str">
        <f>V1410&amp;"     "</f>
        <v>Nuevo     </v>
      </c>
      <c r="W1419" s="112" t="str">
        <f>W1410</f>
        <v>Inactiva</v>
      </c>
    </row>
    <row r="1420" ht="49.5" customHeight="1">
      <c r="A1420" s="110" t="s">
        <v>63</v>
      </c>
      <c r="B1420" s="110" t="s">
        <v>5737</v>
      </c>
      <c r="C1420" s="110" t="s">
        <v>5754</v>
      </c>
      <c r="D1420" s="110" t="s">
        <v>5754</v>
      </c>
      <c r="E1420" s="112" t="s">
        <v>5009</v>
      </c>
      <c r="F1420" s="114" t="str">
        <f>"     "&amp;F1410</f>
        <v>     Pack Top Mujer Lady Genny S-127 Cotton Spandex</v>
      </c>
      <c r="G1420" s="110" t="s">
        <v>5755</v>
      </c>
      <c r="H1420" s="110" t="s">
        <v>3089</v>
      </c>
      <c r="I1420" s="110" t="s">
        <v>70</v>
      </c>
      <c r="J1420" s="112" t="str">
        <f>J1410</f>
        <v>13590</v>
      </c>
      <c r="K1420" s="110" t="str">
        <f>K1410&amp;"     "</f>
        <v>$     </v>
      </c>
      <c r="L1420" s="110" t="str">
        <f t="shared" ref="L1420:U1420" si="905">L1410</f>
        <v/>
      </c>
      <c r="M1420" s="110" t="str">
        <f t="shared" si="905"/>
        <v/>
      </c>
      <c r="N1420" s="110" t="str">
        <f t="shared" si="905"/>
        <v/>
      </c>
      <c r="O1420" s="110" t="str">
        <f t="shared" si="905"/>
        <v/>
      </c>
      <c r="P1420" s="110" t="str">
        <f t="shared" si="905"/>
        <v/>
      </c>
      <c r="Q1420" s="110" t="str">
        <f t="shared" si="905"/>
        <v/>
      </c>
      <c r="R1420" s="110" t="str">
        <f t="shared" si="905"/>
        <v/>
      </c>
      <c r="S1420" s="110" t="str">
        <f t="shared" si="905"/>
        <v/>
      </c>
      <c r="T1420" s="110" t="str">
        <f t="shared" si="905"/>
        <v/>
      </c>
      <c r="U1420" s="110" t="str">
        <f t="shared" si="905"/>
        <v/>
      </c>
      <c r="V1420" s="110" t="str">
        <f>V1410&amp;"     "</f>
        <v>Nuevo     </v>
      </c>
      <c r="W1420" s="112" t="str">
        <f>W1410</f>
        <v>Inactiva</v>
      </c>
    </row>
    <row r="1421" ht="49.5" customHeight="1">
      <c r="A1421" s="110" t="s">
        <v>63</v>
      </c>
      <c r="B1421" s="110" t="s">
        <v>5737</v>
      </c>
      <c r="C1421" s="110" t="s">
        <v>5756</v>
      </c>
      <c r="D1421" s="110" t="s">
        <v>5756</v>
      </c>
      <c r="E1421" s="112" t="s">
        <v>5012</v>
      </c>
      <c r="F1421" s="114" t="str">
        <f>"     "&amp;F1410</f>
        <v>     Pack Top Mujer Lady Genny S-127 Cotton Spandex</v>
      </c>
      <c r="G1421" s="110" t="s">
        <v>5757</v>
      </c>
      <c r="H1421" s="110" t="s">
        <v>3089</v>
      </c>
      <c r="I1421" s="110" t="s">
        <v>70</v>
      </c>
      <c r="J1421" s="112" t="str">
        <f>J1410</f>
        <v>13590</v>
      </c>
      <c r="K1421" s="110" t="str">
        <f>K1410&amp;"     "</f>
        <v>$     </v>
      </c>
      <c r="L1421" s="110" t="str">
        <f t="shared" ref="L1421:U1421" si="906">L1410</f>
        <v/>
      </c>
      <c r="M1421" s="110" t="str">
        <f t="shared" si="906"/>
        <v/>
      </c>
      <c r="N1421" s="110" t="str">
        <f t="shared" si="906"/>
        <v/>
      </c>
      <c r="O1421" s="110" t="str">
        <f t="shared" si="906"/>
        <v/>
      </c>
      <c r="P1421" s="110" t="str">
        <f t="shared" si="906"/>
        <v/>
      </c>
      <c r="Q1421" s="110" t="str">
        <f t="shared" si="906"/>
        <v/>
      </c>
      <c r="R1421" s="110" t="str">
        <f t="shared" si="906"/>
        <v/>
      </c>
      <c r="S1421" s="110" t="str">
        <f t="shared" si="906"/>
        <v/>
      </c>
      <c r="T1421" s="110" t="str">
        <f t="shared" si="906"/>
        <v/>
      </c>
      <c r="U1421" s="110" t="str">
        <f t="shared" si="906"/>
        <v/>
      </c>
      <c r="V1421" s="110" t="str">
        <f>V1410&amp;"     "</f>
        <v>Nuevo     </v>
      </c>
      <c r="W1421" s="112" t="str">
        <f>W1410</f>
        <v>Inactiva</v>
      </c>
    </row>
    <row r="1422" ht="49.5" customHeight="1">
      <c r="A1422" s="110" t="s">
        <v>63</v>
      </c>
      <c r="B1422" s="110" t="s">
        <v>5737</v>
      </c>
      <c r="C1422" s="110" t="s">
        <v>5758</v>
      </c>
      <c r="D1422" s="110" t="s">
        <v>5758</v>
      </c>
      <c r="E1422" s="112" t="s">
        <v>5015</v>
      </c>
      <c r="F1422" s="114" t="str">
        <f>"     "&amp;F1410</f>
        <v>     Pack Top Mujer Lady Genny S-127 Cotton Spandex</v>
      </c>
      <c r="G1422" s="110" t="s">
        <v>2680</v>
      </c>
      <c r="H1422" s="110" t="s">
        <v>3089</v>
      </c>
      <c r="I1422" s="110" t="s">
        <v>70</v>
      </c>
      <c r="J1422" s="112" t="str">
        <f>J1410</f>
        <v>13590</v>
      </c>
      <c r="K1422" s="110" t="str">
        <f>K1410&amp;"     "</f>
        <v>$     </v>
      </c>
      <c r="L1422" s="110" t="str">
        <f t="shared" ref="L1422:U1422" si="907">L1410</f>
        <v/>
      </c>
      <c r="M1422" s="110" t="str">
        <f t="shared" si="907"/>
        <v/>
      </c>
      <c r="N1422" s="110" t="str">
        <f t="shared" si="907"/>
        <v/>
      </c>
      <c r="O1422" s="110" t="str">
        <f t="shared" si="907"/>
        <v/>
      </c>
      <c r="P1422" s="110" t="str">
        <f t="shared" si="907"/>
        <v/>
      </c>
      <c r="Q1422" s="110" t="str">
        <f t="shared" si="907"/>
        <v/>
      </c>
      <c r="R1422" s="110" t="str">
        <f t="shared" si="907"/>
        <v/>
      </c>
      <c r="S1422" s="110" t="str">
        <f t="shared" si="907"/>
        <v/>
      </c>
      <c r="T1422" s="110" t="str">
        <f t="shared" si="907"/>
        <v/>
      </c>
      <c r="U1422" s="110" t="str">
        <f t="shared" si="907"/>
        <v/>
      </c>
      <c r="V1422" s="110" t="str">
        <f>V1410&amp;"     "</f>
        <v>Nuevo     </v>
      </c>
      <c r="W1422" s="112" t="str">
        <f>W1410</f>
        <v>Inactiva</v>
      </c>
    </row>
    <row r="1423" ht="49.5" customHeight="1">
      <c r="A1423" s="110" t="s">
        <v>63</v>
      </c>
      <c r="B1423" s="110" t="s">
        <v>5759</v>
      </c>
      <c r="C1423" s="110"/>
      <c r="D1423" s="110"/>
      <c r="E1423" s="112" t="s">
        <v>63</v>
      </c>
      <c r="F1423" s="112" t="s">
        <v>5018</v>
      </c>
      <c r="G1423" s="110" t="s">
        <v>70</v>
      </c>
      <c r="H1423" s="110" t="s">
        <v>5760</v>
      </c>
      <c r="I1423" s="110" t="s">
        <v>70</v>
      </c>
      <c r="J1423" s="112" t="s">
        <v>5513</v>
      </c>
      <c r="K1423" s="110" t="s">
        <v>71</v>
      </c>
      <c r="L1423" s="110" t="s">
        <v>63</v>
      </c>
      <c r="M1423" s="110" t="s">
        <v>63</v>
      </c>
      <c r="N1423" s="110" t="s">
        <v>63</v>
      </c>
      <c r="O1423" s="110" t="s">
        <v>63</v>
      </c>
      <c r="P1423" s="110" t="s">
        <v>63</v>
      </c>
      <c r="Q1423" s="110" t="s">
        <v>63</v>
      </c>
      <c r="R1423" s="110" t="s">
        <v>63</v>
      </c>
      <c r="S1423" s="110" t="s">
        <v>63</v>
      </c>
      <c r="T1423" s="110" t="s">
        <v>63</v>
      </c>
      <c r="U1423" s="110" t="s">
        <v>63</v>
      </c>
      <c r="V1423" s="110" t="s">
        <v>72</v>
      </c>
      <c r="W1423" s="112" t="s">
        <v>3696</v>
      </c>
    </row>
    <row r="1424" ht="49.5" customHeight="1">
      <c r="A1424" s="110" t="s">
        <v>63</v>
      </c>
      <c r="B1424" s="110" t="s">
        <v>5759</v>
      </c>
      <c r="C1424" s="110" t="s">
        <v>5761</v>
      </c>
      <c r="D1424" s="110" t="s">
        <v>5761</v>
      </c>
      <c r="E1424" s="112" t="s">
        <v>5020</v>
      </c>
      <c r="F1424" s="114" t="str">
        <f>"     "&amp;F1423</f>
        <v>     Pack Top Mujer Lady Genny S-325 Seamless Encaje</v>
      </c>
      <c r="G1424" s="110" t="s">
        <v>5021</v>
      </c>
      <c r="H1424" s="110" t="s">
        <v>3089</v>
      </c>
      <c r="I1424" s="110" t="s">
        <v>70</v>
      </c>
      <c r="J1424" s="112" t="str">
        <f>J1423</f>
        <v>11890</v>
      </c>
      <c r="K1424" s="110" t="str">
        <f>K1423&amp;"     "</f>
        <v>$     </v>
      </c>
      <c r="L1424" s="110" t="str">
        <f t="shared" ref="L1424:U1424" si="908">L1423</f>
        <v/>
      </c>
      <c r="M1424" s="110" t="str">
        <f t="shared" si="908"/>
        <v/>
      </c>
      <c r="N1424" s="110" t="str">
        <f t="shared" si="908"/>
        <v/>
      </c>
      <c r="O1424" s="110" t="str">
        <f t="shared" si="908"/>
        <v/>
      </c>
      <c r="P1424" s="110" t="str">
        <f t="shared" si="908"/>
        <v/>
      </c>
      <c r="Q1424" s="110" t="str">
        <f t="shared" si="908"/>
        <v/>
      </c>
      <c r="R1424" s="110" t="str">
        <f t="shared" si="908"/>
        <v/>
      </c>
      <c r="S1424" s="110" t="str">
        <f t="shared" si="908"/>
        <v/>
      </c>
      <c r="T1424" s="110" t="str">
        <f t="shared" si="908"/>
        <v/>
      </c>
      <c r="U1424" s="110" t="str">
        <f t="shared" si="908"/>
        <v/>
      </c>
      <c r="V1424" s="110" t="str">
        <f>V1423&amp;"     "</f>
        <v>Nuevo     </v>
      </c>
      <c r="W1424" s="112" t="str">
        <f>W1423</f>
        <v>Inactiva</v>
      </c>
    </row>
    <row r="1425" ht="49.5" customHeight="1">
      <c r="A1425" s="110" t="s">
        <v>63</v>
      </c>
      <c r="B1425" s="110" t="s">
        <v>5759</v>
      </c>
      <c r="C1425" s="110" t="s">
        <v>5762</v>
      </c>
      <c r="D1425" s="110" t="s">
        <v>5762</v>
      </c>
      <c r="E1425" s="112" t="s">
        <v>5023</v>
      </c>
      <c r="F1425" s="114" t="str">
        <f>"     "&amp;F1423</f>
        <v>     Pack Top Mujer Lady Genny S-325 Seamless Encaje</v>
      </c>
      <c r="G1425" s="110" t="s">
        <v>5024</v>
      </c>
      <c r="H1425" s="110" t="s">
        <v>3089</v>
      </c>
      <c r="I1425" s="110" t="s">
        <v>70</v>
      </c>
      <c r="J1425" s="112" t="str">
        <f>J1423</f>
        <v>11890</v>
      </c>
      <c r="K1425" s="110" t="str">
        <f>K1423&amp;"     "</f>
        <v>$     </v>
      </c>
      <c r="L1425" s="110" t="str">
        <f t="shared" ref="L1425:U1425" si="909">L1423</f>
        <v/>
      </c>
      <c r="M1425" s="110" t="str">
        <f t="shared" si="909"/>
        <v/>
      </c>
      <c r="N1425" s="110" t="str">
        <f t="shared" si="909"/>
        <v/>
      </c>
      <c r="O1425" s="110" t="str">
        <f t="shared" si="909"/>
        <v/>
      </c>
      <c r="P1425" s="110" t="str">
        <f t="shared" si="909"/>
        <v/>
      </c>
      <c r="Q1425" s="110" t="str">
        <f t="shared" si="909"/>
        <v/>
      </c>
      <c r="R1425" s="110" t="str">
        <f t="shared" si="909"/>
        <v/>
      </c>
      <c r="S1425" s="110" t="str">
        <f t="shared" si="909"/>
        <v/>
      </c>
      <c r="T1425" s="110" t="str">
        <f t="shared" si="909"/>
        <v/>
      </c>
      <c r="U1425" s="110" t="str">
        <f t="shared" si="909"/>
        <v/>
      </c>
      <c r="V1425" s="110" t="str">
        <f>V1423&amp;"     "</f>
        <v>Nuevo     </v>
      </c>
      <c r="W1425" s="112" t="str">
        <f>W1423</f>
        <v>Inactiva</v>
      </c>
    </row>
    <row r="1426" ht="49.5" customHeight="1">
      <c r="A1426" s="110" t="s">
        <v>63</v>
      </c>
      <c r="B1426" s="110" t="s">
        <v>5759</v>
      </c>
      <c r="C1426" s="110" t="s">
        <v>5763</v>
      </c>
      <c r="D1426" s="110" t="s">
        <v>5763</v>
      </c>
      <c r="E1426" s="112" t="s">
        <v>5026</v>
      </c>
      <c r="F1426" s="114" t="str">
        <f>"     "&amp;F1423</f>
        <v>     Pack Top Mujer Lady Genny S-325 Seamless Encaje</v>
      </c>
      <c r="G1426" s="110" t="s">
        <v>5027</v>
      </c>
      <c r="H1426" s="110" t="s">
        <v>3089</v>
      </c>
      <c r="I1426" s="110" t="s">
        <v>70</v>
      </c>
      <c r="J1426" s="112" t="str">
        <f>J1423</f>
        <v>11890</v>
      </c>
      <c r="K1426" s="110" t="str">
        <f>K1423&amp;"     "</f>
        <v>$     </v>
      </c>
      <c r="L1426" s="110" t="str">
        <f t="shared" ref="L1426:U1426" si="910">L1423</f>
        <v/>
      </c>
      <c r="M1426" s="110" t="str">
        <f t="shared" si="910"/>
        <v/>
      </c>
      <c r="N1426" s="110" t="str">
        <f t="shared" si="910"/>
        <v/>
      </c>
      <c r="O1426" s="110" t="str">
        <f t="shared" si="910"/>
        <v/>
      </c>
      <c r="P1426" s="110" t="str">
        <f t="shared" si="910"/>
        <v/>
      </c>
      <c r="Q1426" s="110" t="str">
        <f t="shared" si="910"/>
        <v/>
      </c>
      <c r="R1426" s="110" t="str">
        <f t="shared" si="910"/>
        <v/>
      </c>
      <c r="S1426" s="110" t="str">
        <f t="shared" si="910"/>
        <v/>
      </c>
      <c r="T1426" s="110" t="str">
        <f t="shared" si="910"/>
        <v/>
      </c>
      <c r="U1426" s="110" t="str">
        <f t="shared" si="910"/>
        <v/>
      </c>
      <c r="V1426" s="110" t="str">
        <f>V1423&amp;"     "</f>
        <v>Nuevo     </v>
      </c>
      <c r="W1426" s="112" t="str">
        <f>W1423</f>
        <v>Inactiva</v>
      </c>
    </row>
    <row r="1427" ht="49.5" customHeight="1">
      <c r="A1427" s="110" t="s">
        <v>63</v>
      </c>
      <c r="B1427" s="110" t="s">
        <v>5759</v>
      </c>
      <c r="C1427" s="110" t="s">
        <v>5764</v>
      </c>
      <c r="D1427" s="110" t="s">
        <v>5764</v>
      </c>
      <c r="E1427" s="112" t="s">
        <v>5029</v>
      </c>
      <c r="F1427" s="114" t="str">
        <f>"     "&amp;F1423</f>
        <v>     Pack Top Mujer Lady Genny S-325 Seamless Encaje</v>
      </c>
      <c r="G1427" s="110" t="s">
        <v>5030</v>
      </c>
      <c r="H1427" s="110" t="s">
        <v>3089</v>
      </c>
      <c r="I1427" s="110" t="s">
        <v>70</v>
      </c>
      <c r="J1427" s="112" t="str">
        <f>J1423</f>
        <v>11890</v>
      </c>
      <c r="K1427" s="110" t="str">
        <f>K1423&amp;"     "</f>
        <v>$     </v>
      </c>
      <c r="L1427" s="110" t="str">
        <f t="shared" ref="L1427:U1427" si="911">L1423</f>
        <v/>
      </c>
      <c r="M1427" s="110" t="str">
        <f t="shared" si="911"/>
        <v/>
      </c>
      <c r="N1427" s="110" t="str">
        <f t="shared" si="911"/>
        <v/>
      </c>
      <c r="O1427" s="110" t="str">
        <f t="shared" si="911"/>
        <v/>
      </c>
      <c r="P1427" s="110" t="str">
        <f t="shared" si="911"/>
        <v/>
      </c>
      <c r="Q1427" s="110" t="str">
        <f t="shared" si="911"/>
        <v/>
      </c>
      <c r="R1427" s="110" t="str">
        <f t="shared" si="911"/>
        <v/>
      </c>
      <c r="S1427" s="110" t="str">
        <f t="shared" si="911"/>
        <v/>
      </c>
      <c r="T1427" s="110" t="str">
        <f t="shared" si="911"/>
        <v/>
      </c>
      <c r="U1427" s="110" t="str">
        <f t="shared" si="911"/>
        <v/>
      </c>
      <c r="V1427" s="110" t="str">
        <f>V1423&amp;"     "</f>
        <v>Nuevo     </v>
      </c>
      <c r="W1427" s="112" t="str">
        <f>W1423</f>
        <v>Inactiva</v>
      </c>
    </row>
    <row r="1428" ht="49.5" customHeight="1">
      <c r="A1428" s="110" t="s">
        <v>63</v>
      </c>
      <c r="B1428" s="110" t="s">
        <v>5759</v>
      </c>
      <c r="C1428" s="110" t="s">
        <v>5765</v>
      </c>
      <c r="D1428" s="110" t="s">
        <v>5765</v>
      </c>
      <c r="E1428" s="112" t="s">
        <v>5032</v>
      </c>
      <c r="F1428" s="114" t="str">
        <f>"     "&amp;F1423</f>
        <v>     Pack Top Mujer Lady Genny S-325 Seamless Encaje</v>
      </c>
      <c r="G1428" s="110" t="s">
        <v>5033</v>
      </c>
      <c r="H1428" s="110" t="s">
        <v>3089</v>
      </c>
      <c r="I1428" s="110" t="s">
        <v>70</v>
      </c>
      <c r="J1428" s="112" t="str">
        <f>J1423</f>
        <v>11890</v>
      </c>
      <c r="K1428" s="110" t="str">
        <f>K1423&amp;"     "</f>
        <v>$     </v>
      </c>
      <c r="L1428" s="110" t="str">
        <f t="shared" ref="L1428:U1428" si="912">L1423</f>
        <v/>
      </c>
      <c r="M1428" s="110" t="str">
        <f t="shared" si="912"/>
        <v/>
      </c>
      <c r="N1428" s="110" t="str">
        <f t="shared" si="912"/>
        <v/>
      </c>
      <c r="O1428" s="110" t="str">
        <f t="shared" si="912"/>
        <v/>
      </c>
      <c r="P1428" s="110" t="str">
        <f t="shared" si="912"/>
        <v/>
      </c>
      <c r="Q1428" s="110" t="str">
        <f t="shared" si="912"/>
        <v/>
      </c>
      <c r="R1428" s="110" t="str">
        <f t="shared" si="912"/>
        <v/>
      </c>
      <c r="S1428" s="110" t="str">
        <f t="shared" si="912"/>
        <v/>
      </c>
      <c r="T1428" s="110" t="str">
        <f t="shared" si="912"/>
        <v/>
      </c>
      <c r="U1428" s="110" t="str">
        <f t="shared" si="912"/>
        <v/>
      </c>
      <c r="V1428" s="110" t="str">
        <f>V1423&amp;"     "</f>
        <v>Nuevo     </v>
      </c>
      <c r="W1428" s="112" t="str">
        <f>W1423</f>
        <v>Inactiva</v>
      </c>
    </row>
    <row r="1429" ht="49.5" customHeight="1">
      <c r="A1429" s="110" t="s">
        <v>63</v>
      </c>
      <c r="B1429" s="110" t="s">
        <v>5759</v>
      </c>
      <c r="C1429" s="110" t="s">
        <v>5766</v>
      </c>
      <c r="D1429" s="110" t="s">
        <v>5766</v>
      </c>
      <c r="E1429" s="112" t="s">
        <v>5035</v>
      </c>
      <c r="F1429" s="114" t="str">
        <f>"     "&amp;F1423</f>
        <v>     Pack Top Mujer Lady Genny S-325 Seamless Encaje</v>
      </c>
      <c r="G1429" s="110" t="s">
        <v>5036</v>
      </c>
      <c r="H1429" s="110" t="s">
        <v>3089</v>
      </c>
      <c r="I1429" s="110" t="s">
        <v>70</v>
      </c>
      <c r="J1429" s="112" t="str">
        <f>J1423</f>
        <v>11890</v>
      </c>
      <c r="K1429" s="110" t="str">
        <f>K1423&amp;"     "</f>
        <v>$     </v>
      </c>
      <c r="L1429" s="110" t="str">
        <f t="shared" ref="L1429:U1429" si="913">L1423</f>
        <v/>
      </c>
      <c r="M1429" s="110" t="str">
        <f t="shared" si="913"/>
        <v/>
      </c>
      <c r="N1429" s="110" t="str">
        <f t="shared" si="913"/>
        <v/>
      </c>
      <c r="O1429" s="110" t="str">
        <f t="shared" si="913"/>
        <v/>
      </c>
      <c r="P1429" s="110" t="str">
        <f t="shared" si="913"/>
        <v/>
      </c>
      <c r="Q1429" s="110" t="str">
        <f t="shared" si="913"/>
        <v/>
      </c>
      <c r="R1429" s="110" t="str">
        <f t="shared" si="913"/>
        <v/>
      </c>
      <c r="S1429" s="110" t="str">
        <f t="shared" si="913"/>
        <v/>
      </c>
      <c r="T1429" s="110" t="str">
        <f t="shared" si="913"/>
        <v/>
      </c>
      <c r="U1429" s="110" t="str">
        <f t="shared" si="913"/>
        <v/>
      </c>
      <c r="V1429" s="110" t="str">
        <f>V1423&amp;"     "</f>
        <v>Nuevo     </v>
      </c>
      <c r="W1429" s="112" t="str">
        <f>W1423</f>
        <v>Inactiva</v>
      </c>
    </row>
    <row r="1430" ht="49.5" customHeight="1">
      <c r="A1430" s="110" t="s">
        <v>63</v>
      </c>
      <c r="B1430" s="110" t="s">
        <v>5759</v>
      </c>
      <c r="C1430" s="110" t="s">
        <v>5767</v>
      </c>
      <c r="D1430" s="110" t="s">
        <v>5767</v>
      </c>
      <c r="E1430" s="112" t="s">
        <v>5038</v>
      </c>
      <c r="F1430" s="114" t="str">
        <f>"     "&amp;F1423</f>
        <v>     Pack Top Mujer Lady Genny S-325 Seamless Encaje</v>
      </c>
      <c r="G1430" s="110" t="s">
        <v>5039</v>
      </c>
      <c r="H1430" s="110" t="s">
        <v>3089</v>
      </c>
      <c r="I1430" s="110" t="s">
        <v>70</v>
      </c>
      <c r="J1430" s="112" t="str">
        <f>J1423</f>
        <v>11890</v>
      </c>
      <c r="K1430" s="110" t="str">
        <f>K1423&amp;"     "</f>
        <v>$     </v>
      </c>
      <c r="L1430" s="110" t="str">
        <f t="shared" ref="L1430:U1430" si="914">L1423</f>
        <v/>
      </c>
      <c r="M1430" s="110" t="str">
        <f t="shared" si="914"/>
        <v/>
      </c>
      <c r="N1430" s="110" t="str">
        <f t="shared" si="914"/>
        <v/>
      </c>
      <c r="O1430" s="110" t="str">
        <f t="shared" si="914"/>
        <v/>
      </c>
      <c r="P1430" s="110" t="str">
        <f t="shared" si="914"/>
        <v/>
      </c>
      <c r="Q1430" s="110" t="str">
        <f t="shared" si="914"/>
        <v/>
      </c>
      <c r="R1430" s="110" t="str">
        <f t="shared" si="914"/>
        <v/>
      </c>
      <c r="S1430" s="110" t="str">
        <f t="shared" si="914"/>
        <v/>
      </c>
      <c r="T1430" s="110" t="str">
        <f t="shared" si="914"/>
        <v/>
      </c>
      <c r="U1430" s="110" t="str">
        <f t="shared" si="914"/>
        <v/>
      </c>
      <c r="V1430" s="110" t="str">
        <f>V1423&amp;"     "</f>
        <v>Nuevo     </v>
      </c>
      <c r="W1430" s="112" t="str">
        <f>W1423</f>
        <v>Inactiva</v>
      </c>
    </row>
    <row r="1431" ht="49.5" customHeight="1">
      <c r="A1431" s="110" t="s">
        <v>63</v>
      </c>
      <c r="B1431" s="110" t="s">
        <v>5759</v>
      </c>
      <c r="C1431" s="110" t="s">
        <v>5768</v>
      </c>
      <c r="D1431" s="110" t="s">
        <v>5768</v>
      </c>
      <c r="E1431" s="112" t="s">
        <v>5041</v>
      </c>
      <c r="F1431" s="114" t="str">
        <f>"     "&amp;F1423</f>
        <v>     Pack Top Mujer Lady Genny S-325 Seamless Encaje</v>
      </c>
      <c r="G1431" s="110" t="s">
        <v>5042</v>
      </c>
      <c r="H1431" s="110" t="s">
        <v>3089</v>
      </c>
      <c r="I1431" s="110" t="s">
        <v>70</v>
      </c>
      <c r="J1431" s="112" t="str">
        <f>J1423</f>
        <v>11890</v>
      </c>
      <c r="K1431" s="110" t="str">
        <f>K1423&amp;"     "</f>
        <v>$     </v>
      </c>
      <c r="L1431" s="110" t="str">
        <f t="shared" ref="L1431:U1431" si="915">L1423</f>
        <v/>
      </c>
      <c r="M1431" s="110" t="str">
        <f t="shared" si="915"/>
        <v/>
      </c>
      <c r="N1431" s="110" t="str">
        <f t="shared" si="915"/>
        <v/>
      </c>
      <c r="O1431" s="110" t="str">
        <f t="shared" si="915"/>
        <v/>
      </c>
      <c r="P1431" s="110" t="str">
        <f t="shared" si="915"/>
        <v/>
      </c>
      <c r="Q1431" s="110" t="str">
        <f t="shared" si="915"/>
        <v/>
      </c>
      <c r="R1431" s="110" t="str">
        <f t="shared" si="915"/>
        <v/>
      </c>
      <c r="S1431" s="110" t="str">
        <f t="shared" si="915"/>
        <v/>
      </c>
      <c r="T1431" s="110" t="str">
        <f t="shared" si="915"/>
        <v/>
      </c>
      <c r="U1431" s="110" t="str">
        <f t="shared" si="915"/>
        <v/>
      </c>
      <c r="V1431" s="110" t="str">
        <f>V1423&amp;"     "</f>
        <v>Nuevo     </v>
      </c>
      <c r="W1431" s="112" t="str">
        <f>W1423</f>
        <v>Inactiva</v>
      </c>
    </row>
    <row r="1432" ht="49.5" customHeight="1">
      <c r="A1432" s="110" t="s">
        <v>63</v>
      </c>
      <c r="B1432" s="110" t="s">
        <v>5759</v>
      </c>
      <c r="C1432" s="110" t="s">
        <v>5769</v>
      </c>
      <c r="D1432" s="110" t="s">
        <v>5769</v>
      </c>
      <c r="E1432" s="112" t="s">
        <v>5044</v>
      </c>
      <c r="F1432" s="114" t="str">
        <f>"     "&amp;F1423</f>
        <v>     Pack Top Mujer Lady Genny S-325 Seamless Encaje</v>
      </c>
      <c r="G1432" s="110" t="s">
        <v>5045</v>
      </c>
      <c r="H1432" s="110" t="s">
        <v>3089</v>
      </c>
      <c r="I1432" s="110" t="s">
        <v>70</v>
      </c>
      <c r="J1432" s="112" t="str">
        <f>J1423</f>
        <v>11890</v>
      </c>
      <c r="K1432" s="110" t="str">
        <f>K1423&amp;"     "</f>
        <v>$     </v>
      </c>
      <c r="L1432" s="110" t="str">
        <f t="shared" ref="L1432:U1432" si="916">L1423</f>
        <v/>
      </c>
      <c r="M1432" s="110" t="str">
        <f t="shared" si="916"/>
        <v/>
      </c>
      <c r="N1432" s="110" t="str">
        <f t="shared" si="916"/>
        <v/>
      </c>
      <c r="O1432" s="110" t="str">
        <f t="shared" si="916"/>
        <v/>
      </c>
      <c r="P1432" s="110" t="str">
        <f t="shared" si="916"/>
        <v/>
      </c>
      <c r="Q1432" s="110" t="str">
        <f t="shared" si="916"/>
        <v/>
      </c>
      <c r="R1432" s="110" t="str">
        <f t="shared" si="916"/>
        <v/>
      </c>
      <c r="S1432" s="110" t="str">
        <f t="shared" si="916"/>
        <v/>
      </c>
      <c r="T1432" s="110" t="str">
        <f t="shared" si="916"/>
        <v/>
      </c>
      <c r="U1432" s="110" t="str">
        <f t="shared" si="916"/>
        <v/>
      </c>
      <c r="V1432" s="110" t="str">
        <f>V1423&amp;"     "</f>
        <v>Nuevo     </v>
      </c>
      <c r="W1432" s="112" t="str">
        <f>W1423</f>
        <v>Inactiva</v>
      </c>
    </row>
    <row r="1433" ht="49.5" customHeight="1">
      <c r="A1433" s="110" t="s">
        <v>63</v>
      </c>
      <c r="B1433" s="110" t="s">
        <v>5759</v>
      </c>
      <c r="C1433" s="110" t="s">
        <v>5770</v>
      </c>
      <c r="D1433" s="110" t="s">
        <v>5770</v>
      </c>
      <c r="E1433" s="112" t="s">
        <v>5047</v>
      </c>
      <c r="F1433" s="114" t="str">
        <f>"     "&amp;F1423</f>
        <v>     Pack Top Mujer Lady Genny S-325 Seamless Encaje</v>
      </c>
      <c r="G1433" s="110" t="s">
        <v>5048</v>
      </c>
      <c r="H1433" s="110" t="s">
        <v>3089</v>
      </c>
      <c r="I1433" s="110" t="s">
        <v>70</v>
      </c>
      <c r="J1433" s="112" t="str">
        <f>J1423</f>
        <v>11890</v>
      </c>
      <c r="K1433" s="110" t="str">
        <f>K1423&amp;"     "</f>
        <v>$     </v>
      </c>
      <c r="L1433" s="110" t="str">
        <f t="shared" ref="L1433:U1433" si="917">L1423</f>
        <v/>
      </c>
      <c r="M1433" s="110" t="str">
        <f t="shared" si="917"/>
        <v/>
      </c>
      <c r="N1433" s="110" t="str">
        <f t="shared" si="917"/>
        <v/>
      </c>
      <c r="O1433" s="110" t="str">
        <f t="shared" si="917"/>
        <v/>
      </c>
      <c r="P1433" s="110" t="str">
        <f t="shared" si="917"/>
        <v/>
      </c>
      <c r="Q1433" s="110" t="str">
        <f t="shared" si="917"/>
        <v/>
      </c>
      <c r="R1433" s="110" t="str">
        <f t="shared" si="917"/>
        <v/>
      </c>
      <c r="S1433" s="110" t="str">
        <f t="shared" si="917"/>
        <v/>
      </c>
      <c r="T1433" s="110" t="str">
        <f t="shared" si="917"/>
        <v/>
      </c>
      <c r="U1433" s="110" t="str">
        <f t="shared" si="917"/>
        <v/>
      </c>
      <c r="V1433" s="110" t="str">
        <f>V1423&amp;"     "</f>
        <v>Nuevo     </v>
      </c>
      <c r="W1433" s="112" t="str">
        <f>W1423</f>
        <v>Inactiva</v>
      </c>
    </row>
    <row r="1434" ht="49.5" customHeight="1">
      <c r="A1434" s="110" t="s">
        <v>63</v>
      </c>
      <c r="B1434" s="110" t="s">
        <v>5759</v>
      </c>
      <c r="C1434" s="110" t="s">
        <v>5771</v>
      </c>
      <c r="D1434" s="110" t="s">
        <v>5771</v>
      </c>
      <c r="E1434" s="112" t="s">
        <v>5050</v>
      </c>
      <c r="F1434" s="114" t="str">
        <f>"     "&amp;F1423</f>
        <v>     Pack Top Mujer Lady Genny S-325 Seamless Encaje</v>
      </c>
      <c r="G1434" s="110" t="s">
        <v>5051</v>
      </c>
      <c r="H1434" s="110" t="s">
        <v>3089</v>
      </c>
      <c r="I1434" s="110" t="s">
        <v>70</v>
      </c>
      <c r="J1434" s="112" t="str">
        <f>J1423</f>
        <v>11890</v>
      </c>
      <c r="K1434" s="110" t="str">
        <f>K1423&amp;"     "</f>
        <v>$     </v>
      </c>
      <c r="L1434" s="110" t="str">
        <f t="shared" ref="L1434:U1434" si="918">L1423</f>
        <v/>
      </c>
      <c r="M1434" s="110" t="str">
        <f t="shared" si="918"/>
        <v/>
      </c>
      <c r="N1434" s="110" t="str">
        <f t="shared" si="918"/>
        <v/>
      </c>
      <c r="O1434" s="110" t="str">
        <f t="shared" si="918"/>
        <v/>
      </c>
      <c r="P1434" s="110" t="str">
        <f t="shared" si="918"/>
        <v/>
      </c>
      <c r="Q1434" s="110" t="str">
        <f t="shared" si="918"/>
        <v/>
      </c>
      <c r="R1434" s="110" t="str">
        <f t="shared" si="918"/>
        <v/>
      </c>
      <c r="S1434" s="110" t="str">
        <f t="shared" si="918"/>
        <v/>
      </c>
      <c r="T1434" s="110" t="str">
        <f t="shared" si="918"/>
        <v/>
      </c>
      <c r="U1434" s="110" t="str">
        <f t="shared" si="918"/>
        <v/>
      </c>
      <c r="V1434" s="110" t="str">
        <f>V1423&amp;"     "</f>
        <v>Nuevo     </v>
      </c>
      <c r="W1434" s="112" t="str">
        <f>W1423</f>
        <v>Inactiva</v>
      </c>
    </row>
    <row r="1435" ht="49.5" customHeight="1">
      <c r="A1435" s="110" t="s">
        <v>63</v>
      </c>
      <c r="B1435" s="110" t="s">
        <v>5759</v>
      </c>
      <c r="C1435" s="110" t="s">
        <v>5772</v>
      </c>
      <c r="D1435" s="110" t="s">
        <v>5772</v>
      </c>
      <c r="E1435" s="112" t="s">
        <v>5053</v>
      </c>
      <c r="F1435" s="114" t="str">
        <f>"     "&amp;F1423</f>
        <v>     Pack Top Mujer Lady Genny S-325 Seamless Encaje</v>
      </c>
      <c r="G1435" s="110" t="s">
        <v>5054</v>
      </c>
      <c r="H1435" s="110" t="s">
        <v>3089</v>
      </c>
      <c r="I1435" s="110" t="s">
        <v>70</v>
      </c>
      <c r="J1435" s="112" t="str">
        <f>J1423</f>
        <v>11890</v>
      </c>
      <c r="K1435" s="110" t="str">
        <f>K1423&amp;"     "</f>
        <v>$     </v>
      </c>
      <c r="L1435" s="110" t="str">
        <f t="shared" ref="L1435:U1435" si="919">L1423</f>
        <v/>
      </c>
      <c r="M1435" s="110" t="str">
        <f t="shared" si="919"/>
        <v/>
      </c>
      <c r="N1435" s="110" t="str">
        <f t="shared" si="919"/>
        <v/>
      </c>
      <c r="O1435" s="110" t="str">
        <f t="shared" si="919"/>
        <v/>
      </c>
      <c r="P1435" s="110" t="str">
        <f t="shared" si="919"/>
        <v/>
      </c>
      <c r="Q1435" s="110" t="str">
        <f t="shared" si="919"/>
        <v/>
      </c>
      <c r="R1435" s="110" t="str">
        <f t="shared" si="919"/>
        <v/>
      </c>
      <c r="S1435" s="110" t="str">
        <f t="shared" si="919"/>
        <v/>
      </c>
      <c r="T1435" s="110" t="str">
        <f t="shared" si="919"/>
        <v/>
      </c>
      <c r="U1435" s="110" t="str">
        <f t="shared" si="919"/>
        <v/>
      </c>
      <c r="V1435" s="110" t="str">
        <f>V1423&amp;"     "</f>
        <v>Nuevo     </v>
      </c>
      <c r="W1435" s="112" t="str">
        <f>W1423</f>
        <v>Inactiva</v>
      </c>
    </row>
    <row r="1436" ht="49.5" customHeight="1">
      <c r="A1436" s="110" t="s">
        <v>63</v>
      </c>
      <c r="B1436" s="110" t="s">
        <v>5759</v>
      </c>
      <c r="C1436" s="110" t="s">
        <v>5773</v>
      </c>
      <c r="D1436" s="110" t="s">
        <v>5773</v>
      </c>
      <c r="E1436" s="112" t="s">
        <v>5056</v>
      </c>
      <c r="F1436" s="114" t="str">
        <f>"     "&amp;F1423</f>
        <v>     Pack Top Mujer Lady Genny S-325 Seamless Encaje</v>
      </c>
      <c r="G1436" s="110" t="s">
        <v>5057</v>
      </c>
      <c r="H1436" s="110" t="s">
        <v>3089</v>
      </c>
      <c r="I1436" s="110" t="s">
        <v>70</v>
      </c>
      <c r="J1436" s="112" t="str">
        <f>J1423</f>
        <v>11890</v>
      </c>
      <c r="K1436" s="110" t="str">
        <f>K1423&amp;"     "</f>
        <v>$     </v>
      </c>
      <c r="L1436" s="110" t="str">
        <f t="shared" ref="L1436:U1436" si="920">L1423</f>
        <v/>
      </c>
      <c r="M1436" s="110" t="str">
        <f t="shared" si="920"/>
        <v/>
      </c>
      <c r="N1436" s="110" t="str">
        <f t="shared" si="920"/>
        <v/>
      </c>
      <c r="O1436" s="110" t="str">
        <f t="shared" si="920"/>
        <v/>
      </c>
      <c r="P1436" s="110" t="str">
        <f t="shared" si="920"/>
        <v/>
      </c>
      <c r="Q1436" s="110" t="str">
        <f t="shared" si="920"/>
        <v/>
      </c>
      <c r="R1436" s="110" t="str">
        <f t="shared" si="920"/>
        <v/>
      </c>
      <c r="S1436" s="110" t="str">
        <f t="shared" si="920"/>
        <v/>
      </c>
      <c r="T1436" s="110" t="str">
        <f t="shared" si="920"/>
        <v/>
      </c>
      <c r="U1436" s="110" t="str">
        <f t="shared" si="920"/>
        <v/>
      </c>
      <c r="V1436" s="110" t="str">
        <f>V1423&amp;"     "</f>
        <v>Nuevo     </v>
      </c>
      <c r="W1436" s="112" t="str">
        <f>W1423</f>
        <v>Inactiva</v>
      </c>
    </row>
    <row r="1437" ht="49.5" customHeight="1">
      <c r="A1437" s="110" t="s">
        <v>63</v>
      </c>
      <c r="B1437" s="110" t="s">
        <v>5759</v>
      </c>
      <c r="C1437" s="110" t="s">
        <v>5774</v>
      </c>
      <c r="D1437" s="110" t="s">
        <v>5774</v>
      </c>
      <c r="E1437" s="112" t="s">
        <v>5059</v>
      </c>
      <c r="F1437" s="114" t="str">
        <f>"     "&amp;F1423</f>
        <v>     Pack Top Mujer Lady Genny S-325 Seamless Encaje</v>
      </c>
      <c r="G1437" s="110" t="s">
        <v>5060</v>
      </c>
      <c r="H1437" s="110" t="s">
        <v>3089</v>
      </c>
      <c r="I1437" s="110" t="s">
        <v>70</v>
      </c>
      <c r="J1437" s="112" t="str">
        <f>J1423</f>
        <v>11890</v>
      </c>
      <c r="K1437" s="110" t="str">
        <f>K1423&amp;"     "</f>
        <v>$     </v>
      </c>
      <c r="L1437" s="110" t="str">
        <f t="shared" ref="L1437:U1437" si="921">L1423</f>
        <v/>
      </c>
      <c r="M1437" s="110" t="str">
        <f t="shared" si="921"/>
        <v/>
      </c>
      <c r="N1437" s="110" t="str">
        <f t="shared" si="921"/>
        <v/>
      </c>
      <c r="O1437" s="110" t="str">
        <f t="shared" si="921"/>
        <v/>
      </c>
      <c r="P1437" s="110" t="str">
        <f t="shared" si="921"/>
        <v/>
      </c>
      <c r="Q1437" s="110" t="str">
        <f t="shared" si="921"/>
        <v/>
      </c>
      <c r="R1437" s="110" t="str">
        <f t="shared" si="921"/>
        <v/>
      </c>
      <c r="S1437" s="110" t="str">
        <f t="shared" si="921"/>
        <v/>
      </c>
      <c r="T1437" s="110" t="str">
        <f t="shared" si="921"/>
        <v/>
      </c>
      <c r="U1437" s="110" t="str">
        <f t="shared" si="921"/>
        <v/>
      </c>
      <c r="V1437" s="110" t="str">
        <f>V1423&amp;"     "</f>
        <v>Nuevo     </v>
      </c>
      <c r="W1437" s="112" t="str">
        <f>W1423</f>
        <v>Inactiva</v>
      </c>
    </row>
    <row r="1438" ht="49.5" customHeight="1">
      <c r="A1438" s="110" t="s">
        <v>63</v>
      </c>
      <c r="B1438" s="110" t="s">
        <v>5759</v>
      </c>
      <c r="C1438" s="110" t="s">
        <v>5775</v>
      </c>
      <c r="D1438" s="110" t="s">
        <v>5775</v>
      </c>
      <c r="E1438" s="112" t="s">
        <v>5062</v>
      </c>
      <c r="F1438" s="114" t="str">
        <f>"     "&amp;F1423</f>
        <v>     Pack Top Mujer Lady Genny S-325 Seamless Encaje</v>
      </c>
      <c r="G1438" s="110" t="s">
        <v>5063</v>
      </c>
      <c r="H1438" s="110" t="s">
        <v>3089</v>
      </c>
      <c r="I1438" s="110" t="s">
        <v>70</v>
      </c>
      <c r="J1438" s="112" t="str">
        <f>J1423</f>
        <v>11890</v>
      </c>
      <c r="K1438" s="110" t="str">
        <f>K1423&amp;"     "</f>
        <v>$     </v>
      </c>
      <c r="L1438" s="110" t="str">
        <f t="shared" ref="L1438:U1438" si="922">L1423</f>
        <v/>
      </c>
      <c r="M1438" s="110" t="str">
        <f t="shared" si="922"/>
        <v/>
      </c>
      <c r="N1438" s="110" t="str">
        <f t="shared" si="922"/>
        <v/>
      </c>
      <c r="O1438" s="110" t="str">
        <f t="shared" si="922"/>
        <v/>
      </c>
      <c r="P1438" s="110" t="str">
        <f t="shared" si="922"/>
        <v/>
      </c>
      <c r="Q1438" s="110" t="str">
        <f t="shared" si="922"/>
        <v/>
      </c>
      <c r="R1438" s="110" t="str">
        <f t="shared" si="922"/>
        <v/>
      </c>
      <c r="S1438" s="110" t="str">
        <f t="shared" si="922"/>
        <v/>
      </c>
      <c r="T1438" s="110" t="str">
        <f t="shared" si="922"/>
        <v/>
      </c>
      <c r="U1438" s="110" t="str">
        <f t="shared" si="922"/>
        <v/>
      </c>
      <c r="V1438" s="110" t="str">
        <f>V1423&amp;"     "</f>
        <v>Nuevo     </v>
      </c>
      <c r="W1438" s="112" t="str">
        <f>W1423</f>
        <v>Inactiva</v>
      </c>
    </row>
    <row r="1439" ht="49.5" customHeight="1">
      <c r="A1439" s="110" t="s">
        <v>5776</v>
      </c>
      <c r="B1439" s="110" t="s">
        <v>5777</v>
      </c>
      <c r="C1439" s="110" t="s">
        <v>5778</v>
      </c>
      <c r="D1439" s="110"/>
      <c r="E1439" s="112" t="s">
        <v>163</v>
      </c>
      <c r="F1439" s="112" t="s">
        <v>164</v>
      </c>
      <c r="G1439" s="110" t="s">
        <v>1546</v>
      </c>
      <c r="H1439" s="110" t="s">
        <v>321</v>
      </c>
      <c r="I1439" s="110" t="s">
        <v>70</v>
      </c>
      <c r="J1439" s="112" t="s">
        <v>5779</v>
      </c>
      <c r="K1439" s="110" t="s">
        <v>71</v>
      </c>
      <c r="L1439" s="110" t="s">
        <v>63</v>
      </c>
      <c r="M1439" s="110" t="s">
        <v>63</v>
      </c>
      <c r="N1439" s="110" t="s">
        <v>63</v>
      </c>
      <c r="O1439" s="110" t="s">
        <v>63</v>
      </c>
      <c r="P1439" s="110" t="s">
        <v>63</v>
      </c>
      <c r="Q1439" s="110" t="s">
        <v>63</v>
      </c>
      <c r="R1439" s="110" t="s">
        <v>63</v>
      </c>
      <c r="S1439" s="110" t="s">
        <v>63</v>
      </c>
      <c r="T1439" s="110" t="s">
        <v>63</v>
      </c>
      <c r="U1439" s="110" t="s">
        <v>63</v>
      </c>
      <c r="V1439" s="110" t="s">
        <v>72</v>
      </c>
      <c r="W1439" s="112" t="s">
        <v>3696</v>
      </c>
    </row>
    <row r="1440" ht="49.5" customHeight="1">
      <c r="A1440" s="110" t="s">
        <v>5780</v>
      </c>
      <c r="B1440" s="110" t="s">
        <v>5781</v>
      </c>
      <c r="C1440" s="110" t="s">
        <v>5782</v>
      </c>
      <c r="D1440" s="110"/>
      <c r="E1440" s="112" t="s">
        <v>5783</v>
      </c>
      <c r="F1440" s="112" t="s">
        <v>5784</v>
      </c>
      <c r="G1440" s="110" t="s">
        <v>5784</v>
      </c>
      <c r="H1440" s="110" t="s">
        <v>3089</v>
      </c>
      <c r="I1440" s="110" t="s">
        <v>70</v>
      </c>
      <c r="J1440" s="112" t="s">
        <v>5785</v>
      </c>
      <c r="K1440" s="110" t="s">
        <v>71</v>
      </c>
      <c r="L1440" s="110" t="s">
        <v>63</v>
      </c>
      <c r="M1440" s="110" t="s">
        <v>63</v>
      </c>
      <c r="N1440" s="110" t="s">
        <v>63</v>
      </c>
      <c r="O1440" s="110" t="s">
        <v>63</v>
      </c>
      <c r="P1440" s="110" t="s">
        <v>63</v>
      </c>
      <c r="Q1440" s="110" t="s">
        <v>63</v>
      </c>
      <c r="R1440" s="110" t="s">
        <v>63</v>
      </c>
      <c r="S1440" s="110" t="s">
        <v>63</v>
      </c>
      <c r="T1440" s="110" t="s">
        <v>63</v>
      </c>
      <c r="U1440" s="110" t="s">
        <v>63</v>
      </c>
      <c r="V1440" s="110" t="s">
        <v>72</v>
      </c>
      <c r="W1440" s="112" t="s">
        <v>3696</v>
      </c>
    </row>
    <row r="1441" ht="49.5" customHeight="1">
      <c r="A1441" s="110" t="s">
        <v>5786</v>
      </c>
      <c r="B1441" s="110" t="s">
        <v>5787</v>
      </c>
      <c r="C1441" s="110" t="s">
        <v>5788</v>
      </c>
      <c r="D1441" s="110"/>
      <c r="E1441" s="112" t="s">
        <v>5789</v>
      </c>
      <c r="F1441" s="112" t="s">
        <v>5790</v>
      </c>
      <c r="G1441" s="110" t="s">
        <v>5790</v>
      </c>
      <c r="H1441" s="110" t="s">
        <v>3089</v>
      </c>
      <c r="I1441" s="110" t="s">
        <v>70</v>
      </c>
      <c r="J1441" s="112" t="s">
        <v>5791</v>
      </c>
      <c r="K1441" s="110" t="s">
        <v>71</v>
      </c>
      <c r="L1441" s="110" t="s">
        <v>63</v>
      </c>
      <c r="M1441" s="110" t="s">
        <v>63</v>
      </c>
      <c r="N1441" s="110" t="s">
        <v>63</v>
      </c>
      <c r="O1441" s="110" t="s">
        <v>63</v>
      </c>
      <c r="P1441" s="110" t="s">
        <v>63</v>
      </c>
      <c r="Q1441" s="110" t="s">
        <v>63</v>
      </c>
      <c r="R1441" s="110" t="s">
        <v>63</v>
      </c>
      <c r="S1441" s="110" t="s">
        <v>63</v>
      </c>
      <c r="T1441" s="110" t="s">
        <v>63</v>
      </c>
      <c r="U1441" s="110" t="s">
        <v>63</v>
      </c>
      <c r="V1441" s="110" t="s">
        <v>72</v>
      </c>
      <c r="W1441" s="112" t="s">
        <v>3696</v>
      </c>
    </row>
    <row r="1442" ht="49.5" customHeight="1">
      <c r="A1442" s="110" t="s">
        <v>5792</v>
      </c>
      <c r="B1442" s="110" t="s">
        <v>5793</v>
      </c>
      <c r="C1442" s="110" t="s">
        <v>5794</v>
      </c>
      <c r="D1442" s="110"/>
      <c r="E1442" s="112" t="s">
        <v>5795</v>
      </c>
      <c r="F1442" s="112" t="s">
        <v>5796</v>
      </c>
      <c r="G1442" s="110" t="s">
        <v>5796</v>
      </c>
      <c r="H1442" s="110" t="s">
        <v>3089</v>
      </c>
      <c r="I1442" s="110" t="s">
        <v>70</v>
      </c>
      <c r="J1442" s="112" t="s">
        <v>5791</v>
      </c>
      <c r="K1442" s="110" t="s">
        <v>71</v>
      </c>
      <c r="L1442" s="110" t="s">
        <v>63</v>
      </c>
      <c r="M1442" s="110" t="s">
        <v>63</v>
      </c>
      <c r="N1442" s="110" t="s">
        <v>63</v>
      </c>
      <c r="O1442" s="110" t="s">
        <v>63</v>
      </c>
      <c r="P1442" s="110" t="s">
        <v>63</v>
      </c>
      <c r="Q1442" s="110" t="s">
        <v>63</v>
      </c>
      <c r="R1442" s="110" t="s">
        <v>63</v>
      </c>
      <c r="S1442" s="110" t="s">
        <v>63</v>
      </c>
      <c r="T1442" s="110" t="s">
        <v>63</v>
      </c>
      <c r="U1442" s="110" t="s">
        <v>63</v>
      </c>
      <c r="V1442" s="110" t="s">
        <v>72</v>
      </c>
      <c r="W1442" s="112" t="s">
        <v>3696</v>
      </c>
    </row>
    <row r="1443" ht="49.5" customHeight="1">
      <c r="A1443" s="110" t="s">
        <v>5797</v>
      </c>
      <c r="B1443" s="110" t="s">
        <v>5798</v>
      </c>
      <c r="C1443" s="110" t="s">
        <v>5799</v>
      </c>
      <c r="D1443" s="110"/>
      <c r="E1443" s="112" t="s">
        <v>5800</v>
      </c>
      <c r="F1443" s="112" t="s">
        <v>5801</v>
      </c>
      <c r="G1443" s="110" t="s">
        <v>5801</v>
      </c>
      <c r="H1443" s="110" t="s">
        <v>321</v>
      </c>
      <c r="I1443" s="110" t="s">
        <v>70</v>
      </c>
      <c r="J1443" s="112" t="s">
        <v>5802</v>
      </c>
      <c r="K1443" s="110" t="s">
        <v>71</v>
      </c>
      <c r="L1443" s="110" t="s">
        <v>63</v>
      </c>
      <c r="M1443" s="110" t="s">
        <v>63</v>
      </c>
      <c r="N1443" s="110" t="s">
        <v>63</v>
      </c>
      <c r="O1443" s="110" t="s">
        <v>63</v>
      </c>
      <c r="P1443" s="110" t="s">
        <v>63</v>
      </c>
      <c r="Q1443" s="110" t="s">
        <v>63</v>
      </c>
      <c r="R1443" s="110" t="s">
        <v>63</v>
      </c>
      <c r="S1443" s="110" t="s">
        <v>63</v>
      </c>
      <c r="T1443" s="110" t="s">
        <v>63</v>
      </c>
      <c r="U1443" s="110" t="s">
        <v>63</v>
      </c>
      <c r="V1443" s="110" t="s">
        <v>72</v>
      </c>
      <c r="W1443" s="112" t="s">
        <v>3696</v>
      </c>
    </row>
    <row r="1444" ht="49.5" customHeight="1">
      <c r="A1444" s="110" t="s">
        <v>5803</v>
      </c>
      <c r="B1444" s="110" t="s">
        <v>5804</v>
      </c>
      <c r="C1444" s="110" t="s">
        <v>5805</v>
      </c>
      <c r="D1444" s="110"/>
      <c r="E1444" s="112" t="s">
        <v>5806</v>
      </c>
      <c r="F1444" s="112" t="s">
        <v>5807</v>
      </c>
      <c r="G1444" s="110" t="s">
        <v>5807</v>
      </c>
      <c r="H1444" s="110" t="s">
        <v>3089</v>
      </c>
      <c r="I1444" s="110" t="s">
        <v>70</v>
      </c>
      <c r="J1444" s="112" t="s">
        <v>63</v>
      </c>
      <c r="K1444" s="110" t="s">
        <v>71</v>
      </c>
      <c r="L1444" s="110" t="s">
        <v>63</v>
      </c>
      <c r="M1444" s="110" t="s">
        <v>63</v>
      </c>
      <c r="N1444" s="110" t="s">
        <v>63</v>
      </c>
      <c r="O1444" s="110" t="s">
        <v>63</v>
      </c>
      <c r="P1444" s="110" t="s">
        <v>63</v>
      </c>
      <c r="Q1444" s="110" t="s">
        <v>63</v>
      </c>
      <c r="R1444" s="110" t="s">
        <v>63</v>
      </c>
      <c r="S1444" s="110" t="s">
        <v>63</v>
      </c>
      <c r="T1444" s="110" t="s">
        <v>63</v>
      </c>
      <c r="U1444" s="110" t="s">
        <v>63</v>
      </c>
      <c r="V1444" s="110" t="s">
        <v>72</v>
      </c>
      <c r="W1444" s="112" t="s">
        <v>3696</v>
      </c>
    </row>
    <row r="1445" ht="49.5" customHeight="1">
      <c r="A1445" s="110" t="s">
        <v>5808</v>
      </c>
      <c r="B1445" s="110" t="s">
        <v>5809</v>
      </c>
      <c r="C1445" s="110" t="s">
        <v>5810</v>
      </c>
      <c r="D1445" s="110"/>
      <c r="E1445" s="112" t="s">
        <v>5811</v>
      </c>
      <c r="F1445" s="112" t="s">
        <v>5812</v>
      </c>
      <c r="G1445" s="110" t="s">
        <v>5812</v>
      </c>
      <c r="H1445" s="110" t="s">
        <v>3089</v>
      </c>
      <c r="I1445" s="110" t="s">
        <v>70</v>
      </c>
      <c r="J1445" s="112" t="s">
        <v>5813</v>
      </c>
      <c r="K1445" s="110" t="s">
        <v>71</v>
      </c>
      <c r="L1445" s="110" t="s">
        <v>63</v>
      </c>
      <c r="M1445" s="110" t="s">
        <v>63</v>
      </c>
      <c r="N1445" s="110" t="s">
        <v>63</v>
      </c>
      <c r="O1445" s="110" t="s">
        <v>63</v>
      </c>
      <c r="P1445" s="110" t="s">
        <v>63</v>
      </c>
      <c r="Q1445" s="110" t="s">
        <v>63</v>
      </c>
      <c r="R1445" s="110" t="s">
        <v>63</v>
      </c>
      <c r="S1445" s="110" t="s">
        <v>63</v>
      </c>
      <c r="T1445" s="110" t="s">
        <v>63</v>
      </c>
      <c r="U1445" s="110" t="s">
        <v>63</v>
      </c>
      <c r="V1445" s="110" t="s">
        <v>72</v>
      </c>
      <c r="W1445" s="112" t="s">
        <v>3696</v>
      </c>
    </row>
    <row r="1446" ht="49.5" customHeight="1">
      <c r="A1446" s="110" t="s">
        <v>63</v>
      </c>
      <c r="B1446" s="110" t="s">
        <v>5814</v>
      </c>
      <c r="C1446" s="110"/>
      <c r="D1446" s="110"/>
      <c r="E1446" s="112" t="s">
        <v>63</v>
      </c>
      <c r="F1446" s="112" t="s">
        <v>5676</v>
      </c>
      <c r="G1446" s="110" t="s">
        <v>70</v>
      </c>
      <c r="H1446" s="110" t="s">
        <v>681</v>
      </c>
      <c r="I1446" s="110" t="s">
        <v>70</v>
      </c>
      <c r="J1446" s="112" t="s">
        <v>5685</v>
      </c>
      <c r="K1446" s="110" t="s">
        <v>71</v>
      </c>
      <c r="L1446" s="110" t="s">
        <v>63</v>
      </c>
      <c r="M1446" s="110" t="s">
        <v>63</v>
      </c>
      <c r="N1446" s="110" t="s">
        <v>63</v>
      </c>
      <c r="O1446" s="110" t="s">
        <v>63</v>
      </c>
      <c r="P1446" s="110" t="s">
        <v>63</v>
      </c>
      <c r="Q1446" s="110" t="s">
        <v>63</v>
      </c>
      <c r="R1446" s="110" t="s">
        <v>63</v>
      </c>
      <c r="S1446" s="110" t="s">
        <v>63</v>
      </c>
      <c r="T1446" s="110" t="s">
        <v>63</v>
      </c>
      <c r="U1446" s="110" t="s">
        <v>63</v>
      </c>
      <c r="V1446" s="110" t="s">
        <v>72</v>
      </c>
      <c r="W1446" s="112" t="s">
        <v>3696</v>
      </c>
    </row>
    <row r="1447" ht="49.5" customHeight="1">
      <c r="A1447" s="110" t="s">
        <v>63</v>
      </c>
      <c r="B1447" s="110" t="s">
        <v>5814</v>
      </c>
      <c r="C1447" s="110" t="s">
        <v>5815</v>
      </c>
      <c r="D1447" s="110" t="s">
        <v>5815</v>
      </c>
      <c r="E1447" s="112" t="s">
        <v>5816</v>
      </c>
      <c r="F1447" s="114" t="str">
        <f>"     "&amp;F1446</f>
        <v>     Short Futbol Niño Negro</v>
      </c>
      <c r="G1447" s="110" t="s">
        <v>3064</v>
      </c>
      <c r="H1447" s="110" t="s">
        <v>3089</v>
      </c>
      <c r="I1447" s="110" t="s">
        <v>70</v>
      </c>
      <c r="J1447" s="112" t="str">
        <f>J1446</f>
        <v>7690</v>
      </c>
      <c r="K1447" s="110" t="str">
        <f>K1446&amp;"     "</f>
        <v>$     </v>
      </c>
      <c r="L1447" s="110" t="str">
        <f t="shared" ref="L1447:U1447" si="923">L1446</f>
        <v/>
      </c>
      <c r="M1447" s="110" t="str">
        <f t="shared" si="923"/>
        <v/>
      </c>
      <c r="N1447" s="110" t="str">
        <f t="shared" si="923"/>
        <v/>
      </c>
      <c r="O1447" s="110" t="str">
        <f t="shared" si="923"/>
        <v/>
      </c>
      <c r="P1447" s="110" t="str">
        <f t="shared" si="923"/>
        <v/>
      </c>
      <c r="Q1447" s="110" t="str">
        <f t="shared" si="923"/>
        <v/>
      </c>
      <c r="R1447" s="110" t="str">
        <f t="shared" si="923"/>
        <v/>
      </c>
      <c r="S1447" s="110" t="str">
        <f t="shared" si="923"/>
        <v/>
      </c>
      <c r="T1447" s="110" t="str">
        <f t="shared" si="923"/>
        <v/>
      </c>
      <c r="U1447" s="110" t="str">
        <f t="shared" si="923"/>
        <v/>
      </c>
      <c r="V1447" s="110" t="str">
        <f>V1446&amp;"     "</f>
        <v>Nuevo     </v>
      </c>
      <c r="W1447" s="112" t="str">
        <f>W1446</f>
        <v>Inactiva</v>
      </c>
    </row>
    <row r="1448" ht="49.5" customHeight="1">
      <c r="A1448" s="110" t="s">
        <v>63</v>
      </c>
      <c r="B1448" s="110" t="s">
        <v>5814</v>
      </c>
      <c r="C1448" s="110" t="s">
        <v>5817</v>
      </c>
      <c r="D1448" s="110" t="s">
        <v>5817</v>
      </c>
      <c r="E1448" s="112" t="s">
        <v>5818</v>
      </c>
      <c r="F1448" s="114" t="str">
        <f>"     "&amp;F1446</f>
        <v>     Short Futbol Niño Negro</v>
      </c>
      <c r="G1448" s="110" t="s">
        <v>3066</v>
      </c>
      <c r="H1448" s="110" t="s">
        <v>3089</v>
      </c>
      <c r="I1448" s="110" t="s">
        <v>70</v>
      </c>
      <c r="J1448" s="112" t="str">
        <f>J1446</f>
        <v>7690</v>
      </c>
      <c r="K1448" s="110" t="str">
        <f>K1446&amp;"     "</f>
        <v>$     </v>
      </c>
      <c r="L1448" s="110" t="str">
        <f t="shared" ref="L1448:U1448" si="924">L1446</f>
        <v/>
      </c>
      <c r="M1448" s="110" t="str">
        <f t="shared" si="924"/>
        <v/>
      </c>
      <c r="N1448" s="110" t="str">
        <f t="shared" si="924"/>
        <v/>
      </c>
      <c r="O1448" s="110" t="str">
        <f t="shared" si="924"/>
        <v/>
      </c>
      <c r="P1448" s="110" t="str">
        <f t="shared" si="924"/>
        <v/>
      </c>
      <c r="Q1448" s="110" t="str">
        <f t="shared" si="924"/>
        <v/>
      </c>
      <c r="R1448" s="110" t="str">
        <f t="shared" si="924"/>
        <v/>
      </c>
      <c r="S1448" s="110" t="str">
        <f t="shared" si="924"/>
        <v/>
      </c>
      <c r="T1448" s="110" t="str">
        <f t="shared" si="924"/>
        <v/>
      </c>
      <c r="U1448" s="110" t="str">
        <f t="shared" si="924"/>
        <v/>
      </c>
      <c r="V1448" s="110" t="str">
        <f>V1446&amp;"     "</f>
        <v>Nuevo     </v>
      </c>
      <c r="W1448" s="112" t="str">
        <f>W1446</f>
        <v>Inactiva</v>
      </c>
    </row>
    <row r="1449" ht="49.5" customHeight="1">
      <c r="A1449" s="110" t="s">
        <v>5819</v>
      </c>
      <c r="B1449" s="110" t="s">
        <v>5820</v>
      </c>
      <c r="C1449" s="110" t="s">
        <v>5821</v>
      </c>
      <c r="D1449" s="110"/>
      <c r="E1449" s="112" t="s">
        <v>5822</v>
      </c>
      <c r="F1449" s="112" t="s">
        <v>5823</v>
      </c>
      <c r="G1449" s="110" t="s">
        <v>5823</v>
      </c>
      <c r="H1449" s="110" t="s">
        <v>3089</v>
      </c>
      <c r="I1449" s="110" t="s">
        <v>70</v>
      </c>
      <c r="J1449" s="112" t="s">
        <v>5785</v>
      </c>
      <c r="K1449" s="110" t="s">
        <v>71</v>
      </c>
      <c r="L1449" s="110" t="s">
        <v>63</v>
      </c>
      <c r="M1449" s="110" t="s">
        <v>63</v>
      </c>
      <c r="N1449" s="110" t="s">
        <v>63</v>
      </c>
      <c r="O1449" s="110" t="s">
        <v>63</v>
      </c>
      <c r="P1449" s="110" t="s">
        <v>63</v>
      </c>
      <c r="Q1449" s="110" t="s">
        <v>63</v>
      </c>
      <c r="R1449" s="110" t="s">
        <v>63</v>
      </c>
      <c r="S1449" s="110" t="s">
        <v>63</v>
      </c>
      <c r="T1449" s="110" t="s">
        <v>63</v>
      </c>
      <c r="U1449" s="110" t="s">
        <v>63</v>
      </c>
      <c r="V1449" s="110" t="s">
        <v>72</v>
      </c>
      <c r="W1449" s="112" t="s">
        <v>3696</v>
      </c>
    </row>
    <row r="1450" ht="49.5" customHeight="1">
      <c r="A1450" s="110" t="s">
        <v>5824</v>
      </c>
      <c r="B1450" s="110" t="s">
        <v>5825</v>
      </c>
      <c r="C1450" s="110" t="s">
        <v>5826</v>
      </c>
      <c r="D1450" s="110"/>
      <c r="E1450" s="112" t="s">
        <v>5827</v>
      </c>
      <c r="F1450" s="112" t="s">
        <v>5828</v>
      </c>
      <c r="G1450" s="110" t="s">
        <v>5828</v>
      </c>
      <c r="H1450" s="110" t="s">
        <v>3089</v>
      </c>
      <c r="I1450" s="110" t="s">
        <v>70</v>
      </c>
      <c r="J1450" s="112" t="s">
        <v>5779</v>
      </c>
      <c r="K1450" s="110" t="s">
        <v>71</v>
      </c>
      <c r="L1450" s="110" t="s">
        <v>63</v>
      </c>
      <c r="M1450" s="110" t="s">
        <v>63</v>
      </c>
      <c r="N1450" s="110" t="s">
        <v>63</v>
      </c>
      <c r="O1450" s="110" t="s">
        <v>63</v>
      </c>
      <c r="P1450" s="110" t="s">
        <v>63</v>
      </c>
      <c r="Q1450" s="110" t="s">
        <v>63</v>
      </c>
      <c r="R1450" s="110" t="s">
        <v>63</v>
      </c>
      <c r="S1450" s="110" t="s">
        <v>63</v>
      </c>
      <c r="T1450" s="110" t="s">
        <v>63</v>
      </c>
      <c r="U1450" s="110" t="s">
        <v>63</v>
      </c>
      <c r="V1450" s="110" t="s">
        <v>72</v>
      </c>
      <c r="W1450" s="112" t="s">
        <v>3696</v>
      </c>
    </row>
    <row r="1451" ht="49.5" customHeight="1">
      <c r="A1451" s="110" t="s">
        <v>5829</v>
      </c>
      <c r="B1451" s="110" t="s">
        <v>5830</v>
      </c>
      <c r="C1451" s="110" t="s">
        <v>5831</v>
      </c>
      <c r="D1451" s="110"/>
      <c r="E1451" s="112" t="s">
        <v>5832</v>
      </c>
      <c r="F1451" s="112" t="s">
        <v>5833</v>
      </c>
      <c r="G1451" s="110" t="s">
        <v>5833</v>
      </c>
      <c r="H1451" s="110" t="s">
        <v>3089</v>
      </c>
      <c r="I1451" s="110" t="s">
        <v>70</v>
      </c>
      <c r="J1451" s="112" t="s">
        <v>5779</v>
      </c>
      <c r="K1451" s="110" t="s">
        <v>71</v>
      </c>
      <c r="L1451" s="110" t="s">
        <v>63</v>
      </c>
      <c r="M1451" s="110" t="s">
        <v>63</v>
      </c>
      <c r="N1451" s="110" t="s">
        <v>63</v>
      </c>
      <c r="O1451" s="110" t="s">
        <v>63</v>
      </c>
      <c r="P1451" s="110" t="s">
        <v>63</v>
      </c>
      <c r="Q1451" s="110" t="s">
        <v>63</v>
      </c>
      <c r="R1451" s="110" t="s">
        <v>63</v>
      </c>
      <c r="S1451" s="110" t="s">
        <v>63</v>
      </c>
      <c r="T1451" s="110" t="s">
        <v>63</v>
      </c>
      <c r="U1451" s="110" t="s">
        <v>63</v>
      </c>
      <c r="V1451" s="110" t="s">
        <v>72</v>
      </c>
      <c r="W1451" s="112" t="s">
        <v>3696</v>
      </c>
    </row>
    <row r="1452" ht="49.5" customHeight="1">
      <c r="A1452" s="110" t="s">
        <v>5834</v>
      </c>
      <c r="B1452" s="110" t="s">
        <v>5835</v>
      </c>
      <c r="C1452" s="110" t="s">
        <v>5836</v>
      </c>
      <c r="D1452" s="110"/>
      <c r="E1452" s="112" t="s">
        <v>5837</v>
      </c>
      <c r="F1452" s="112" t="s">
        <v>5838</v>
      </c>
      <c r="G1452" s="110" t="s">
        <v>5838</v>
      </c>
      <c r="H1452" s="110" t="s">
        <v>3089</v>
      </c>
      <c r="I1452" s="110" t="s">
        <v>70</v>
      </c>
      <c r="J1452" s="112" t="s">
        <v>5839</v>
      </c>
      <c r="K1452" s="110" t="s">
        <v>71</v>
      </c>
      <c r="L1452" s="110" t="s">
        <v>63</v>
      </c>
      <c r="M1452" s="110" t="s">
        <v>63</v>
      </c>
      <c r="N1452" s="110" t="s">
        <v>63</v>
      </c>
      <c r="O1452" s="110" t="s">
        <v>63</v>
      </c>
      <c r="P1452" s="110" t="s">
        <v>63</v>
      </c>
      <c r="Q1452" s="110" t="s">
        <v>63</v>
      </c>
      <c r="R1452" s="110" t="s">
        <v>63</v>
      </c>
      <c r="S1452" s="110" t="s">
        <v>63</v>
      </c>
      <c r="T1452" s="110" t="s">
        <v>63</v>
      </c>
      <c r="U1452" s="110" t="s">
        <v>63</v>
      </c>
      <c r="V1452" s="110" t="s">
        <v>72</v>
      </c>
      <c r="W1452" s="112" t="s">
        <v>3696</v>
      </c>
    </row>
    <row r="1453" ht="49.5" customHeight="1">
      <c r="A1453" s="110" t="s">
        <v>5840</v>
      </c>
      <c r="B1453" s="110" t="s">
        <v>5841</v>
      </c>
      <c r="C1453" s="110" t="s">
        <v>5842</v>
      </c>
      <c r="D1453" s="110"/>
      <c r="E1453" s="112" t="s">
        <v>77</v>
      </c>
      <c r="F1453" s="112" t="s">
        <v>5843</v>
      </c>
      <c r="G1453" s="110" t="s">
        <v>1546</v>
      </c>
      <c r="H1453" s="110" t="s">
        <v>321</v>
      </c>
      <c r="I1453" s="110" t="s">
        <v>70</v>
      </c>
      <c r="J1453" s="112" t="s">
        <v>5844</v>
      </c>
      <c r="K1453" s="110" t="s">
        <v>71</v>
      </c>
      <c r="L1453" s="110" t="s">
        <v>63</v>
      </c>
      <c r="M1453" s="110" t="s">
        <v>63</v>
      </c>
      <c r="N1453" s="110" t="s">
        <v>63</v>
      </c>
      <c r="O1453" s="110" t="s">
        <v>63</v>
      </c>
      <c r="P1453" s="110" t="s">
        <v>63</v>
      </c>
      <c r="Q1453" s="110" t="s">
        <v>63</v>
      </c>
      <c r="R1453" s="110" t="s">
        <v>63</v>
      </c>
      <c r="S1453" s="110" t="s">
        <v>63</v>
      </c>
      <c r="T1453" s="110" t="s">
        <v>63</v>
      </c>
      <c r="U1453" s="110" t="s">
        <v>63</v>
      </c>
      <c r="V1453" s="110" t="s">
        <v>72</v>
      </c>
      <c r="W1453" s="112" t="s">
        <v>3696</v>
      </c>
    </row>
    <row r="1454" ht="49.5" customHeight="1">
      <c r="A1454" s="110" t="s">
        <v>5845</v>
      </c>
      <c r="B1454" s="110" t="s">
        <v>5846</v>
      </c>
      <c r="C1454" s="110" t="s">
        <v>5847</v>
      </c>
      <c r="D1454" s="110"/>
      <c r="E1454" s="112" t="s">
        <v>5848</v>
      </c>
      <c r="F1454" s="112" t="s">
        <v>5849</v>
      </c>
      <c r="G1454" s="110" t="s">
        <v>5849</v>
      </c>
      <c r="H1454" s="110" t="s">
        <v>3089</v>
      </c>
      <c r="I1454" s="110" t="s">
        <v>70</v>
      </c>
      <c r="J1454" s="112" t="s">
        <v>5779</v>
      </c>
      <c r="K1454" s="110" t="s">
        <v>71</v>
      </c>
      <c r="L1454" s="110" t="s">
        <v>63</v>
      </c>
      <c r="M1454" s="110" t="s">
        <v>63</v>
      </c>
      <c r="N1454" s="110" t="s">
        <v>63</v>
      </c>
      <c r="O1454" s="110" t="s">
        <v>63</v>
      </c>
      <c r="P1454" s="110" t="s">
        <v>63</v>
      </c>
      <c r="Q1454" s="110" t="s">
        <v>63</v>
      </c>
      <c r="R1454" s="110" t="s">
        <v>63</v>
      </c>
      <c r="S1454" s="110" t="s">
        <v>63</v>
      </c>
      <c r="T1454" s="110" t="s">
        <v>63</v>
      </c>
      <c r="U1454" s="110" t="s">
        <v>63</v>
      </c>
      <c r="V1454" s="110" t="s">
        <v>72</v>
      </c>
      <c r="W1454" s="112" t="s">
        <v>3696</v>
      </c>
    </row>
    <row r="1455" ht="49.5" customHeight="1">
      <c r="A1455" s="110" t="s">
        <v>5850</v>
      </c>
      <c r="B1455" s="110" t="s">
        <v>5851</v>
      </c>
      <c r="C1455" s="110" t="s">
        <v>5852</v>
      </c>
      <c r="D1455" s="110"/>
      <c r="E1455" s="112" t="s">
        <v>5853</v>
      </c>
      <c r="F1455" s="112" t="s">
        <v>5854</v>
      </c>
      <c r="G1455" s="110" t="s">
        <v>5854</v>
      </c>
      <c r="H1455" s="110" t="s">
        <v>3089</v>
      </c>
      <c r="I1455" s="110" t="s">
        <v>70</v>
      </c>
      <c r="J1455" s="112" t="s">
        <v>5813</v>
      </c>
      <c r="K1455" s="110" t="s">
        <v>71</v>
      </c>
      <c r="L1455" s="110" t="s">
        <v>63</v>
      </c>
      <c r="M1455" s="110" t="s">
        <v>63</v>
      </c>
      <c r="N1455" s="110" t="s">
        <v>63</v>
      </c>
      <c r="O1455" s="110" t="s">
        <v>63</v>
      </c>
      <c r="P1455" s="110" t="s">
        <v>63</v>
      </c>
      <c r="Q1455" s="110" t="s">
        <v>63</v>
      </c>
      <c r="R1455" s="110" t="s">
        <v>63</v>
      </c>
      <c r="S1455" s="110" t="s">
        <v>63</v>
      </c>
      <c r="T1455" s="110" t="s">
        <v>63</v>
      </c>
      <c r="U1455" s="110" t="s">
        <v>63</v>
      </c>
      <c r="V1455" s="110" t="s">
        <v>72</v>
      </c>
      <c r="W1455" s="112" t="s">
        <v>3696</v>
      </c>
    </row>
    <row r="1456" ht="49.5" customHeight="1">
      <c r="A1456" s="110" t="s">
        <v>5855</v>
      </c>
      <c r="B1456" s="110" t="s">
        <v>5856</v>
      </c>
      <c r="C1456" s="110" t="s">
        <v>5857</v>
      </c>
      <c r="D1456" s="110"/>
      <c r="E1456" s="112" t="s">
        <v>5858</v>
      </c>
      <c r="F1456" s="112" t="s">
        <v>5859</v>
      </c>
      <c r="G1456" s="110" t="s">
        <v>5859</v>
      </c>
      <c r="H1456" s="110" t="s">
        <v>3089</v>
      </c>
      <c r="I1456" s="110" t="s">
        <v>70</v>
      </c>
      <c r="J1456" s="112" t="s">
        <v>5813</v>
      </c>
      <c r="K1456" s="110" t="s">
        <v>71</v>
      </c>
      <c r="L1456" s="110" t="s">
        <v>63</v>
      </c>
      <c r="M1456" s="110" t="s">
        <v>63</v>
      </c>
      <c r="N1456" s="110" t="s">
        <v>63</v>
      </c>
      <c r="O1456" s="110" t="s">
        <v>63</v>
      </c>
      <c r="P1456" s="110" t="s">
        <v>63</v>
      </c>
      <c r="Q1456" s="110" t="s">
        <v>63</v>
      </c>
      <c r="R1456" s="110" t="s">
        <v>63</v>
      </c>
      <c r="S1456" s="110" t="s">
        <v>63</v>
      </c>
      <c r="T1456" s="110" t="s">
        <v>63</v>
      </c>
      <c r="U1456" s="110" t="s">
        <v>63</v>
      </c>
      <c r="V1456" s="110" t="s">
        <v>72</v>
      </c>
      <c r="W1456" s="112" t="s">
        <v>3696</v>
      </c>
    </row>
    <row r="1457" ht="49.5" customHeight="1">
      <c r="A1457" s="110" t="s">
        <v>5860</v>
      </c>
      <c r="B1457" s="110" t="s">
        <v>5861</v>
      </c>
      <c r="C1457" s="110" t="s">
        <v>5862</v>
      </c>
      <c r="D1457" s="110"/>
      <c r="E1457" s="112" t="s">
        <v>5863</v>
      </c>
      <c r="F1457" s="112" t="s">
        <v>5864</v>
      </c>
      <c r="G1457" s="110" t="s">
        <v>5864</v>
      </c>
      <c r="H1457" s="110" t="s">
        <v>3089</v>
      </c>
      <c r="I1457" s="110" t="s">
        <v>70</v>
      </c>
      <c r="J1457" s="112" t="s">
        <v>5839</v>
      </c>
      <c r="K1457" s="110" t="s">
        <v>71</v>
      </c>
      <c r="L1457" s="110" t="s">
        <v>63</v>
      </c>
      <c r="M1457" s="110" t="s">
        <v>63</v>
      </c>
      <c r="N1457" s="110" t="s">
        <v>63</v>
      </c>
      <c r="O1457" s="110" t="s">
        <v>63</v>
      </c>
      <c r="P1457" s="110" t="s">
        <v>63</v>
      </c>
      <c r="Q1457" s="110" t="s">
        <v>63</v>
      </c>
      <c r="R1457" s="110" t="s">
        <v>63</v>
      </c>
      <c r="S1457" s="110" t="s">
        <v>63</v>
      </c>
      <c r="T1457" s="110" t="s">
        <v>63</v>
      </c>
      <c r="U1457" s="110" t="s">
        <v>63</v>
      </c>
      <c r="V1457" s="110" t="s">
        <v>72</v>
      </c>
      <c r="W1457" s="112" t="s">
        <v>3696</v>
      </c>
    </row>
    <row r="1458" ht="49.5" customHeight="1">
      <c r="A1458" s="110" t="s">
        <v>5865</v>
      </c>
      <c r="B1458" s="110" t="s">
        <v>5866</v>
      </c>
      <c r="C1458" s="110" t="s">
        <v>5867</v>
      </c>
      <c r="D1458" s="110"/>
      <c r="E1458" s="112" t="s">
        <v>5868</v>
      </c>
      <c r="F1458" s="112" t="s">
        <v>5869</v>
      </c>
      <c r="G1458" s="110" t="s">
        <v>5869</v>
      </c>
      <c r="H1458" s="110" t="s">
        <v>3089</v>
      </c>
      <c r="I1458" s="110" t="s">
        <v>70</v>
      </c>
      <c r="J1458" s="112" t="s">
        <v>5791</v>
      </c>
      <c r="K1458" s="110" t="s">
        <v>71</v>
      </c>
      <c r="L1458" s="110" t="s">
        <v>63</v>
      </c>
      <c r="M1458" s="110" t="s">
        <v>63</v>
      </c>
      <c r="N1458" s="110" t="s">
        <v>63</v>
      </c>
      <c r="O1458" s="110" t="s">
        <v>63</v>
      </c>
      <c r="P1458" s="110" t="s">
        <v>63</v>
      </c>
      <c r="Q1458" s="110" t="s">
        <v>63</v>
      </c>
      <c r="R1458" s="110" t="s">
        <v>63</v>
      </c>
      <c r="S1458" s="110" t="s">
        <v>63</v>
      </c>
      <c r="T1458" s="110" t="s">
        <v>63</v>
      </c>
      <c r="U1458" s="110" t="s">
        <v>63</v>
      </c>
      <c r="V1458" s="110" t="s">
        <v>72</v>
      </c>
      <c r="W1458" s="112" t="s">
        <v>3696</v>
      </c>
    </row>
    <row r="1459" ht="49.5" customHeight="1">
      <c r="A1459" s="110" t="s">
        <v>5870</v>
      </c>
      <c r="B1459" s="110" t="s">
        <v>5871</v>
      </c>
      <c r="C1459" s="110" t="s">
        <v>5872</v>
      </c>
      <c r="D1459" s="110"/>
      <c r="E1459" s="112" t="s">
        <v>5873</v>
      </c>
      <c r="F1459" s="112" t="s">
        <v>5874</v>
      </c>
      <c r="G1459" s="110" t="s">
        <v>5874</v>
      </c>
      <c r="H1459" s="110" t="s">
        <v>3089</v>
      </c>
      <c r="I1459" s="110" t="s">
        <v>70</v>
      </c>
      <c r="J1459" s="112" t="s">
        <v>5839</v>
      </c>
      <c r="K1459" s="110" t="s">
        <v>71</v>
      </c>
      <c r="L1459" s="110" t="s">
        <v>63</v>
      </c>
      <c r="M1459" s="110" t="s">
        <v>63</v>
      </c>
      <c r="N1459" s="110" t="s">
        <v>63</v>
      </c>
      <c r="O1459" s="110" t="s">
        <v>63</v>
      </c>
      <c r="P1459" s="110" t="s">
        <v>63</v>
      </c>
      <c r="Q1459" s="110" t="s">
        <v>63</v>
      </c>
      <c r="R1459" s="110" t="s">
        <v>63</v>
      </c>
      <c r="S1459" s="110" t="s">
        <v>63</v>
      </c>
      <c r="T1459" s="110" t="s">
        <v>63</v>
      </c>
      <c r="U1459" s="110" t="s">
        <v>63</v>
      </c>
      <c r="V1459" s="110" t="s">
        <v>72</v>
      </c>
      <c r="W1459" s="112" t="s">
        <v>3696</v>
      </c>
    </row>
    <row r="1460" ht="49.5" customHeight="1">
      <c r="A1460" s="110" t="s">
        <v>5875</v>
      </c>
      <c r="B1460" s="110" t="s">
        <v>5876</v>
      </c>
      <c r="C1460" s="110" t="s">
        <v>5877</v>
      </c>
      <c r="D1460" s="110"/>
      <c r="E1460" s="112" t="s">
        <v>5878</v>
      </c>
      <c r="F1460" s="112" t="s">
        <v>5879</v>
      </c>
      <c r="G1460" s="110" t="s">
        <v>144</v>
      </c>
      <c r="H1460" s="110" t="s">
        <v>321</v>
      </c>
      <c r="I1460" s="110" t="s">
        <v>70</v>
      </c>
      <c r="J1460" s="112" t="s">
        <v>5880</v>
      </c>
      <c r="K1460" s="110" t="s">
        <v>71</v>
      </c>
      <c r="L1460" s="110" t="s">
        <v>63</v>
      </c>
      <c r="M1460" s="110" t="s">
        <v>63</v>
      </c>
      <c r="N1460" s="110" t="s">
        <v>63</v>
      </c>
      <c r="O1460" s="110" t="s">
        <v>63</v>
      </c>
      <c r="P1460" s="110" t="s">
        <v>63</v>
      </c>
      <c r="Q1460" s="110" t="s">
        <v>63</v>
      </c>
      <c r="R1460" s="110" t="s">
        <v>63</v>
      </c>
      <c r="S1460" s="110" t="s">
        <v>63</v>
      </c>
      <c r="T1460" s="110" t="s">
        <v>63</v>
      </c>
      <c r="U1460" s="110" t="s">
        <v>63</v>
      </c>
      <c r="V1460" s="110" t="s">
        <v>72</v>
      </c>
      <c r="W1460" s="112" t="s">
        <v>3696</v>
      </c>
    </row>
    <row r="1461" ht="49.5" customHeight="1">
      <c r="A1461" s="110" t="s">
        <v>5881</v>
      </c>
      <c r="B1461" s="110" t="s">
        <v>5882</v>
      </c>
      <c r="C1461" s="110" t="s">
        <v>5883</v>
      </c>
      <c r="D1461" s="110"/>
      <c r="E1461" s="112" t="s">
        <v>5884</v>
      </c>
      <c r="F1461" s="112" t="s">
        <v>5885</v>
      </c>
      <c r="G1461" s="110" t="s">
        <v>5886</v>
      </c>
      <c r="H1461" s="110" t="s">
        <v>321</v>
      </c>
      <c r="I1461" s="110" t="s">
        <v>70</v>
      </c>
      <c r="J1461" s="112" t="s">
        <v>5802</v>
      </c>
      <c r="K1461" s="110" t="s">
        <v>71</v>
      </c>
      <c r="L1461" s="110" t="s">
        <v>63</v>
      </c>
      <c r="M1461" s="110" t="s">
        <v>63</v>
      </c>
      <c r="N1461" s="110" t="s">
        <v>63</v>
      </c>
      <c r="O1461" s="110" t="s">
        <v>63</v>
      </c>
      <c r="P1461" s="110" t="s">
        <v>63</v>
      </c>
      <c r="Q1461" s="110" t="s">
        <v>63</v>
      </c>
      <c r="R1461" s="110" t="s">
        <v>63</v>
      </c>
      <c r="S1461" s="110" t="s">
        <v>63</v>
      </c>
      <c r="T1461" s="110" t="s">
        <v>63</v>
      </c>
      <c r="U1461" s="110" t="s">
        <v>63</v>
      </c>
      <c r="V1461" s="110" t="s">
        <v>72</v>
      </c>
      <c r="W1461" s="112" t="s">
        <v>3696</v>
      </c>
    </row>
    <row r="1462" ht="49.5" customHeight="1">
      <c r="A1462" s="110" t="s">
        <v>5887</v>
      </c>
      <c r="B1462" s="110" t="s">
        <v>5888</v>
      </c>
      <c r="C1462" s="110" t="s">
        <v>5889</v>
      </c>
      <c r="D1462" s="110"/>
      <c r="E1462" s="112" t="s">
        <v>5890</v>
      </c>
      <c r="F1462" s="112" t="s">
        <v>5891</v>
      </c>
      <c r="G1462" s="110" t="s">
        <v>5886</v>
      </c>
      <c r="H1462" s="110" t="s">
        <v>321</v>
      </c>
      <c r="I1462" s="110" t="s">
        <v>70</v>
      </c>
      <c r="J1462" s="112" t="s">
        <v>5892</v>
      </c>
      <c r="K1462" s="110" t="s">
        <v>71</v>
      </c>
      <c r="L1462" s="110" t="s">
        <v>63</v>
      </c>
      <c r="M1462" s="110" t="s">
        <v>63</v>
      </c>
      <c r="N1462" s="110" t="s">
        <v>63</v>
      </c>
      <c r="O1462" s="110" t="s">
        <v>63</v>
      </c>
      <c r="P1462" s="110" t="s">
        <v>63</v>
      </c>
      <c r="Q1462" s="110" t="s">
        <v>63</v>
      </c>
      <c r="R1462" s="110" t="s">
        <v>63</v>
      </c>
      <c r="S1462" s="110" t="s">
        <v>63</v>
      </c>
      <c r="T1462" s="110" t="s">
        <v>63</v>
      </c>
      <c r="U1462" s="110" t="s">
        <v>63</v>
      </c>
      <c r="V1462" s="110" t="s">
        <v>72</v>
      </c>
      <c r="W1462" s="112" t="s">
        <v>3696</v>
      </c>
    </row>
  </sheetData>
  <mergeCells count="21">
    <mergeCell ref="E3:E4"/>
    <mergeCell ref="F3:F4"/>
    <mergeCell ref="G3:G4"/>
    <mergeCell ref="H3:H4"/>
    <mergeCell ref="I3:I4"/>
    <mergeCell ref="J3:J4"/>
    <mergeCell ref="K3:K4"/>
    <mergeCell ref="L3:M3"/>
    <mergeCell ref="N3:O3"/>
    <mergeCell ref="P3:Q3"/>
    <mergeCell ref="R3:S3"/>
    <mergeCell ref="T3:U3"/>
    <mergeCell ref="V3:V4"/>
    <mergeCell ref="W3:W4"/>
    <mergeCell ref="A2:G2"/>
    <mergeCell ref="H2:I2"/>
    <mergeCell ref="J2:V2"/>
    <mergeCell ref="A3:A4"/>
    <mergeCell ref="B3:B4"/>
    <mergeCell ref="C3:C4"/>
    <mergeCell ref="D3:D4"/>
  </mergeCells>
  <conditionalFormatting sqref="K6">
    <cfRule type="cellIs" dxfId="1" priority="1" operator="equal">
      <formula>"$"</formula>
    </cfRule>
  </conditionalFormatting>
  <conditionalFormatting sqref="W6">
    <cfRule type="cellIs" dxfId="1" priority="2" operator="equal">
      <formula>"Activa"</formula>
    </cfRule>
  </conditionalFormatting>
  <conditionalFormatting sqref="K7">
    <cfRule type="cellIs" dxfId="1" priority="3" operator="equal">
      <formula>"$"</formula>
    </cfRule>
  </conditionalFormatting>
  <conditionalFormatting sqref="V7">
    <cfRule type="cellIs" dxfId="1" priority="4" operator="equal">
      <formula>"Nuevo"</formula>
    </cfRule>
  </conditionalFormatting>
  <conditionalFormatting sqref="W7">
    <cfRule type="cellIs" dxfId="1" priority="5" operator="equal">
      <formula>"Activa"</formula>
    </cfRule>
  </conditionalFormatting>
  <conditionalFormatting sqref="K8">
    <cfRule type="cellIs" dxfId="1" priority="6" operator="equal">
      <formula>"$"</formula>
    </cfRule>
  </conditionalFormatting>
  <conditionalFormatting sqref="V8">
    <cfRule type="cellIs" dxfId="1" priority="7" operator="equal">
      <formula>"Nuevo"</formula>
    </cfRule>
  </conditionalFormatting>
  <conditionalFormatting sqref="W8">
    <cfRule type="cellIs" dxfId="1" priority="8" operator="equal">
      <formula>"Activa"</formula>
    </cfRule>
  </conditionalFormatting>
  <conditionalFormatting sqref="K9">
    <cfRule type="cellIs" dxfId="1" priority="9" operator="equal">
      <formula>"$"</formula>
    </cfRule>
  </conditionalFormatting>
  <conditionalFormatting sqref="V9">
    <cfRule type="cellIs" dxfId="1" priority="10" operator="equal">
      <formula>"Nuevo"</formula>
    </cfRule>
  </conditionalFormatting>
  <conditionalFormatting sqref="W9">
    <cfRule type="cellIs" dxfId="1" priority="11" operator="equal">
      <formula>"Activa"</formula>
    </cfRule>
  </conditionalFormatting>
  <conditionalFormatting sqref="K10">
    <cfRule type="cellIs" dxfId="1" priority="12" operator="equal">
      <formula>"$"</formula>
    </cfRule>
  </conditionalFormatting>
  <conditionalFormatting sqref="W10">
    <cfRule type="cellIs" dxfId="1" priority="13" operator="equal">
      <formula>"Activa"</formula>
    </cfRule>
  </conditionalFormatting>
  <conditionalFormatting sqref="K11">
    <cfRule type="cellIs" dxfId="1" priority="14" operator="equal">
      <formula>"$"</formula>
    </cfRule>
  </conditionalFormatting>
  <conditionalFormatting sqref="V11">
    <cfRule type="cellIs" dxfId="1" priority="15" operator="equal">
      <formula>"Nuevo"</formula>
    </cfRule>
  </conditionalFormatting>
  <conditionalFormatting sqref="W11">
    <cfRule type="cellIs" dxfId="1" priority="16" operator="equal">
      <formula>"Activa"</formula>
    </cfRule>
  </conditionalFormatting>
  <conditionalFormatting sqref="K20">
    <cfRule type="cellIs" dxfId="1" priority="17" operator="equal">
      <formula>"$"</formula>
    </cfRule>
  </conditionalFormatting>
  <conditionalFormatting sqref="V20">
    <cfRule type="cellIs" dxfId="1" priority="18" operator="equal">
      <formula>"Nuevo"</formula>
    </cfRule>
  </conditionalFormatting>
  <conditionalFormatting sqref="W20">
    <cfRule type="cellIs" dxfId="1" priority="19" operator="equal">
      <formula>"Activa"</formula>
    </cfRule>
  </conditionalFormatting>
  <conditionalFormatting sqref="K21">
    <cfRule type="cellIs" dxfId="1" priority="20" operator="equal">
      <formula>"$"</formula>
    </cfRule>
  </conditionalFormatting>
  <conditionalFormatting sqref="W21">
    <cfRule type="cellIs" dxfId="1" priority="21" operator="equal">
      <formula>"Activa"</formula>
    </cfRule>
  </conditionalFormatting>
  <conditionalFormatting sqref="K22">
    <cfRule type="cellIs" dxfId="1" priority="22" operator="equal">
      <formula>"$"</formula>
    </cfRule>
  </conditionalFormatting>
  <conditionalFormatting sqref="V22">
    <cfRule type="cellIs" dxfId="1" priority="23" operator="equal">
      <formula>"Nuevo"</formula>
    </cfRule>
  </conditionalFormatting>
  <conditionalFormatting sqref="W22">
    <cfRule type="cellIs" dxfId="1" priority="24" operator="equal">
      <formula>"Activa"</formula>
    </cfRule>
  </conditionalFormatting>
  <conditionalFormatting sqref="K23">
    <cfRule type="cellIs" dxfId="1" priority="25" operator="equal">
      <formula>"$"</formula>
    </cfRule>
  </conditionalFormatting>
  <conditionalFormatting sqref="V23">
    <cfRule type="cellIs" dxfId="1" priority="26" operator="equal">
      <formula>"Nuevo"</formula>
    </cfRule>
  </conditionalFormatting>
  <conditionalFormatting sqref="W23">
    <cfRule type="cellIs" dxfId="1" priority="27" operator="equal">
      <formula>"Activa"</formula>
    </cfRule>
  </conditionalFormatting>
  <conditionalFormatting sqref="K24">
    <cfRule type="cellIs" dxfId="1" priority="28" operator="equal">
      <formula>"$"</formula>
    </cfRule>
  </conditionalFormatting>
  <conditionalFormatting sqref="V24">
    <cfRule type="cellIs" dxfId="1" priority="29" operator="equal">
      <formula>"Nuevo"</formula>
    </cfRule>
  </conditionalFormatting>
  <conditionalFormatting sqref="W24">
    <cfRule type="cellIs" dxfId="1" priority="30" operator="equal">
      <formula>"Activa"</formula>
    </cfRule>
  </conditionalFormatting>
  <conditionalFormatting sqref="K25">
    <cfRule type="cellIs" dxfId="1" priority="31" operator="equal">
      <formula>"$"</formula>
    </cfRule>
  </conditionalFormatting>
  <conditionalFormatting sqref="V25">
    <cfRule type="cellIs" dxfId="1" priority="32" operator="equal">
      <formula>"Nuevo"</formula>
    </cfRule>
  </conditionalFormatting>
  <conditionalFormatting sqref="W25">
    <cfRule type="cellIs" dxfId="1" priority="33" operator="equal">
      <formula>"Activa"</formula>
    </cfRule>
  </conditionalFormatting>
  <conditionalFormatting sqref="K28">
    <cfRule type="cellIs" dxfId="1" priority="34" operator="equal">
      <formula>"$"</formula>
    </cfRule>
  </conditionalFormatting>
  <conditionalFormatting sqref="V28">
    <cfRule type="cellIs" dxfId="1" priority="35" operator="equal">
      <formula>"Nuevo"</formula>
    </cfRule>
  </conditionalFormatting>
  <conditionalFormatting sqref="W28">
    <cfRule type="cellIs" dxfId="1" priority="36" operator="equal">
      <formula>"Activa"</formula>
    </cfRule>
  </conditionalFormatting>
  <conditionalFormatting sqref="K29">
    <cfRule type="cellIs" dxfId="1" priority="37" operator="equal">
      <formula>"$"</formula>
    </cfRule>
  </conditionalFormatting>
  <conditionalFormatting sqref="V29">
    <cfRule type="cellIs" dxfId="1" priority="38" operator="equal">
      <formula>"Nuevo"</formula>
    </cfRule>
  </conditionalFormatting>
  <conditionalFormatting sqref="W29">
    <cfRule type="cellIs" dxfId="1" priority="39" operator="equal">
      <formula>"Activa"</formula>
    </cfRule>
  </conditionalFormatting>
  <conditionalFormatting sqref="K30">
    <cfRule type="cellIs" dxfId="1" priority="40" operator="equal">
      <formula>"$"</formula>
    </cfRule>
  </conditionalFormatting>
  <conditionalFormatting sqref="V30">
    <cfRule type="cellIs" dxfId="1" priority="41" operator="equal">
      <formula>"Nuevo"</formula>
    </cfRule>
  </conditionalFormatting>
  <conditionalFormatting sqref="W30">
    <cfRule type="cellIs" dxfId="1" priority="42" operator="equal">
      <formula>"Activa"</formula>
    </cfRule>
  </conditionalFormatting>
  <conditionalFormatting sqref="K31">
    <cfRule type="cellIs" dxfId="1" priority="43" operator="equal">
      <formula>"$"</formula>
    </cfRule>
  </conditionalFormatting>
  <conditionalFormatting sqref="V31">
    <cfRule type="cellIs" dxfId="1" priority="44" operator="equal">
      <formula>"Nuevo"</formula>
    </cfRule>
  </conditionalFormatting>
  <conditionalFormatting sqref="W31">
    <cfRule type="cellIs" dxfId="1" priority="45" operator="equal">
      <formula>"Activa"</formula>
    </cfRule>
  </conditionalFormatting>
  <conditionalFormatting sqref="K32">
    <cfRule type="cellIs" dxfId="1" priority="46" operator="equal">
      <formula>"$"</formula>
    </cfRule>
  </conditionalFormatting>
  <conditionalFormatting sqref="V32">
    <cfRule type="cellIs" dxfId="1" priority="47" operator="equal">
      <formula>"Nuevo"</formula>
    </cfRule>
  </conditionalFormatting>
  <conditionalFormatting sqref="W32">
    <cfRule type="cellIs" dxfId="1" priority="48" operator="equal">
      <formula>"Activa"</formula>
    </cfRule>
  </conditionalFormatting>
  <conditionalFormatting sqref="K33">
    <cfRule type="cellIs" dxfId="1" priority="49" operator="equal">
      <formula>"$"</formula>
    </cfRule>
  </conditionalFormatting>
  <conditionalFormatting sqref="V33">
    <cfRule type="cellIs" dxfId="1" priority="50" operator="equal">
      <formula>"Nuevo"</formula>
    </cfRule>
  </conditionalFormatting>
  <conditionalFormatting sqref="W33">
    <cfRule type="cellIs" dxfId="1" priority="51" operator="equal">
      <formula>"Activa"</formula>
    </cfRule>
  </conditionalFormatting>
  <conditionalFormatting sqref="K38">
    <cfRule type="cellIs" dxfId="1" priority="52" operator="equal">
      <formula>"$"</formula>
    </cfRule>
  </conditionalFormatting>
  <conditionalFormatting sqref="W38">
    <cfRule type="cellIs" dxfId="1" priority="53" operator="equal">
      <formula>"Activa"</formula>
    </cfRule>
  </conditionalFormatting>
  <conditionalFormatting sqref="K39">
    <cfRule type="cellIs" dxfId="1" priority="54" operator="equal">
      <formula>"$"</formula>
    </cfRule>
  </conditionalFormatting>
  <conditionalFormatting sqref="V39">
    <cfRule type="cellIs" dxfId="1" priority="55" operator="equal">
      <formula>"Nuevo"</formula>
    </cfRule>
  </conditionalFormatting>
  <conditionalFormatting sqref="W39">
    <cfRule type="cellIs" dxfId="1" priority="56" operator="equal">
      <formula>"Activa"</formula>
    </cfRule>
  </conditionalFormatting>
  <conditionalFormatting sqref="K40">
    <cfRule type="cellIs" dxfId="1" priority="57" operator="equal">
      <formula>"$"</formula>
    </cfRule>
  </conditionalFormatting>
  <conditionalFormatting sqref="V40">
    <cfRule type="cellIs" dxfId="1" priority="58" operator="equal">
      <formula>"Nuevo"</formula>
    </cfRule>
  </conditionalFormatting>
  <conditionalFormatting sqref="W40">
    <cfRule type="cellIs" dxfId="1" priority="59" operator="equal">
      <formula>"Activa"</formula>
    </cfRule>
  </conditionalFormatting>
  <conditionalFormatting sqref="K56">
    <cfRule type="cellIs" dxfId="1" priority="60" operator="equal">
      <formula>"$"</formula>
    </cfRule>
  </conditionalFormatting>
  <conditionalFormatting sqref="V56">
    <cfRule type="cellIs" dxfId="1" priority="61" operator="equal">
      <formula>"Nuevo"</formula>
    </cfRule>
  </conditionalFormatting>
  <conditionalFormatting sqref="W56">
    <cfRule type="cellIs" dxfId="1" priority="62" operator="equal">
      <formula>"Activa"</formula>
    </cfRule>
  </conditionalFormatting>
  <conditionalFormatting sqref="K57">
    <cfRule type="cellIs" dxfId="1" priority="63" operator="equal">
      <formula>"$"</formula>
    </cfRule>
  </conditionalFormatting>
  <conditionalFormatting sqref="V57">
    <cfRule type="cellIs" dxfId="1" priority="64" operator="equal">
      <formula>"Nuevo"</formula>
    </cfRule>
  </conditionalFormatting>
  <conditionalFormatting sqref="W57">
    <cfRule type="cellIs" dxfId="1" priority="65" operator="equal">
      <formula>"Activa"</formula>
    </cfRule>
  </conditionalFormatting>
  <conditionalFormatting sqref="K58">
    <cfRule type="cellIs" dxfId="1" priority="66" operator="equal">
      <formula>"$"</formula>
    </cfRule>
  </conditionalFormatting>
  <conditionalFormatting sqref="V58">
    <cfRule type="cellIs" dxfId="1" priority="67" operator="equal">
      <formula>"Nuevo"</formula>
    </cfRule>
  </conditionalFormatting>
  <conditionalFormatting sqref="W58">
    <cfRule type="cellIs" dxfId="1" priority="68" operator="equal">
      <formula>"Activa"</formula>
    </cfRule>
  </conditionalFormatting>
  <conditionalFormatting sqref="K59">
    <cfRule type="cellIs" dxfId="1" priority="69" operator="equal">
      <formula>"$"</formula>
    </cfRule>
  </conditionalFormatting>
  <conditionalFormatting sqref="V59">
    <cfRule type="cellIs" dxfId="1" priority="70" operator="equal">
      <formula>"Nuevo"</formula>
    </cfRule>
  </conditionalFormatting>
  <conditionalFormatting sqref="W59">
    <cfRule type="cellIs" dxfId="1" priority="71" operator="equal">
      <formula>"Activa"</formula>
    </cfRule>
  </conditionalFormatting>
  <conditionalFormatting sqref="K60">
    <cfRule type="cellIs" dxfId="1" priority="72" operator="equal">
      <formula>"$"</formula>
    </cfRule>
  </conditionalFormatting>
  <conditionalFormatting sqref="V60">
    <cfRule type="cellIs" dxfId="1" priority="73" operator="equal">
      <formula>"Nuevo"</formula>
    </cfRule>
  </conditionalFormatting>
  <conditionalFormatting sqref="W60">
    <cfRule type="cellIs" dxfId="1" priority="74" operator="equal">
      <formula>"Activa"</formula>
    </cfRule>
  </conditionalFormatting>
  <conditionalFormatting sqref="K61">
    <cfRule type="cellIs" dxfId="1" priority="75" operator="equal">
      <formula>"$"</formula>
    </cfRule>
  </conditionalFormatting>
  <conditionalFormatting sqref="V61">
    <cfRule type="cellIs" dxfId="1" priority="76" operator="equal">
      <formula>"Nuevo"</formula>
    </cfRule>
  </conditionalFormatting>
  <conditionalFormatting sqref="W61">
    <cfRule type="cellIs" dxfId="1" priority="77" operator="equal">
      <formula>"Activa"</formula>
    </cfRule>
  </conditionalFormatting>
  <conditionalFormatting sqref="K62">
    <cfRule type="cellIs" dxfId="1" priority="78" operator="equal">
      <formula>"$"</formula>
    </cfRule>
  </conditionalFormatting>
  <conditionalFormatting sqref="V62">
    <cfRule type="cellIs" dxfId="1" priority="79" operator="equal">
      <formula>"Nuevo"</formula>
    </cfRule>
  </conditionalFormatting>
  <conditionalFormatting sqref="W62">
    <cfRule type="cellIs" dxfId="1" priority="80" operator="equal">
      <formula>"Activa"</formula>
    </cfRule>
  </conditionalFormatting>
  <conditionalFormatting sqref="K63">
    <cfRule type="cellIs" dxfId="1" priority="81" operator="equal">
      <formula>"$"</formula>
    </cfRule>
  </conditionalFormatting>
  <conditionalFormatting sqref="V63">
    <cfRule type="cellIs" dxfId="1" priority="82" operator="equal">
      <formula>"Nuevo"</formula>
    </cfRule>
  </conditionalFormatting>
  <conditionalFormatting sqref="W63">
    <cfRule type="cellIs" dxfId="1" priority="83" operator="equal">
      <formula>"Activa"</formula>
    </cfRule>
  </conditionalFormatting>
  <conditionalFormatting sqref="K64">
    <cfRule type="cellIs" dxfId="1" priority="84" operator="equal">
      <formula>"$"</formula>
    </cfRule>
  </conditionalFormatting>
  <conditionalFormatting sqref="V64">
    <cfRule type="cellIs" dxfId="1" priority="85" operator="equal">
      <formula>"Nuevo"</formula>
    </cfRule>
  </conditionalFormatting>
  <conditionalFormatting sqref="W64">
    <cfRule type="cellIs" dxfId="1" priority="86" operator="equal">
      <formula>"Activa"</formula>
    </cfRule>
  </conditionalFormatting>
  <conditionalFormatting sqref="K65">
    <cfRule type="cellIs" dxfId="1" priority="87" operator="equal">
      <formula>"$"</formula>
    </cfRule>
  </conditionalFormatting>
  <conditionalFormatting sqref="V65">
    <cfRule type="cellIs" dxfId="1" priority="88" operator="equal">
      <formula>"Nuevo"</formula>
    </cfRule>
  </conditionalFormatting>
  <conditionalFormatting sqref="W65">
    <cfRule type="cellIs" dxfId="1" priority="89" operator="equal">
      <formula>"Activa"</formula>
    </cfRule>
  </conditionalFormatting>
  <conditionalFormatting sqref="K66">
    <cfRule type="cellIs" dxfId="1" priority="90" operator="equal">
      <formula>"$"</formula>
    </cfRule>
  </conditionalFormatting>
  <conditionalFormatting sqref="V66">
    <cfRule type="cellIs" dxfId="1" priority="91" operator="equal">
      <formula>"Nuevo"</formula>
    </cfRule>
  </conditionalFormatting>
  <conditionalFormatting sqref="W66">
    <cfRule type="cellIs" dxfId="1" priority="92" operator="equal">
      <formula>"Activa"</formula>
    </cfRule>
  </conditionalFormatting>
  <conditionalFormatting sqref="K67">
    <cfRule type="cellIs" dxfId="1" priority="93" operator="equal">
      <formula>"$"</formula>
    </cfRule>
  </conditionalFormatting>
  <conditionalFormatting sqref="V67">
    <cfRule type="cellIs" dxfId="1" priority="94" operator="equal">
      <formula>"Nuevo"</formula>
    </cfRule>
  </conditionalFormatting>
  <conditionalFormatting sqref="W67">
    <cfRule type="cellIs" dxfId="1" priority="95" operator="equal">
      <formula>"Activa"</formula>
    </cfRule>
  </conditionalFormatting>
  <conditionalFormatting sqref="K71">
    <cfRule type="cellIs" dxfId="1" priority="96" operator="equal">
      <formula>"$"</formula>
    </cfRule>
  </conditionalFormatting>
  <conditionalFormatting sqref="V71">
    <cfRule type="cellIs" dxfId="1" priority="97" operator="equal">
      <formula>"Nuevo"</formula>
    </cfRule>
  </conditionalFormatting>
  <conditionalFormatting sqref="W71">
    <cfRule type="cellIs" dxfId="1" priority="98" operator="equal">
      <formula>"Activa"</formula>
    </cfRule>
  </conditionalFormatting>
  <conditionalFormatting sqref="K72">
    <cfRule type="cellIs" dxfId="1" priority="99" operator="equal">
      <formula>"$"</formula>
    </cfRule>
  </conditionalFormatting>
  <conditionalFormatting sqref="V72">
    <cfRule type="cellIs" dxfId="1" priority="100" operator="equal">
      <formula>"Nuevo"</formula>
    </cfRule>
  </conditionalFormatting>
  <conditionalFormatting sqref="W72">
    <cfRule type="cellIs" dxfId="1" priority="101" operator="equal">
      <formula>"Activa"</formula>
    </cfRule>
  </conditionalFormatting>
  <conditionalFormatting sqref="K73">
    <cfRule type="cellIs" dxfId="1" priority="102" operator="equal">
      <formula>"$"</formula>
    </cfRule>
  </conditionalFormatting>
  <conditionalFormatting sqref="V73">
    <cfRule type="cellIs" dxfId="1" priority="103" operator="equal">
      <formula>"Nuevo"</formula>
    </cfRule>
  </conditionalFormatting>
  <conditionalFormatting sqref="W73">
    <cfRule type="cellIs" dxfId="1" priority="104" operator="equal">
      <formula>"Activa"</formula>
    </cfRule>
  </conditionalFormatting>
  <conditionalFormatting sqref="K74">
    <cfRule type="cellIs" dxfId="1" priority="105" operator="equal">
      <formula>"$"</formula>
    </cfRule>
  </conditionalFormatting>
  <conditionalFormatting sqref="V74">
    <cfRule type="cellIs" dxfId="1" priority="106" operator="equal">
      <formula>"Nuevo"</formula>
    </cfRule>
  </conditionalFormatting>
  <conditionalFormatting sqref="W74">
    <cfRule type="cellIs" dxfId="1" priority="107" operator="equal">
      <formula>"Activa"</formula>
    </cfRule>
  </conditionalFormatting>
  <conditionalFormatting sqref="K75">
    <cfRule type="cellIs" dxfId="1" priority="108" operator="equal">
      <formula>"$"</formula>
    </cfRule>
  </conditionalFormatting>
  <conditionalFormatting sqref="V75">
    <cfRule type="cellIs" dxfId="1" priority="109" operator="equal">
      <formula>"Nuevo"</formula>
    </cfRule>
  </conditionalFormatting>
  <conditionalFormatting sqref="W75">
    <cfRule type="cellIs" dxfId="1" priority="110" operator="equal">
      <formula>"Activa"</formula>
    </cfRule>
  </conditionalFormatting>
  <conditionalFormatting sqref="K76">
    <cfRule type="cellIs" dxfId="1" priority="111" operator="equal">
      <formula>"$"</formula>
    </cfRule>
  </conditionalFormatting>
  <conditionalFormatting sqref="V76">
    <cfRule type="cellIs" dxfId="1" priority="112" operator="equal">
      <formula>"Nuevo"</formula>
    </cfRule>
  </conditionalFormatting>
  <conditionalFormatting sqref="W76">
    <cfRule type="cellIs" dxfId="1" priority="113" operator="equal">
      <formula>"Activa"</formula>
    </cfRule>
  </conditionalFormatting>
  <conditionalFormatting sqref="K77">
    <cfRule type="cellIs" dxfId="1" priority="114" operator="equal">
      <formula>"$"</formula>
    </cfRule>
  </conditionalFormatting>
  <conditionalFormatting sqref="V77">
    <cfRule type="cellIs" dxfId="1" priority="115" operator="equal">
      <formula>"Nuevo"</formula>
    </cfRule>
  </conditionalFormatting>
  <conditionalFormatting sqref="W77">
    <cfRule type="cellIs" dxfId="1" priority="116" operator="equal">
      <formula>"Activa"</formula>
    </cfRule>
  </conditionalFormatting>
  <conditionalFormatting sqref="K78">
    <cfRule type="cellIs" dxfId="1" priority="117" operator="equal">
      <formula>"$"</formula>
    </cfRule>
  </conditionalFormatting>
  <conditionalFormatting sqref="V78">
    <cfRule type="cellIs" dxfId="1" priority="118" operator="equal">
      <formula>"Nuevo"</formula>
    </cfRule>
  </conditionalFormatting>
  <conditionalFormatting sqref="W78">
    <cfRule type="cellIs" dxfId="1" priority="119" operator="equal">
      <formula>"Activa"</formula>
    </cfRule>
  </conditionalFormatting>
  <conditionalFormatting sqref="K79">
    <cfRule type="cellIs" dxfId="1" priority="120" operator="equal">
      <formula>"$"</formula>
    </cfRule>
  </conditionalFormatting>
  <conditionalFormatting sqref="V79">
    <cfRule type="cellIs" dxfId="1" priority="121" operator="equal">
      <formula>"Nuevo"</formula>
    </cfRule>
  </conditionalFormatting>
  <conditionalFormatting sqref="W79">
    <cfRule type="cellIs" dxfId="1" priority="122" operator="equal">
      <formula>"Activa"</formula>
    </cfRule>
  </conditionalFormatting>
  <conditionalFormatting sqref="K80">
    <cfRule type="cellIs" dxfId="1" priority="123" operator="equal">
      <formula>"$"</formula>
    </cfRule>
  </conditionalFormatting>
  <conditionalFormatting sqref="V80">
    <cfRule type="cellIs" dxfId="1" priority="124" operator="equal">
      <formula>"Nuevo"</formula>
    </cfRule>
  </conditionalFormatting>
  <conditionalFormatting sqref="W80">
    <cfRule type="cellIs" dxfId="1" priority="125" operator="equal">
      <formula>"Activa"</formula>
    </cfRule>
  </conditionalFormatting>
  <conditionalFormatting sqref="K81">
    <cfRule type="cellIs" dxfId="1" priority="126" operator="equal">
      <formula>"$"</formula>
    </cfRule>
  </conditionalFormatting>
  <conditionalFormatting sqref="V81">
    <cfRule type="cellIs" dxfId="1" priority="127" operator="equal">
      <formula>"Nuevo"</formula>
    </cfRule>
  </conditionalFormatting>
  <conditionalFormatting sqref="W81">
    <cfRule type="cellIs" dxfId="1" priority="128" operator="equal">
      <formula>"Activa"</formula>
    </cfRule>
  </conditionalFormatting>
  <conditionalFormatting sqref="K82">
    <cfRule type="cellIs" dxfId="1" priority="129" operator="equal">
      <formula>"$"</formula>
    </cfRule>
  </conditionalFormatting>
  <conditionalFormatting sqref="V82">
    <cfRule type="cellIs" dxfId="1" priority="130" operator="equal">
      <formula>"Nuevo"</formula>
    </cfRule>
  </conditionalFormatting>
  <conditionalFormatting sqref="W82">
    <cfRule type="cellIs" dxfId="1" priority="131" operator="equal">
      <formula>"Activa"</formula>
    </cfRule>
  </conditionalFormatting>
  <conditionalFormatting sqref="K83">
    <cfRule type="cellIs" dxfId="1" priority="132" operator="equal">
      <formula>"$"</formula>
    </cfRule>
  </conditionalFormatting>
  <conditionalFormatting sqref="V83">
    <cfRule type="cellIs" dxfId="1" priority="133" operator="equal">
      <formula>"Nuevo"</formula>
    </cfRule>
  </conditionalFormatting>
  <conditionalFormatting sqref="W83">
    <cfRule type="cellIs" dxfId="1" priority="134" operator="equal">
      <formula>"Activa"</formula>
    </cfRule>
  </conditionalFormatting>
  <conditionalFormatting sqref="K84">
    <cfRule type="cellIs" dxfId="1" priority="135" operator="equal">
      <formula>"$"</formula>
    </cfRule>
  </conditionalFormatting>
  <conditionalFormatting sqref="V84">
    <cfRule type="cellIs" dxfId="1" priority="136" operator="equal">
      <formula>"Nuevo"</formula>
    </cfRule>
  </conditionalFormatting>
  <conditionalFormatting sqref="W84">
    <cfRule type="cellIs" dxfId="1" priority="137" operator="equal">
      <formula>"Activa"</formula>
    </cfRule>
  </conditionalFormatting>
  <conditionalFormatting sqref="K85">
    <cfRule type="cellIs" dxfId="1" priority="138" operator="equal">
      <formula>"$"</formula>
    </cfRule>
  </conditionalFormatting>
  <conditionalFormatting sqref="V85">
    <cfRule type="cellIs" dxfId="1" priority="139" operator="equal">
      <formula>"Nuevo"</formula>
    </cfRule>
  </conditionalFormatting>
  <conditionalFormatting sqref="W85">
    <cfRule type="cellIs" dxfId="1" priority="140" operator="equal">
      <formula>"Activa"</formula>
    </cfRule>
  </conditionalFormatting>
  <conditionalFormatting sqref="K86">
    <cfRule type="cellIs" dxfId="1" priority="141" operator="equal">
      <formula>"$"</formula>
    </cfRule>
  </conditionalFormatting>
  <conditionalFormatting sqref="V86">
    <cfRule type="cellIs" dxfId="1" priority="142" operator="equal">
      <formula>"Nuevo"</formula>
    </cfRule>
  </conditionalFormatting>
  <conditionalFormatting sqref="W86">
    <cfRule type="cellIs" dxfId="1" priority="143" operator="equal">
      <formula>"Activa"</formula>
    </cfRule>
  </conditionalFormatting>
  <conditionalFormatting sqref="K87">
    <cfRule type="cellIs" dxfId="1" priority="144" operator="equal">
      <formula>"$"</formula>
    </cfRule>
  </conditionalFormatting>
  <conditionalFormatting sqref="V87">
    <cfRule type="cellIs" dxfId="1" priority="145" operator="equal">
      <formula>"Nuevo"</formula>
    </cfRule>
  </conditionalFormatting>
  <conditionalFormatting sqref="W87">
    <cfRule type="cellIs" dxfId="1" priority="146" operator="equal">
      <formula>"Activa"</formula>
    </cfRule>
  </conditionalFormatting>
  <conditionalFormatting sqref="K88">
    <cfRule type="cellIs" dxfId="1" priority="147" operator="equal">
      <formula>"$"</formula>
    </cfRule>
  </conditionalFormatting>
  <conditionalFormatting sqref="V88">
    <cfRule type="cellIs" dxfId="1" priority="148" operator="equal">
      <formula>"Nuevo"</formula>
    </cfRule>
  </conditionalFormatting>
  <conditionalFormatting sqref="W88">
    <cfRule type="cellIs" dxfId="1" priority="149" operator="equal">
      <formula>"Activa"</formula>
    </cfRule>
  </conditionalFormatting>
  <conditionalFormatting sqref="K89">
    <cfRule type="cellIs" dxfId="1" priority="150" operator="equal">
      <formula>"$"</formula>
    </cfRule>
  </conditionalFormatting>
  <conditionalFormatting sqref="V89">
    <cfRule type="cellIs" dxfId="1" priority="151" operator="equal">
      <formula>"Nuevo"</formula>
    </cfRule>
  </conditionalFormatting>
  <conditionalFormatting sqref="W89">
    <cfRule type="cellIs" dxfId="1" priority="152" operator="equal">
      <formula>"Activa"</formula>
    </cfRule>
  </conditionalFormatting>
  <conditionalFormatting sqref="K90">
    <cfRule type="cellIs" dxfId="1" priority="153" operator="equal">
      <formula>"$"</formula>
    </cfRule>
  </conditionalFormatting>
  <conditionalFormatting sqref="V90">
    <cfRule type="cellIs" dxfId="1" priority="154" operator="equal">
      <formula>"Nuevo"</formula>
    </cfRule>
  </conditionalFormatting>
  <conditionalFormatting sqref="W90">
    <cfRule type="cellIs" dxfId="1" priority="155" operator="equal">
      <formula>"Activa"</formula>
    </cfRule>
  </conditionalFormatting>
  <conditionalFormatting sqref="K91">
    <cfRule type="cellIs" dxfId="1" priority="156" operator="equal">
      <formula>"$"</formula>
    </cfRule>
  </conditionalFormatting>
  <conditionalFormatting sqref="V91">
    <cfRule type="cellIs" dxfId="1" priority="157" operator="equal">
      <formula>"Nuevo"</formula>
    </cfRule>
  </conditionalFormatting>
  <conditionalFormatting sqref="W91">
    <cfRule type="cellIs" dxfId="1" priority="158" operator="equal">
      <formula>"Activa"</formula>
    </cfRule>
  </conditionalFormatting>
  <conditionalFormatting sqref="K92">
    <cfRule type="cellIs" dxfId="1" priority="159" operator="equal">
      <formula>"$"</formula>
    </cfRule>
  </conditionalFormatting>
  <conditionalFormatting sqref="W92">
    <cfRule type="cellIs" dxfId="1" priority="160" operator="equal">
      <formula>"Activa"</formula>
    </cfRule>
  </conditionalFormatting>
  <conditionalFormatting sqref="K93">
    <cfRule type="cellIs" dxfId="1" priority="161" operator="equal">
      <formula>"$"</formula>
    </cfRule>
  </conditionalFormatting>
  <conditionalFormatting sqref="V93">
    <cfRule type="cellIs" dxfId="1" priority="162" operator="equal">
      <formula>"Nuevo"</formula>
    </cfRule>
  </conditionalFormatting>
  <conditionalFormatting sqref="W93">
    <cfRule type="cellIs" dxfId="1" priority="163" operator="equal">
      <formula>"Activa"</formula>
    </cfRule>
  </conditionalFormatting>
  <conditionalFormatting sqref="K94">
    <cfRule type="cellIs" dxfId="1" priority="164" operator="equal">
      <formula>"$"</formula>
    </cfRule>
  </conditionalFormatting>
  <conditionalFormatting sqref="V94">
    <cfRule type="cellIs" dxfId="1" priority="165" operator="equal">
      <formula>"Nuevo"</formula>
    </cfRule>
  </conditionalFormatting>
  <conditionalFormatting sqref="W94">
    <cfRule type="cellIs" dxfId="1" priority="166" operator="equal">
      <formula>"Activa"</formula>
    </cfRule>
  </conditionalFormatting>
  <conditionalFormatting sqref="K95">
    <cfRule type="cellIs" dxfId="1" priority="167" operator="equal">
      <formula>"$"</formula>
    </cfRule>
  </conditionalFormatting>
  <conditionalFormatting sqref="V95">
    <cfRule type="cellIs" dxfId="1" priority="168" operator="equal">
      <formula>"Nuevo"</formula>
    </cfRule>
  </conditionalFormatting>
  <conditionalFormatting sqref="W95">
    <cfRule type="cellIs" dxfId="1" priority="169" operator="equal">
      <formula>"Activa"</formula>
    </cfRule>
  </conditionalFormatting>
  <conditionalFormatting sqref="K96">
    <cfRule type="cellIs" dxfId="1" priority="170" operator="equal">
      <formula>"$"</formula>
    </cfRule>
  </conditionalFormatting>
  <conditionalFormatting sqref="V96">
    <cfRule type="cellIs" dxfId="1" priority="171" operator="equal">
      <formula>"Nuevo"</formula>
    </cfRule>
  </conditionalFormatting>
  <conditionalFormatting sqref="W96">
    <cfRule type="cellIs" dxfId="1" priority="172" operator="equal">
      <formula>"Activa"</formula>
    </cfRule>
  </conditionalFormatting>
  <conditionalFormatting sqref="K97">
    <cfRule type="cellIs" dxfId="1" priority="173" operator="equal">
      <formula>"$"</formula>
    </cfRule>
  </conditionalFormatting>
  <conditionalFormatting sqref="V97">
    <cfRule type="cellIs" dxfId="1" priority="174" operator="equal">
      <formula>"Nuevo"</formula>
    </cfRule>
  </conditionalFormatting>
  <conditionalFormatting sqref="W97">
    <cfRule type="cellIs" dxfId="1" priority="175" operator="equal">
      <formula>"Activa"</formula>
    </cfRule>
  </conditionalFormatting>
  <conditionalFormatting sqref="K100">
    <cfRule type="cellIs" dxfId="1" priority="176" operator="equal">
      <formula>"$"</formula>
    </cfRule>
  </conditionalFormatting>
  <conditionalFormatting sqref="V100">
    <cfRule type="cellIs" dxfId="1" priority="177" operator="equal">
      <formula>"Nuevo"</formula>
    </cfRule>
  </conditionalFormatting>
  <conditionalFormatting sqref="W100">
    <cfRule type="cellIs" dxfId="1" priority="178" operator="equal">
      <formula>"Activa"</formula>
    </cfRule>
  </conditionalFormatting>
  <conditionalFormatting sqref="K104">
    <cfRule type="cellIs" dxfId="1" priority="179" operator="equal">
      <formula>"$"</formula>
    </cfRule>
  </conditionalFormatting>
  <conditionalFormatting sqref="V104">
    <cfRule type="cellIs" dxfId="1" priority="180" operator="equal">
      <formula>"Nuevo"</formula>
    </cfRule>
  </conditionalFormatting>
  <conditionalFormatting sqref="W104">
    <cfRule type="cellIs" dxfId="1" priority="181" operator="equal">
      <formula>"Activa"</formula>
    </cfRule>
  </conditionalFormatting>
  <conditionalFormatting sqref="K105">
    <cfRule type="cellIs" dxfId="1" priority="182" operator="equal">
      <formula>"$"</formula>
    </cfRule>
  </conditionalFormatting>
  <conditionalFormatting sqref="V105">
    <cfRule type="cellIs" dxfId="1" priority="183" operator="equal">
      <formula>"Nuevo"</formula>
    </cfRule>
  </conditionalFormatting>
  <conditionalFormatting sqref="W105">
    <cfRule type="cellIs" dxfId="1" priority="184" operator="equal">
      <formula>"Activa"</formula>
    </cfRule>
  </conditionalFormatting>
  <conditionalFormatting sqref="K106">
    <cfRule type="cellIs" dxfId="1" priority="185" operator="equal">
      <formula>"$"</formula>
    </cfRule>
  </conditionalFormatting>
  <conditionalFormatting sqref="V106">
    <cfRule type="cellIs" dxfId="1" priority="186" operator="equal">
      <formula>"Nuevo"</formula>
    </cfRule>
  </conditionalFormatting>
  <conditionalFormatting sqref="W106">
    <cfRule type="cellIs" dxfId="1" priority="187" operator="equal">
      <formula>"Activa"</formula>
    </cfRule>
  </conditionalFormatting>
  <conditionalFormatting sqref="K107">
    <cfRule type="cellIs" dxfId="1" priority="188" operator="equal">
      <formula>"$"</formula>
    </cfRule>
  </conditionalFormatting>
  <conditionalFormatting sqref="V107">
    <cfRule type="cellIs" dxfId="1" priority="189" operator="equal">
      <formula>"Nuevo"</formula>
    </cfRule>
  </conditionalFormatting>
  <conditionalFormatting sqref="W107">
    <cfRule type="cellIs" dxfId="1" priority="190" operator="equal">
      <formula>"Activa"</formula>
    </cfRule>
  </conditionalFormatting>
  <conditionalFormatting sqref="K108">
    <cfRule type="cellIs" dxfId="1" priority="191" operator="equal">
      <formula>"$"</formula>
    </cfRule>
  </conditionalFormatting>
  <conditionalFormatting sqref="V108">
    <cfRule type="cellIs" dxfId="1" priority="192" operator="equal">
      <formula>"Nuevo"</formula>
    </cfRule>
  </conditionalFormatting>
  <conditionalFormatting sqref="W108">
    <cfRule type="cellIs" dxfId="1" priority="193" operator="equal">
      <formula>"Activa"</formula>
    </cfRule>
  </conditionalFormatting>
  <conditionalFormatting sqref="K109">
    <cfRule type="cellIs" dxfId="1" priority="194" operator="equal">
      <formula>"$"</formula>
    </cfRule>
  </conditionalFormatting>
  <conditionalFormatting sqref="V109">
    <cfRule type="cellIs" dxfId="1" priority="195" operator="equal">
      <formula>"Nuevo"</formula>
    </cfRule>
  </conditionalFormatting>
  <conditionalFormatting sqref="W109">
    <cfRule type="cellIs" dxfId="1" priority="196" operator="equal">
      <formula>"Activa"</formula>
    </cfRule>
  </conditionalFormatting>
  <conditionalFormatting sqref="K110">
    <cfRule type="cellIs" dxfId="1" priority="197" operator="equal">
      <formula>"$"</formula>
    </cfRule>
  </conditionalFormatting>
  <conditionalFormatting sqref="V110">
    <cfRule type="cellIs" dxfId="1" priority="198" operator="equal">
      <formula>"Nuevo"</formula>
    </cfRule>
  </conditionalFormatting>
  <conditionalFormatting sqref="W110">
    <cfRule type="cellIs" dxfId="1" priority="199" operator="equal">
      <formula>"Activa"</formula>
    </cfRule>
  </conditionalFormatting>
  <conditionalFormatting sqref="K111">
    <cfRule type="cellIs" dxfId="1" priority="200" operator="equal">
      <formula>"$"</formula>
    </cfRule>
  </conditionalFormatting>
  <conditionalFormatting sqref="V111">
    <cfRule type="cellIs" dxfId="1" priority="201" operator="equal">
      <formula>"Nuevo"</formula>
    </cfRule>
  </conditionalFormatting>
  <conditionalFormatting sqref="W111">
    <cfRule type="cellIs" dxfId="1" priority="202" operator="equal">
      <formula>"Activa"</formula>
    </cfRule>
  </conditionalFormatting>
  <conditionalFormatting sqref="K112">
    <cfRule type="cellIs" dxfId="1" priority="203" operator="equal">
      <formula>"$"</formula>
    </cfRule>
  </conditionalFormatting>
  <conditionalFormatting sqref="V112">
    <cfRule type="cellIs" dxfId="1" priority="204" operator="equal">
      <formula>"Nuevo"</formula>
    </cfRule>
  </conditionalFormatting>
  <conditionalFormatting sqref="W112">
    <cfRule type="cellIs" dxfId="1" priority="205" operator="equal">
      <formula>"Activa"</formula>
    </cfRule>
  </conditionalFormatting>
  <conditionalFormatting sqref="K113">
    <cfRule type="cellIs" dxfId="1" priority="206" operator="equal">
      <formula>"$"</formula>
    </cfRule>
  </conditionalFormatting>
  <conditionalFormatting sqref="V113">
    <cfRule type="cellIs" dxfId="1" priority="207" operator="equal">
      <formula>"Nuevo"</formula>
    </cfRule>
  </conditionalFormatting>
  <conditionalFormatting sqref="W113">
    <cfRule type="cellIs" dxfId="1" priority="208" operator="equal">
      <formula>"Activa"</formula>
    </cfRule>
  </conditionalFormatting>
  <conditionalFormatting sqref="K114">
    <cfRule type="cellIs" dxfId="1" priority="209" operator="equal">
      <formula>"$"</formula>
    </cfRule>
  </conditionalFormatting>
  <conditionalFormatting sqref="V114">
    <cfRule type="cellIs" dxfId="1" priority="210" operator="equal">
      <formula>"Nuevo"</formula>
    </cfRule>
  </conditionalFormatting>
  <conditionalFormatting sqref="W114">
    <cfRule type="cellIs" dxfId="1" priority="211" operator="equal">
      <formula>"Activa"</formula>
    </cfRule>
  </conditionalFormatting>
  <conditionalFormatting sqref="K115">
    <cfRule type="cellIs" dxfId="1" priority="212" operator="equal">
      <formula>"$"</formula>
    </cfRule>
  </conditionalFormatting>
  <conditionalFormatting sqref="V115">
    <cfRule type="cellIs" dxfId="1" priority="213" operator="equal">
      <formula>"Nuevo"</formula>
    </cfRule>
  </conditionalFormatting>
  <conditionalFormatting sqref="W115">
    <cfRule type="cellIs" dxfId="1" priority="214" operator="equal">
      <formula>"Activa"</formula>
    </cfRule>
  </conditionalFormatting>
  <conditionalFormatting sqref="K116">
    <cfRule type="cellIs" dxfId="1" priority="215" operator="equal">
      <formula>"$"</formula>
    </cfRule>
  </conditionalFormatting>
  <conditionalFormatting sqref="V116">
    <cfRule type="cellIs" dxfId="1" priority="216" operator="equal">
      <formula>"Nuevo"</formula>
    </cfRule>
  </conditionalFormatting>
  <conditionalFormatting sqref="W116">
    <cfRule type="cellIs" dxfId="1" priority="217" operator="equal">
      <formula>"Activa"</formula>
    </cfRule>
  </conditionalFormatting>
  <conditionalFormatting sqref="K117">
    <cfRule type="cellIs" dxfId="1" priority="218" operator="equal">
      <formula>"$"</formula>
    </cfRule>
  </conditionalFormatting>
  <conditionalFormatting sqref="V117">
    <cfRule type="cellIs" dxfId="1" priority="219" operator="equal">
      <formula>"Nuevo"</formula>
    </cfRule>
  </conditionalFormatting>
  <conditionalFormatting sqref="W117">
    <cfRule type="cellIs" dxfId="1" priority="220" operator="equal">
      <formula>"Activa"</formula>
    </cfRule>
  </conditionalFormatting>
  <conditionalFormatting sqref="K118">
    <cfRule type="cellIs" dxfId="1" priority="221" operator="equal">
      <formula>"$"</formula>
    </cfRule>
  </conditionalFormatting>
  <conditionalFormatting sqref="V118">
    <cfRule type="cellIs" dxfId="1" priority="222" operator="equal">
      <formula>"Nuevo"</formula>
    </cfRule>
  </conditionalFormatting>
  <conditionalFormatting sqref="W118">
    <cfRule type="cellIs" dxfId="1" priority="223" operator="equal">
      <formula>"Activa"</formula>
    </cfRule>
  </conditionalFormatting>
  <conditionalFormatting sqref="K119">
    <cfRule type="cellIs" dxfId="1" priority="224" operator="equal">
      <formula>"$"</formula>
    </cfRule>
  </conditionalFormatting>
  <conditionalFormatting sqref="V119">
    <cfRule type="cellIs" dxfId="1" priority="225" operator="equal">
      <formula>"Nuevo"</formula>
    </cfRule>
  </conditionalFormatting>
  <conditionalFormatting sqref="W119">
    <cfRule type="cellIs" dxfId="1" priority="226" operator="equal">
      <formula>"Activa"</formula>
    </cfRule>
  </conditionalFormatting>
  <conditionalFormatting sqref="K120">
    <cfRule type="cellIs" dxfId="1" priority="227" operator="equal">
      <formula>"$"</formula>
    </cfRule>
  </conditionalFormatting>
  <conditionalFormatting sqref="V120">
    <cfRule type="cellIs" dxfId="1" priority="228" operator="equal">
      <formula>"Nuevo"</formula>
    </cfRule>
  </conditionalFormatting>
  <conditionalFormatting sqref="W120">
    <cfRule type="cellIs" dxfId="1" priority="229" operator="equal">
      <formula>"Activa"</formula>
    </cfRule>
  </conditionalFormatting>
  <conditionalFormatting sqref="K121">
    <cfRule type="cellIs" dxfId="1" priority="230" operator="equal">
      <formula>"$"</formula>
    </cfRule>
  </conditionalFormatting>
  <conditionalFormatting sqref="V121">
    <cfRule type="cellIs" dxfId="1" priority="231" operator="equal">
      <formula>"Nuevo"</formula>
    </cfRule>
  </conditionalFormatting>
  <conditionalFormatting sqref="W121">
    <cfRule type="cellIs" dxfId="1" priority="232" operator="equal">
      <formula>"Activa"</formula>
    </cfRule>
  </conditionalFormatting>
  <conditionalFormatting sqref="K122">
    <cfRule type="cellIs" dxfId="1" priority="233" operator="equal">
      <formula>"$"</formula>
    </cfRule>
  </conditionalFormatting>
  <conditionalFormatting sqref="V122">
    <cfRule type="cellIs" dxfId="1" priority="234" operator="equal">
      <formula>"Nuevo"</formula>
    </cfRule>
  </conditionalFormatting>
  <conditionalFormatting sqref="W122">
    <cfRule type="cellIs" dxfId="1" priority="235" operator="equal">
      <formula>"Activa"</formula>
    </cfRule>
  </conditionalFormatting>
  <conditionalFormatting sqref="K123">
    <cfRule type="cellIs" dxfId="1" priority="236" operator="equal">
      <formula>"$"</formula>
    </cfRule>
  </conditionalFormatting>
  <conditionalFormatting sqref="V123">
    <cfRule type="cellIs" dxfId="1" priority="237" operator="equal">
      <formula>"Nuevo"</formula>
    </cfRule>
  </conditionalFormatting>
  <conditionalFormatting sqref="W123">
    <cfRule type="cellIs" dxfId="1" priority="238" operator="equal">
      <formula>"Activa"</formula>
    </cfRule>
  </conditionalFormatting>
  <conditionalFormatting sqref="K124">
    <cfRule type="cellIs" dxfId="1" priority="239" operator="equal">
      <formula>"$"</formula>
    </cfRule>
  </conditionalFormatting>
  <conditionalFormatting sqref="V124">
    <cfRule type="cellIs" dxfId="1" priority="240" operator="equal">
      <formula>"Nuevo"</formula>
    </cfRule>
  </conditionalFormatting>
  <conditionalFormatting sqref="W124">
    <cfRule type="cellIs" dxfId="1" priority="241" operator="equal">
      <formula>"Activa"</formula>
    </cfRule>
  </conditionalFormatting>
  <conditionalFormatting sqref="K125">
    <cfRule type="cellIs" dxfId="1" priority="242" operator="equal">
      <formula>"$"</formula>
    </cfRule>
  </conditionalFormatting>
  <conditionalFormatting sqref="V125">
    <cfRule type="cellIs" dxfId="1" priority="243" operator="equal">
      <formula>"Nuevo"</formula>
    </cfRule>
  </conditionalFormatting>
  <conditionalFormatting sqref="W125">
    <cfRule type="cellIs" dxfId="1" priority="244" operator="equal">
      <formula>"Activa"</formula>
    </cfRule>
  </conditionalFormatting>
  <conditionalFormatting sqref="K126">
    <cfRule type="cellIs" dxfId="1" priority="245" operator="equal">
      <formula>"$"</formula>
    </cfRule>
  </conditionalFormatting>
  <conditionalFormatting sqref="V126">
    <cfRule type="cellIs" dxfId="1" priority="246" operator="equal">
      <formula>"Nuevo"</formula>
    </cfRule>
  </conditionalFormatting>
  <conditionalFormatting sqref="W126">
    <cfRule type="cellIs" dxfId="1" priority="247" operator="equal">
      <formula>"Activa"</formula>
    </cfRule>
  </conditionalFormatting>
  <conditionalFormatting sqref="K127">
    <cfRule type="cellIs" dxfId="1" priority="248" operator="equal">
      <formula>"$"</formula>
    </cfRule>
  </conditionalFormatting>
  <conditionalFormatting sqref="V127">
    <cfRule type="cellIs" dxfId="1" priority="249" operator="equal">
      <formula>"Nuevo"</formula>
    </cfRule>
  </conditionalFormatting>
  <conditionalFormatting sqref="W127">
    <cfRule type="cellIs" dxfId="1" priority="250" operator="equal">
      <formula>"Activa"</formula>
    </cfRule>
  </conditionalFormatting>
  <conditionalFormatting sqref="K128">
    <cfRule type="cellIs" dxfId="1" priority="251" operator="equal">
      <formula>"$"</formula>
    </cfRule>
  </conditionalFormatting>
  <conditionalFormatting sqref="V128">
    <cfRule type="cellIs" dxfId="1" priority="252" operator="equal">
      <formula>"Nuevo"</formula>
    </cfRule>
  </conditionalFormatting>
  <conditionalFormatting sqref="W128">
    <cfRule type="cellIs" dxfId="1" priority="253" operator="equal">
      <formula>"Activa"</formula>
    </cfRule>
  </conditionalFormatting>
  <conditionalFormatting sqref="K129">
    <cfRule type="cellIs" dxfId="1" priority="254" operator="equal">
      <formula>"$"</formula>
    </cfRule>
  </conditionalFormatting>
  <conditionalFormatting sqref="V129">
    <cfRule type="cellIs" dxfId="1" priority="255" operator="equal">
      <formula>"Nuevo"</formula>
    </cfRule>
  </conditionalFormatting>
  <conditionalFormatting sqref="W129">
    <cfRule type="cellIs" dxfId="1" priority="256" operator="equal">
      <formula>"Activa"</formula>
    </cfRule>
  </conditionalFormatting>
  <conditionalFormatting sqref="K130">
    <cfRule type="cellIs" dxfId="1" priority="257" operator="equal">
      <formula>"$"</formula>
    </cfRule>
  </conditionalFormatting>
  <conditionalFormatting sqref="V130">
    <cfRule type="cellIs" dxfId="1" priority="258" operator="equal">
      <formula>"Nuevo"</formula>
    </cfRule>
  </conditionalFormatting>
  <conditionalFormatting sqref="W130">
    <cfRule type="cellIs" dxfId="1" priority="259" operator="equal">
      <formula>"Activa"</formula>
    </cfRule>
  </conditionalFormatting>
  <conditionalFormatting sqref="K131">
    <cfRule type="cellIs" dxfId="1" priority="260" operator="equal">
      <formula>"$"</formula>
    </cfRule>
  </conditionalFormatting>
  <conditionalFormatting sqref="V131">
    <cfRule type="cellIs" dxfId="1" priority="261" operator="equal">
      <formula>"Nuevo"</formula>
    </cfRule>
  </conditionalFormatting>
  <conditionalFormatting sqref="W131">
    <cfRule type="cellIs" dxfId="1" priority="262" operator="equal">
      <formula>"Activa"</formula>
    </cfRule>
  </conditionalFormatting>
  <conditionalFormatting sqref="K132">
    <cfRule type="cellIs" dxfId="1" priority="263" operator="equal">
      <formula>"$"</formula>
    </cfRule>
  </conditionalFormatting>
  <conditionalFormatting sqref="V132">
    <cfRule type="cellIs" dxfId="1" priority="264" operator="equal">
      <formula>"Nuevo"</formula>
    </cfRule>
  </conditionalFormatting>
  <conditionalFormatting sqref="W132">
    <cfRule type="cellIs" dxfId="1" priority="265" operator="equal">
      <formula>"Activa"</formula>
    </cfRule>
  </conditionalFormatting>
  <conditionalFormatting sqref="K133">
    <cfRule type="cellIs" dxfId="1" priority="266" operator="equal">
      <formula>"$"</formula>
    </cfRule>
  </conditionalFormatting>
  <conditionalFormatting sqref="V133">
    <cfRule type="cellIs" dxfId="1" priority="267" operator="equal">
      <formula>"Nuevo"</formula>
    </cfRule>
  </conditionalFormatting>
  <conditionalFormatting sqref="W133">
    <cfRule type="cellIs" dxfId="1" priority="268" operator="equal">
      <formula>"Activa"</formula>
    </cfRule>
  </conditionalFormatting>
  <conditionalFormatting sqref="K134">
    <cfRule type="cellIs" dxfId="1" priority="269" operator="equal">
      <formula>"$"</formula>
    </cfRule>
  </conditionalFormatting>
  <conditionalFormatting sqref="V134">
    <cfRule type="cellIs" dxfId="1" priority="270" operator="equal">
      <formula>"Nuevo"</formula>
    </cfRule>
  </conditionalFormatting>
  <conditionalFormatting sqref="W134">
    <cfRule type="cellIs" dxfId="1" priority="271" operator="equal">
      <formula>"Activa"</formula>
    </cfRule>
  </conditionalFormatting>
  <conditionalFormatting sqref="K135">
    <cfRule type="cellIs" dxfId="1" priority="272" operator="equal">
      <formula>"$"</formula>
    </cfRule>
  </conditionalFormatting>
  <conditionalFormatting sqref="V135">
    <cfRule type="cellIs" dxfId="1" priority="273" operator="equal">
      <formula>"Nuevo"</formula>
    </cfRule>
  </conditionalFormatting>
  <conditionalFormatting sqref="W135">
    <cfRule type="cellIs" dxfId="1" priority="274" operator="equal">
      <formula>"Activa"</formula>
    </cfRule>
  </conditionalFormatting>
  <conditionalFormatting sqref="K136">
    <cfRule type="cellIs" dxfId="1" priority="275" operator="equal">
      <formula>"$"</formula>
    </cfRule>
  </conditionalFormatting>
  <conditionalFormatting sqref="V136">
    <cfRule type="cellIs" dxfId="1" priority="276" operator="equal">
      <formula>"Nuevo"</formula>
    </cfRule>
  </conditionalFormatting>
  <conditionalFormatting sqref="W136">
    <cfRule type="cellIs" dxfId="1" priority="277" operator="equal">
      <formula>"Activa"</formula>
    </cfRule>
  </conditionalFormatting>
  <conditionalFormatting sqref="K137">
    <cfRule type="cellIs" dxfId="1" priority="278" operator="equal">
      <formula>"$"</formula>
    </cfRule>
  </conditionalFormatting>
  <conditionalFormatting sqref="V137">
    <cfRule type="cellIs" dxfId="1" priority="279" operator="equal">
      <formula>"Nuevo"</formula>
    </cfRule>
  </conditionalFormatting>
  <conditionalFormatting sqref="W137">
    <cfRule type="cellIs" dxfId="1" priority="280" operator="equal">
      <formula>"Activa"</formula>
    </cfRule>
  </conditionalFormatting>
  <conditionalFormatting sqref="K138">
    <cfRule type="cellIs" dxfId="1" priority="281" operator="equal">
      <formula>"$"</formula>
    </cfRule>
  </conditionalFormatting>
  <conditionalFormatting sqref="V138">
    <cfRule type="cellIs" dxfId="1" priority="282" operator="equal">
      <formula>"Nuevo"</formula>
    </cfRule>
  </conditionalFormatting>
  <conditionalFormatting sqref="W138">
    <cfRule type="cellIs" dxfId="1" priority="283" operator="equal">
      <formula>"Activa"</formula>
    </cfRule>
  </conditionalFormatting>
  <conditionalFormatting sqref="K143">
    <cfRule type="cellIs" dxfId="1" priority="284" operator="equal">
      <formula>"$"</formula>
    </cfRule>
  </conditionalFormatting>
  <conditionalFormatting sqref="V143">
    <cfRule type="cellIs" dxfId="1" priority="285" operator="equal">
      <formula>"Nuevo"</formula>
    </cfRule>
  </conditionalFormatting>
  <conditionalFormatting sqref="W143">
    <cfRule type="cellIs" dxfId="1" priority="286" operator="equal">
      <formula>"Activa"</formula>
    </cfRule>
  </conditionalFormatting>
  <conditionalFormatting sqref="K148">
    <cfRule type="cellIs" dxfId="1" priority="287" operator="equal">
      <formula>"$"</formula>
    </cfRule>
  </conditionalFormatting>
  <conditionalFormatting sqref="V148">
    <cfRule type="cellIs" dxfId="1" priority="288" operator="equal">
      <formula>"Nuevo"</formula>
    </cfRule>
  </conditionalFormatting>
  <conditionalFormatting sqref="W148">
    <cfRule type="cellIs" dxfId="1" priority="289" operator="equal">
      <formula>"Activa"</formula>
    </cfRule>
  </conditionalFormatting>
  <conditionalFormatting sqref="K151">
    <cfRule type="cellIs" dxfId="1" priority="290" operator="equal">
      <formula>"$"</formula>
    </cfRule>
  </conditionalFormatting>
  <conditionalFormatting sqref="V151">
    <cfRule type="cellIs" dxfId="1" priority="291" operator="equal">
      <formula>"Nuevo"</formula>
    </cfRule>
  </conditionalFormatting>
  <conditionalFormatting sqref="W151">
    <cfRule type="cellIs" dxfId="1" priority="292" operator="equal">
      <formula>"Activa"</formula>
    </cfRule>
  </conditionalFormatting>
  <conditionalFormatting sqref="K152">
    <cfRule type="cellIs" dxfId="1" priority="293" operator="equal">
      <formula>"$"</formula>
    </cfRule>
  </conditionalFormatting>
  <conditionalFormatting sqref="V152">
    <cfRule type="cellIs" dxfId="1" priority="294" operator="equal">
      <formula>"Nuevo"</formula>
    </cfRule>
  </conditionalFormatting>
  <conditionalFormatting sqref="W152">
    <cfRule type="cellIs" dxfId="1" priority="295" operator="equal">
      <formula>"Activa"</formula>
    </cfRule>
  </conditionalFormatting>
  <conditionalFormatting sqref="K153">
    <cfRule type="cellIs" dxfId="1" priority="296" operator="equal">
      <formula>"$"</formula>
    </cfRule>
  </conditionalFormatting>
  <conditionalFormatting sqref="V153">
    <cfRule type="cellIs" dxfId="1" priority="297" operator="equal">
      <formula>"Nuevo"</formula>
    </cfRule>
  </conditionalFormatting>
  <conditionalFormatting sqref="W153">
    <cfRule type="cellIs" dxfId="1" priority="298" operator="equal">
      <formula>"Activa"</formula>
    </cfRule>
  </conditionalFormatting>
  <conditionalFormatting sqref="K154">
    <cfRule type="cellIs" dxfId="1" priority="299" operator="equal">
      <formula>"$"</formula>
    </cfRule>
  </conditionalFormatting>
  <conditionalFormatting sqref="V154">
    <cfRule type="cellIs" dxfId="1" priority="300" operator="equal">
      <formula>"Nuevo"</formula>
    </cfRule>
  </conditionalFormatting>
  <conditionalFormatting sqref="W154">
    <cfRule type="cellIs" dxfId="1" priority="301" operator="equal">
      <formula>"Activa"</formula>
    </cfRule>
  </conditionalFormatting>
  <conditionalFormatting sqref="K155">
    <cfRule type="cellIs" dxfId="1" priority="302" operator="equal">
      <formula>"$"</formula>
    </cfRule>
  </conditionalFormatting>
  <conditionalFormatting sqref="V155">
    <cfRule type="cellIs" dxfId="1" priority="303" operator="equal">
      <formula>"Nuevo"</formula>
    </cfRule>
  </conditionalFormatting>
  <conditionalFormatting sqref="W155">
    <cfRule type="cellIs" dxfId="1" priority="304" operator="equal">
      <formula>"Activa"</formula>
    </cfRule>
  </conditionalFormatting>
  <conditionalFormatting sqref="K156">
    <cfRule type="cellIs" dxfId="1" priority="305" operator="equal">
      <formula>"$"</formula>
    </cfRule>
  </conditionalFormatting>
  <conditionalFormatting sqref="V156">
    <cfRule type="cellIs" dxfId="1" priority="306" operator="equal">
      <formula>"Nuevo"</formula>
    </cfRule>
  </conditionalFormatting>
  <conditionalFormatting sqref="W156">
    <cfRule type="cellIs" dxfId="1" priority="307" operator="equal">
      <formula>"Activa"</formula>
    </cfRule>
  </conditionalFormatting>
  <conditionalFormatting sqref="K157">
    <cfRule type="cellIs" dxfId="1" priority="308" operator="equal">
      <formula>"$"</formula>
    </cfRule>
  </conditionalFormatting>
  <conditionalFormatting sqref="V157">
    <cfRule type="cellIs" dxfId="1" priority="309" operator="equal">
      <formula>"Nuevo"</formula>
    </cfRule>
  </conditionalFormatting>
  <conditionalFormatting sqref="W157">
    <cfRule type="cellIs" dxfId="1" priority="310" operator="equal">
      <formula>"Activa"</formula>
    </cfRule>
  </conditionalFormatting>
  <conditionalFormatting sqref="K158">
    <cfRule type="cellIs" dxfId="1" priority="311" operator="equal">
      <formula>"$"</formula>
    </cfRule>
  </conditionalFormatting>
  <conditionalFormatting sqref="V158">
    <cfRule type="cellIs" dxfId="1" priority="312" operator="equal">
      <formula>"Nuevo"</formula>
    </cfRule>
  </conditionalFormatting>
  <conditionalFormatting sqref="W158">
    <cfRule type="cellIs" dxfId="1" priority="313" operator="equal">
      <formula>"Activa"</formula>
    </cfRule>
  </conditionalFormatting>
  <conditionalFormatting sqref="K159">
    <cfRule type="cellIs" dxfId="1" priority="314" operator="equal">
      <formula>"$"</formula>
    </cfRule>
  </conditionalFormatting>
  <conditionalFormatting sqref="V159">
    <cfRule type="cellIs" dxfId="1" priority="315" operator="equal">
      <formula>"Nuevo"</formula>
    </cfRule>
  </conditionalFormatting>
  <conditionalFormatting sqref="W159">
    <cfRule type="cellIs" dxfId="1" priority="316" operator="equal">
      <formula>"Activa"</formula>
    </cfRule>
  </conditionalFormatting>
  <conditionalFormatting sqref="K160">
    <cfRule type="cellIs" dxfId="1" priority="317" operator="equal">
      <formula>"$"</formula>
    </cfRule>
  </conditionalFormatting>
  <conditionalFormatting sqref="V160">
    <cfRule type="cellIs" dxfId="1" priority="318" operator="equal">
      <formula>"Nuevo"</formula>
    </cfRule>
  </conditionalFormatting>
  <conditionalFormatting sqref="W160">
    <cfRule type="cellIs" dxfId="1" priority="319" operator="equal">
      <formula>"Activa"</formula>
    </cfRule>
  </conditionalFormatting>
  <conditionalFormatting sqref="K161">
    <cfRule type="cellIs" dxfId="1" priority="320" operator="equal">
      <formula>"$"</formula>
    </cfRule>
  </conditionalFormatting>
  <conditionalFormatting sqref="V161">
    <cfRule type="cellIs" dxfId="1" priority="321" operator="equal">
      <formula>"Nuevo"</formula>
    </cfRule>
  </conditionalFormatting>
  <conditionalFormatting sqref="W161">
    <cfRule type="cellIs" dxfId="1" priority="322" operator="equal">
      <formula>"Activa"</formula>
    </cfRule>
  </conditionalFormatting>
  <conditionalFormatting sqref="K162">
    <cfRule type="cellIs" dxfId="1" priority="323" operator="equal">
      <formula>"$"</formula>
    </cfRule>
  </conditionalFormatting>
  <conditionalFormatting sqref="V162">
    <cfRule type="cellIs" dxfId="1" priority="324" operator="equal">
      <formula>"Nuevo"</formula>
    </cfRule>
  </conditionalFormatting>
  <conditionalFormatting sqref="W162">
    <cfRule type="cellIs" dxfId="1" priority="325" operator="equal">
      <formula>"Activa"</formula>
    </cfRule>
  </conditionalFormatting>
  <conditionalFormatting sqref="K166">
    <cfRule type="cellIs" dxfId="1" priority="326" operator="equal">
      <formula>"$"</formula>
    </cfRule>
  </conditionalFormatting>
  <conditionalFormatting sqref="V166">
    <cfRule type="cellIs" dxfId="1" priority="327" operator="equal">
      <formula>"Nuevo"</formula>
    </cfRule>
  </conditionalFormatting>
  <conditionalFormatting sqref="W166">
    <cfRule type="cellIs" dxfId="1" priority="328" operator="equal">
      <formula>"Activa"</formula>
    </cfRule>
  </conditionalFormatting>
  <conditionalFormatting sqref="K167">
    <cfRule type="cellIs" dxfId="1" priority="329" operator="equal">
      <formula>"$"</formula>
    </cfRule>
  </conditionalFormatting>
  <conditionalFormatting sqref="V167">
    <cfRule type="cellIs" dxfId="1" priority="330" operator="equal">
      <formula>"Nuevo"</formula>
    </cfRule>
  </conditionalFormatting>
  <conditionalFormatting sqref="W167">
    <cfRule type="cellIs" dxfId="1" priority="331" operator="equal">
      <formula>"Activa"</formula>
    </cfRule>
  </conditionalFormatting>
  <conditionalFormatting sqref="K172">
    <cfRule type="cellIs" dxfId="1" priority="332" operator="equal">
      <formula>"$"</formula>
    </cfRule>
  </conditionalFormatting>
  <conditionalFormatting sqref="V172">
    <cfRule type="cellIs" dxfId="1" priority="333" operator="equal">
      <formula>"Nuevo"</formula>
    </cfRule>
  </conditionalFormatting>
  <conditionalFormatting sqref="W172">
    <cfRule type="cellIs" dxfId="1" priority="334" operator="equal">
      <formula>"Activa"</formula>
    </cfRule>
  </conditionalFormatting>
  <conditionalFormatting sqref="K173">
    <cfRule type="cellIs" dxfId="1" priority="335" operator="equal">
      <formula>"$"</formula>
    </cfRule>
  </conditionalFormatting>
  <conditionalFormatting sqref="V173">
    <cfRule type="cellIs" dxfId="1" priority="336" operator="equal">
      <formula>"Nuevo"</formula>
    </cfRule>
  </conditionalFormatting>
  <conditionalFormatting sqref="W173">
    <cfRule type="cellIs" dxfId="1" priority="337" operator="equal">
      <formula>"Activa"</formula>
    </cfRule>
  </conditionalFormatting>
  <conditionalFormatting sqref="K174">
    <cfRule type="cellIs" dxfId="1" priority="338" operator="equal">
      <formula>"$"</formula>
    </cfRule>
  </conditionalFormatting>
  <conditionalFormatting sqref="V174">
    <cfRule type="cellIs" dxfId="1" priority="339" operator="equal">
      <formula>"Nuevo"</formula>
    </cfRule>
  </conditionalFormatting>
  <conditionalFormatting sqref="W174">
    <cfRule type="cellIs" dxfId="1" priority="340" operator="equal">
      <formula>"Activa"</formula>
    </cfRule>
  </conditionalFormatting>
  <conditionalFormatting sqref="K175">
    <cfRule type="cellIs" dxfId="1" priority="341" operator="equal">
      <formula>"$"</formula>
    </cfRule>
  </conditionalFormatting>
  <conditionalFormatting sqref="V175">
    <cfRule type="cellIs" dxfId="1" priority="342" operator="equal">
      <formula>"Nuevo"</formula>
    </cfRule>
  </conditionalFormatting>
  <conditionalFormatting sqref="W175">
    <cfRule type="cellIs" dxfId="1" priority="343" operator="equal">
      <formula>"Activa"</formula>
    </cfRule>
  </conditionalFormatting>
  <conditionalFormatting sqref="K179">
    <cfRule type="cellIs" dxfId="1" priority="344" operator="equal">
      <formula>"$"</formula>
    </cfRule>
  </conditionalFormatting>
  <conditionalFormatting sqref="V179">
    <cfRule type="cellIs" dxfId="1" priority="345" operator="equal">
      <formula>"Nuevo"</formula>
    </cfRule>
  </conditionalFormatting>
  <conditionalFormatting sqref="W179">
    <cfRule type="cellIs" dxfId="1" priority="346" operator="equal">
      <formula>"Activa"</formula>
    </cfRule>
  </conditionalFormatting>
  <conditionalFormatting sqref="K180">
    <cfRule type="cellIs" dxfId="1" priority="347" operator="equal">
      <formula>"$"</formula>
    </cfRule>
  </conditionalFormatting>
  <conditionalFormatting sqref="V180">
    <cfRule type="cellIs" dxfId="1" priority="348" operator="equal">
      <formula>"Nuevo"</formula>
    </cfRule>
  </conditionalFormatting>
  <conditionalFormatting sqref="W180">
    <cfRule type="cellIs" dxfId="1" priority="349" operator="equal">
      <formula>"Activa"</formula>
    </cfRule>
  </conditionalFormatting>
  <conditionalFormatting sqref="K181">
    <cfRule type="cellIs" dxfId="1" priority="350" operator="equal">
      <formula>"$"</formula>
    </cfRule>
  </conditionalFormatting>
  <conditionalFormatting sqref="W181">
    <cfRule type="cellIs" dxfId="1" priority="351" operator="equal">
      <formula>"Activa"</formula>
    </cfRule>
  </conditionalFormatting>
  <conditionalFormatting sqref="K182">
    <cfRule type="cellIs" dxfId="1" priority="352" operator="equal">
      <formula>"$"</formula>
    </cfRule>
  </conditionalFormatting>
  <conditionalFormatting sqref="W182">
    <cfRule type="cellIs" dxfId="1" priority="353" operator="equal">
      <formula>"Activa"</formula>
    </cfRule>
  </conditionalFormatting>
  <conditionalFormatting sqref="K183">
    <cfRule type="cellIs" dxfId="1" priority="354" operator="equal">
      <formula>"$"</formula>
    </cfRule>
  </conditionalFormatting>
  <conditionalFormatting sqref="V183">
    <cfRule type="cellIs" dxfId="1" priority="355" operator="equal">
      <formula>"Nuevo"</formula>
    </cfRule>
  </conditionalFormatting>
  <conditionalFormatting sqref="W183">
    <cfRule type="cellIs" dxfId="1" priority="356" operator="equal">
      <formula>"Activa"</formula>
    </cfRule>
  </conditionalFormatting>
  <conditionalFormatting sqref="K184">
    <cfRule type="cellIs" dxfId="1" priority="357" operator="equal">
      <formula>"$"</formula>
    </cfRule>
  </conditionalFormatting>
  <conditionalFormatting sqref="V184">
    <cfRule type="cellIs" dxfId="1" priority="358" operator="equal">
      <formula>"Nuevo"</formula>
    </cfRule>
  </conditionalFormatting>
  <conditionalFormatting sqref="W184">
    <cfRule type="cellIs" dxfId="1" priority="359" operator="equal">
      <formula>"Activa"</formula>
    </cfRule>
  </conditionalFormatting>
  <conditionalFormatting sqref="K190">
    <cfRule type="cellIs" dxfId="1" priority="360" operator="equal">
      <formula>"$"</formula>
    </cfRule>
  </conditionalFormatting>
  <conditionalFormatting sqref="V190">
    <cfRule type="cellIs" dxfId="1" priority="361" operator="equal">
      <formula>"Nuevo"</formula>
    </cfRule>
  </conditionalFormatting>
  <conditionalFormatting sqref="W190">
    <cfRule type="cellIs" dxfId="1" priority="362" operator="equal">
      <formula>"Activa"</formula>
    </cfRule>
  </conditionalFormatting>
  <conditionalFormatting sqref="K194">
    <cfRule type="cellIs" dxfId="1" priority="363" operator="equal">
      <formula>"$"</formula>
    </cfRule>
  </conditionalFormatting>
  <conditionalFormatting sqref="V194">
    <cfRule type="cellIs" dxfId="1" priority="364" operator="equal">
      <formula>"Nuevo"</formula>
    </cfRule>
  </conditionalFormatting>
  <conditionalFormatting sqref="W194">
    <cfRule type="cellIs" dxfId="1" priority="365" operator="equal">
      <formula>"Activa"</formula>
    </cfRule>
  </conditionalFormatting>
  <conditionalFormatting sqref="K202">
    <cfRule type="cellIs" dxfId="1" priority="366" operator="equal">
      <formula>"$"</formula>
    </cfRule>
  </conditionalFormatting>
  <conditionalFormatting sqref="V202">
    <cfRule type="cellIs" dxfId="1" priority="367" operator="equal">
      <formula>"Nuevo"</formula>
    </cfRule>
  </conditionalFormatting>
  <conditionalFormatting sqref="W202">
    <cfRule type="cellIs" dxfId="1" priority="368" operator="equal">
      <formula>"Activa"</formula>
    </cfRule>
  </conditionalFormatting>
  <conditionalFormatting sqref="K207">
    <cfRule type="cellIs" dxfId="1" priority="369" operator="equal">
      <formula>"$"</formula>
    </cfRule>
  </conditionalFormatting>
  <conditionalFormatting sqref="V207">
    <cfRule type="cellIs" dxfId="1" priority="370" operator="equal">
      <formula>"Nuevo"</formula>
    </cfRule>
  </conditionalFormatting>
  <conditionalFormatting sqref="W207">
    <cfRule type="cellIs" dxfId="1" priority="371" operator="equal">
      <formula>"Activa"</formula>
    </cfRule>
  </conditionalFormatting>
  <conditionalFormatting sqref="K208">
    <cfRule type="cellIs" dxfId="1" priority="372" operator="equal">
      <formula>"$"</formula>
    </cfRule>
  </conditionalFormatting>
  <conditionalFormatting sqref="V208">
    <cfRule type="cellIs" dxfId="1" priority="373" operator="equal">
      <formula>"Nuevo"</formula>
    </cfRule>
  </conditionalFormatting>
  <conditionalFormatting sqref="W208">
    <cfRule type="cellIs" dxfId="1" priority="374" operator="equal">
      <formula>"Activa"</formula>
    </cfRule>
  </conditionalFormatting>
  <conditionalFormatting sqref="K212">
    <cfRule type="cellIs" dxfId="1" priority="375" operator="equal">
      <formula>"$"</formula>
    </cfRule>
  </conditionalFormatting>
  <conditionalFormatting sqref="V212">
    <cfRule type="cellIs" dxfId="1" priority="376" operator="equal">
      <formula>"Nuevo"</formula>
    </cfRule>
  </conditionalFormatting>
  <conditionalFormatting sqref="W212">
    <cfRule type="cellIs" dxfId="1" priority="377" operator="equal">
      <formula>"Activa"</formula>
    </cfRule>
  </conditionalFormatting>
  <conditionalFormatting sqref="K213">
    <cfRule type="cellIs" dxfId="1" priority="378" operator="equal">
      <formula>"$"</formula>
    </cfRule>
  </conditionalFormatting>
  <conditionalFormatting sqref="V213">
    <cfRule type="cellIs" dxfId="1" priority="379" operator="equal">
      <formula>"Nuevo"</formula>
    </cfRule>
  </conditionalFormatting>
  <conditionalFormatting sqref="W213">
    <cfRule type="cellIs" dxfId="1" priority="380" operator="equal">
      <formula>"Activa"</formula>
    </cfRule>
  </conditionalFormatting>
  <conditionalFormatting sqref="K214">
    <cfRule type="cellIs" dxfId="1" priority="381" operator="equal">
      <formula>"$"</formula>
    </cfRule>
  </conditionalFormatting>
  <conditionalFormatting sqref="W214">
    <cfRule type="cellIs" dxfId="1" priority="382" operator="equal">
      <formula>"Activa"</formula>
    </cfRule>
  </conditionalFormatting>
  <conditionalFormatting sqref="K215">
    <cfRule type="cellIs" dxfId="1" priority="383" operator="equal">
      <formula>"$"</formula>
    </cfRule>
  </conditionalFormatting>
  <conditionalFormatting sqref="V215">
    <cfRule type="cellIs" dxfId="1" priority="384" operator="equal">
      <formula>"Nuevo"</formula>
    </cfRule>
  </conditionalFormatting>
  <conditionalFormatting sqref="W215">
    <cfRule type="cellIs" dxfId="1" priority="385" operator="equal">
      <formula>"Activa"</formula>
    </cfRule>
  </conditionalFormatting>
  <conditionalFormatting sqref="K216">
    <cfRule type="cellIs" dxfId="1" priority="386" operator="equal">
      <formula>"$"</formula>
    </cfRule>
  </conditionalFormatting>
  <conditionalFormatting sqref="V216">
    <cfRule type="cellIs" dxfId="1" priority="387" operator="equal">
      <formula>"Nuevo"</formula>
    </cfRule>
  </conditionalFormatting>
  <conditionalFormatting sqref="W216">
    <cfRule type="cellIs" dxfId="1" priority="388" operator="equal">
      <formula>"Activa"</formula>
    </cfRule>
  </conditionalFormatting>
  <conditionalFormatting sqref="K217">
    <cfRule type="cellIs" dxfId="1" priority="389" operator="equal">
      <formula>"$"</formula>
    </cfRule>
  </conditionalFormatting>
  <conditionalFormatting sqref="V217">
    <cfRule type="cellIs" dxfId="1" priority="390" operator="equal">
      <formula>"Nuevo"</formula>
    </cfRule>
  </conditionalFormatting>
  <conditionalFormatting sqref="W217">
    <cfRule type="cellIs" dxfId="1" priority="391" operator="equal">
      <formula>"Activa"</formula>
    </cfRule>
  </conditionalFormatting>
  <conditionalFormatting sqref="K218">
    <cfRule type="cellIs" dxfId="1" priority="392" operator="equal">
      <formula>"$"</formula>
    </cfRule>
  </conditionalFormatting>
  <conditionalFormatting sqref="V218">
    <cfRule type="cellIs" dxfId="1" priority="393" operator="equal">
      <formula>"Nuevo"</formula>
    </cfRule>
  </conditionalFormatting>
  <conditionalFormatting sqref="W218">
    <cfRule type="cellIs" dxfId="1" priority="394" operator="equal">
      <formula>"Activa"</formula>
    </cfRule>
  </conditionalFormatting>
  <conditionalFormatting sqref="K219">
    <cfRule type="cellIs" dxfId="1" priority="395" operator="equal">
      <formula>"$"</formula>
    </cfRule>
  </conditionalFormatting>
  <conditionalFormatting sqref="V219">
    <cfRule type="cellIs" dxfId="1" priority="396" operator="equal">
      <formula>"Nuevo"</formula>
    </cfRule>
  </conditionalFormatting>
  <conditionalFormatting sqref="W219">
    <cfRule type="cellIs" dxfId="1" priority="397" operator="equal">
      <formula>"Activa"</formula>
    </cfRule>
  </conditionalFormatting>
  <conditionalFormatting sqref="K220">
    <cfRule type="cellIs" dxfId="1" priority="398" operator="equal">
      <formula>"$"</formula>
    </cfRule>
  </conditionalFormatting>
  <conditionalFormatting sqref="V220">
    <cfRule type="cellIs" dxfId="1" priority="399" operator="equal">
      <formula>"Nuevo"</formula>
    </cfRule>
  </conditionalFormatting>
  <conditionalFormatting sqref="W220">
    <cfRule type="cellIs" dxfId="1" priority="400" operator="equal">
      <formula>"Activa"</formula>
    </cfRule>
  </conditionalFormatting>
  <conditionalFormatting sqref="K221">
    <cfRule type="cellIs" dxfId="1" priority="401" operator="equal">
      <formula>"$"</formula>
    </cfRule>
  </conditionalFormatting>
  <conditionalFormatting sqref="V221">
    <cfRule type="cellIs" dxfId="1" priority="402" operator="equal">
      <formula>"Nuevo"</formula>
    </cfRule>
  </conditionalFormatting>
  <conditionalFormatting sqref="W221">
    <cfRule type="cellIs" dxfId="1" priority="403" operator="equal">
      <formula>"Activa"</formula>
    </cfRule>
  </conditionalFormatting>
  <conditionalFormatting sqref="K222">
    <cfRule type="cellIs" dxfId="1" priority="404" operator="equal">
      <formula>"$"</formula>
    </cfRule>
  </conditionalFormatting>
  <conditionalFormatting sqref="V222">
    <cfRule type="cellIs" dxfId="1" priority="405" operator="equal">
      <formula>"Nuevo"</formula>
    </cfRule>
  </conditionalFormatting>
  <conditionalFormatting sqref="W222">
    <cfRule type="cellIs" dxfId="1" priority="406" operator="equal">
      <formula>"Activa"</formula>
    </cfRule>
  </conditionalFormatting>
  <conditionalFormatting sqref="K223">
    <cfRule type="cellIs" dxfId="1" priority="407" operator="equal">
      <formula>"$"</formula>
    </cfRule>
  </conditionalFormatting>
  <conditionalFormatting sqref="V223">
    <cfRule type="cellIs" dxfId="1" priority="408" operator="equal">
      <formula>"Nuevo"</formula>
    </cfRule>
  </conditionalFormatting>
  <conditionalFormatting sqref="W223">
    <cfRule type="cellIs" dxfId="1" priority="409" operator="equal">
      <formula>"Activa"</formula>
    </cfRule>
  </conditionalFormatting>
  <conditionalFormatting sqref="K224">
    <cfRule type="cellIs" dxfId="1" priority="410" operator="equal">
      <formula>"$"</formula>
    </cfRule>
  </conditionalFormatting>
  <conditionalFormatting sqref="V224">
    <cfRule type="cellIs" dxfId="1" priority="411" operator="equal">
      <formula>"Nuevo"</formula>
    </cfRule>
  </conditionalFormatting>
  <conditionalFormatting sqref="W224">
    <cfRule type="cellIs" dxfId="1" priority="412" operator="equal">
      <formula>"Activa"</formula>
    </cfRule>
  </conditionalFormatting>
  <conditionalFormatting sqref="K225">
    <cfRule type="cellIs" dxfId="1" priority="413" operator="equal">
      <formula>"$"</formula>
    </cfRule>
  </conditionalFormatting>
  <conditionalFormatting sqref="V225">
    <cfRule type="cellIs" dxfId="1" priority="414" operator="equal">
      <formula>"Nuevo"</formula>
    </cfRule>
  </conditionalFormatting>
  <conditionalFormatting sqref="W225">
    <cfRule type="cellIs" dxfId="1" priority="415" operator="equal">
      <formula>"Activa"</formula>
    </cfRule>
  </conditionalFormatting>
  <conditionalFormatting sqref="K226">
    <cfRule type="cellIs" dxfId="1" priority="416" operator="equal">
      <formula>"$"</formula>
    </cfRule>
  </conditionalFormatting>
  <conditionalFormatting sqref="V226">
    <cfRule type="cellIs" dxfId="1" priority="417" operator="equal">
      <formula>"Nuevo"</formula>
    </cfRule>
  </conditionalFormatting>
  <conditionalFormatting sqref="W226">
    <cfRule type="cellIs" dxfId="1" priority="418" operator="equal">
      <formula>"Activa"</formula>
    </cfRule>
  </conditionalFormatting>
  <conditionalFormatting sqref="K227">
    <cfRule type="cellIs" dxfId="1" priority="419" operator="equal">
      <formula>"$"</formula>
    </cfRule>
  </conditionalFormatting>
  <conditionalFormatting sqref="V227">
    <cfRule type="cellIs" dxfId="1" priority="420" operator="equal">
      <formula>"Nuevo"</formula>
    </cfRule>
  </conditionalFormatting>
  <conditionalFormatting sqref="W227">
    <cfRule type="cellIs" dxfId="1" priority="421" operator="equal">
      <formula>"Activa"</formula>
    </cfRule>
  </conditionalFormatting>
  <conditionalFormatting sqref="K228">
    <cfRule type="cellIs" dxfId="1" priority="422" operator="equal">
      <formula>"$"</formula>
    </cfRule>
  </conditionalFormatting>
  <conditionalFormatting sqref="V228">
    <cfRule type="cellIs" dxfId="1" priority="423" operator="equal">
      <formula>"Nuevo"</formula>
    </cfRule>
  </conditionalFormatting>
  <conditionalFormatting sqref="W228">
    <cfRule type="cellIs" dxfId="1" priority="424" operator="equal">
      <formula>"Activa"</formula>
    </cfRule>
  </conditionalFormatting>
  <conditionalFormatting sqref="K229">
    <cfRule type="cellIs" dxfId="1" priority="425" operator="equal">
      <formula>"$"</formula>
    </cfRule>
  </conditionalFormatting>
  <conditionalFormatting sqref="V229">
    <cfRule type="cellIs" dxfId="1" priority="426" operator="equal">
      <formula>"Nuevo"</formula>
    </cfRule>
  </conditionalFormatting>
  <conditionalFormatting sqref="W229">
    <cfRule type="cellIs" dxfId="1" priority="427" operator="equal">
      <formula>"Activa"</formula>
    </cfRule>
  </conditionalFormatting>
  <conditionalFormatting sqref="K230">
    <cfRule type="cellIs" dxfId="1" priority="428" operator="equal">
      <formula>"$"</formula>
    </cfRule>
  </conditionalFormatting>
  <conditionalFormatting sqref="V230">
    <cfRule type="cellIs" dxfId="1" priority="429" operator="equal">
      <formula>"Nuevo"</formula>
    </cfRule>
  </conditionalFormatting>
  <conditionalFormatting sqref="W230">
    <cfRule type="cellIs" dxfId="1" priority="430" operator="equal">
      <formula>"Activa"</formula>
    </cfRule>
  </conditionalFormatting>
  <conditionalFormatting sqref="K231">
    <cfRule type="cellIs" dxfId="1" priority="431" operator="equal">
      <formula>"$"</formula>
    </cfRule>
  </conditionalFormatting>
  <conditionalFormatting sqref="V231">
    <cfRule type="cellIs" dxfId="1" priority="432" operator="equal">
      <formula>"Nuevo"</formula>
    </cfRule>
  </conditionalFormatting>
  <conditionalFormatting sqref="W231">
    <cfRule type="cellIs" dxfId="1" priority="433" operator="equal">
      <formula>"Activa"</formula>
    </cfRule>
  </conditionalFormatting>
  <conditionalFormatting sqref="K232">
    <cfRule type="cellIs" dxfId="1" priority="434" operator="equal">
      <formula>"$"</formula>
    </cfRule>
  </conditionalFormatting>
  <conditionalFormatting sqref="V232">
    <cfRule type="cellIs" dxfId="1" priority="435" operator="equal">
      <formula>"Nuevo"</formula>
    </cfRule>
  </conditionalFormatting>
  <conditionalFormatting sqref="W232">
    <cfRule type="cellIs" dxfId="1" priority="436" operator="equal">
      <formula>"Activa"</formula>
    </cfRule>
  </conditionalFormatting>
  <conditionalFormatting sqref="K233">
    <cfRule type="cellIs" dxfId="1" priority="437" operator="equal">
      <formula>"$"</formula>
    </cfRule>
  </conditionalFormatting>
  <conditionalFormatting sqref="V233">
    <cfRule type="cellIs" dxfId="1" priority="438" operator="equal">
      <formula>"Nuevo"</formula>
    </cfRule>
  </conditionalFormatting>
  <conditionalFormatting sqref="W233">
    <cfRule type="cellIs" dxfId="1" priority="439" operator="equal">
      <formula>"Activa"</formula>
    </cfRule>
  </conditionalFormatting>
  <conditionalFormatting sqref="K234">
    <cfRule type="cellIs" dxfId="1" priority="440" operator="equal">
      <formula>"$"</formula>
    </cfRule>
  </conditionalFormatting>
  <conditionalFormatting sqref="V234">
    <cfRule type="cellIs" dxfId="1" priority="441" operator="equal">
      <formula>"Nuevo"</formula>
    </cfRule>
  </conditionalFormatting>
  <conditionalFormatting sqref="W234">
    <cfRule type="cellIs" dxfId="1" priority="442" operator="equal">
      <formula>"Activa"</formula>
    </cfRule>
  </conditionalFormatting>
  <conditionalFormatting sqref="K235">
    <cfRule type="cellIs" dxfId="1" priority="443" operator="equal">
      <formula>"$"</formula>
    </cfRule>
  </conditionalFormatting>
  <conditionalFormatting sqref="V235">
    <cfRule type="cellIs" dxfId="1" priority="444" operator="equal">
      <formula>"Nuevo"</formula>
    </cfRule>
  </conditionalFormatting>
  <conditionalFormatting sqref="W235">
    <cfRule type="cellIs" dxfId="1" priority="445" operator="equal">
      <formula>"Activa"</formula>
    </cfRule>
  </conditionalFormatting>
  <conditionalFormatting sqref="K236">
    <cfRule type="cellIs" dxfId="1" priority="446" operator="equal">
      <formula>"$"</formula>
    </cfRule>
  </conditionalFormatting>
  <conditionalFormatting sqref="V236">
    <cfRule type="cellIs" dxfId="1" priority="447" operator="equal">
      <formula>"Nuevo"</formula>
    </cfRule>
  </conditionalFormatting>
  <conditionalFormatting sqref="W236">
    <cfRule type="cellIs" dxfId="1" priority="448" operator="equal">
      <formula>"Activa"</formula>
    </cfRule>
  </conditionalFormatting>
  <conditionalFormatting sqref="K237">
    <cfRule type="cellIs" dxfId="1" priority="449" operator="equal">
      <formula>"$"</formula>
    </cfRule>
  </conditionalFormatting>
  <conditionalFormatting sqref="V237">
    <cfRule type="cellIs" dxfId="1" priority="450" operator="equal">
      <formula>"Nuevo"</formula>
    </cfRule>
  </conditionalFormatting>
  <conditionalFormatting sqref="W237">
    <cfRule type="cellIs" dxfId="1" priority="451" operator="equal">
      <formula>"Activa"</formula>
    </cfRule>
  </conditionalFormatting>
  <conditionalFormatting sqref="K238">
    <cfRule type="cellIs" dxfId="1" priority="452" operator="equal">
      <formula>"$"</formula>
    </cfRule>
  </conditionalFormatting>
  <conditionalFormatting sqref="V238">
    <cfRule type="cellIs" dxfId="1" priority="453" operator="equal">
      <formula>"Nuevo"</formula>
    </cfRule>
  </conditionalFormatting>
  <conditionalFormatting sqref="W238">
    <cfRule type="cellIs" dxfId="1" priority="454" operator="equal">
      <formula>"Activa"</formula>
    </cfRule>
  </conditionalFormatting>
  <conditionalFormatting sqref="K239">
    <cfRule type="cellIs" dxfId="1" priority="455" operator="equal">
      <formula>"$"</formula>
    </cfRule>
  </conditionalFormatting>
  <conditionalFormatting sqref="V239">
    <cfRule type="cellIs" dxfId="1" priority="456" operator="equal">
      <formula>"Nuevo"</formula>
    </cfRule>
  </conditionalFormatting>
  <conditionalFormatting sqref="W239">
    <cfRule type="cellIs" dxfId="1" priority="457" operator="equal">
      <formula>"Activa"</formula>
    </cfRule>
  </conditionalFormatting>
  <conditionalFormatting sqref="K240">
    <cfRule type="cellIs" dxfId="1" priority="458" operator="equal">
      <formula>"$"</formula>
    </cfRule>
  </conditionalFormatting>
  <conditionalFormatting sqref="V240">
    <cfRule type="cellIs" dxfId="1" priority="459" operator="equal">
      <formula>"Nuevo"</formula>
    </cfRule>
  </conditionalFormatting>
  <conditionalFormatting sqref="W240">
    <cfRule type="cellIs" dxfId="1" priority="460" operator="equal">
      <formula>"Activa"</formula>
    </cfRule>
  </conditionalFormatting>
  <conditionalFormatting sqref="K241">
    <cfRule type="cellIs" dxfId="1" priority="461" operator="equal">
      <formula>"$"</formula>
    </cfRule>
  </conditionalFormatting>
  <conditionalFormatting sqref="V241">
    <cfRule type="cellIs" dxfId="1" priority="462" operator="equal">
      <formula>"Nuevo"</formula>
    </cfRule>
  </conditionalFormatting>
  <conditionalFormatting sqref="W241">
    <cfRule type="cellIs" dxfId="1" priority="463" operator="equal">
      <formula>"Activa"</formula>
    </cfRule>
  </conditionalFormatting>
  <conditionalFormatting sqref="K242">
    <cfRule type="cellIs" dxfId="1" priority="464" operator="equal">
      <formula>"$"</formula>
    </cfRule>
  </conditionalFormatting>
  <conditionalFormatting sqref="V242">
    <cfRule type="cellIs" dxfId="1" priority="465" operator="equal">
      <formula>"Nuevo"</formula>
    </cfRule>
  </conditionalFormatting>
  <conditionalFormatting sqref="W242">
    <cfRule type="cellIs" dxfId="1" priority="466" operator="equal">
      <formula>"Activa"</formula>
    </cfRule>
  </conditionalFormatting>
  <conditionalFormatting sqref="K243">
    <cfRule type="cellIs" dxfId="1" priority="467" operator="equal">
      <formula>"$"</formula>
    </cfRule>
  </conditionalFormatting>
  <conditionalFormatting sqref="V243">
    <cfRule type="cellIs" dxfId="1" priority="468" operator="equal">
      <formula>"Nuevo"</formula>
    </cfRule>
  </conditionalFormatting>
  <conditionalFormatting sqref="W243">
    <cfRule type="cellIs" dxfId="1" priority="469" operator="equal">
      <formula>"Activa"</formula>
    </cfRule>
  </conditionalFormatting>
  <conditionalFormatting sqref="K244">
    <cfRule type="cellIs" dxfId="1" priority="470" operator="equal">
      <formula>"$"</formula>
    </cfRule>
  </conditionalFormatting>
  <conditionalFormatting sqref="V244">
    <cfRule type="cellIs" dxfId="1" priority="471" operator="equal">
      <formula>"Nuevo"</formula>
    </cfRule>
  </conditionalFormatting>
  <conditionalFormatting sqref="W244">
    <cfRule type="cellIs" dxfId="1" priority="472" operator="equal">
      <formula>"Activa"</formula>
    </cfRule>
  </conditionalFormatting>
  <conditionalFormatting sqref="K245">
    <cfRule type="cellIs" dxfId="1" priority="473" operator="equal">
      <formula>"$"</formula>
    </cfRule>
  </conditionalFormatting>
  <conditionalFormatting sqref="V245">
    <cfRule type="cellIs" dxfId="1" priority="474" operator="equal">
      <formula>"Nuevo"</formula>
    </cfRule>
  </conditionalFormatting>
  <conditionalFormatting sqref="W245">
    <cfRule type="cellIs" dxfId="1" priority="475" operator="equal">
      <formula>"Activa"</formula>
    </cfRule>
  </conditionalFormatting>
  <conditionalFormatting sqref="K246">
    <cfRule type="cellIs" dxfId="1" priority="476" operator="equal">
      <formula>"$"</formula>
    </cfRule>
  </conditionalFormatting>
  <conditionalFormatting sqref="V246">
    <cfRule type="cellIs" dxfId="1" priority="477" operator="equal">
      <formula>"Nuevo"</formula>
    </cfRule>
  </conditionalFormatting>
  <conditionalFormatting sqref="W246">
    <cfRule type="cellIs" dxfId="1" priority="478" operator="equal">
      <formula>"Activa"</formula>
    </cfRule>
  </conditionalFormatting>
  <conditionalFormatting sqref="K247">
    <cfRule type="cellIs" dxfId="1" priority="479" operator="equal">
      <formula>"$"</formula>
    </cfRule>
  </conditionalFormatting>
  <conditionalFormatting sqref="V247">
    <cfRule type="cellIs" dxfId="1" priority="480" operator="equal">
      <formula>"Nuevo"</formula>
    </cfRule>
  </conditionalFormatting>
  <conditionalFormatting sqref="W247">
    <cfRule type="cellIs" dxfId="1" priority="481" operator="equal">
      <formula>"Activa"</formula>
    </cfRule>
  </conditionalFormatting>
  <conditionalFormatting sqref="K248">
    <cfRule type="cellIs" dxfId="1" priority="482" operator="equal">
      <formula>"$"</formula>
    </cfRule>
  </conditionalFormatting>
  <conditionalFormatting sqref="V248">
    <cfRule type="cellIs" dxfId="1" priority="483" operator="equal">
      <formula>"Nuevo"</formula>
    </cfRule>
  </conditionalFormatting>
  <conditionalFormatting sqref="W248">
    <cfRule type="cellIs" dxfId="1" priority="484" operator="equal">
      <formula>"Activa"</formula>
    </cfRule>
  </conditionalFormatting>
  <conditionalFormatting sqref="K249">
    <cfRule type="cellIs" dxfId="1" priority="485" operator="equal">
      <formula>"$"</formula>
    </cfRule>
  </conditionalFormatting>
  <conditionalFormatting sqref="V249">
    <cfRule type="cellIs" dxfId="1" priority="486" operator="equal">
      <formula>"Nuevo"</formula>
    </cfRule>
  </conditionalFormatting>
  <conditionalFormatting sqref="W249">
    <cfRule type="cellIs" dxfId="1" priority="487" operator="equal">
      <formula>"Activa"</formula>
    </cfRule>
  </conditionalFormatting>
  <conditionalFormatting sqref="K250">
    <cfRule type="cellIs" dxfId="1" priority="488" operator="equal">
      <formula>"$"</formula>
    </cfRule>
  </conditionalFormatting>
  <conditionalFormatting sqref="V250">
    <cfRule type="cellIs" dxfId="1" priority="489" operator="equal">
      <formula>"Nuevo"</formula>
    </cfRule>
  </conditionalFormatting>
  <conditionalFormatting sqref="W250">
    <cfRule type="cellIs" dxfId="1" priority="490" operator="equal">
      <formula>"Activa"</formula>
    </cfRule>
  </conditionalFormatting>
  <conditionalFormatting sqref="K251">
    <cfRule type="cellIs" dxfId="1" priority="491" operator="equal">
      <formula>"$"</formula>
    </cfRule>
  </conditionalFormatting>
  <conditionalFormatting sqref="V251">
    <cfRule type="cellIs" dxfId="1" priority="492" operator="equal">
      <formula>"Nuevo"</formula>
    </cfRule>
  </conditionalFormatting>
  <conditionalFormatting sqref="W251">
    <cfRule type="cellIs" dxfId="1" priority="493" operator="equal">
      <formula>"Activa"</formula>
    </cfRule>
  </conditionalFormatting>
  <conditionalFormatting sqref="K252">
    <cfRule type="cellIs" dxfId="1" priority="494" operator="equal">
      <formula>"$"</formula>
    </cfRule>
  </conditionalFormatting>
  <conditionalFormatting sqref="V252">
    <cfRule type="cellIs" dxfId="1" priority="495" operator="equal">
      <formula>"Nuevo"</formula>
    </cfRule>
  </conditionalFormatting>
  <conditionalFormatting sqref="W252">
    <cfRule type="cellIs" dxfId="1" priority="496" operator="equal">
      <formula>"Activa"</formula>
    </cfRule>
  </conditionalFormatting>
  <conditionalFormatting sqref="K253">
    <cfRule type="cellIs" dxfId="1" priority="497" operator="equal">
      <formula>"$"</formula>
    </cfRule>
  </conditionalFormatting>
  <conditionalFormatting sqref="V253">
    <cfRule type="cellIs" dxfId="1" priority="498" operator="equal">
      <formula>"Nuevo"</formula>
    </cfRule>
  </conditionalFormatting>
  <conditionalFormatting sqref="W253">
    <cfRule type="cellIs" dxfId="1" priority="499" operator="equal">
      <formula>"Activa"</formula>
    </cfRule>
  </conditionalFormatting>
  <conditionalFormatting sqref="K254">
    <cfRule type="cellIs" dxfId="1" priority="500" operator="equal">
      <formula>"$"</formula>
    </cfRule>
  </conditionalFormatting>
  <conditionalFormatting sqref="V254">
    <cfRule type="cellIs" dxfId="1" priority="501" operator="equal">
      <formula>"Nuevo"</formula>
    </cfRule>
  </conditionalFormatting>
  <conditionalFormatting sqref="W254">
    <cfRule type="cellIs" dxfId="1" priority="502" operator="equal">
      <formula>"Activa"</formula>
    </cfRule>
  </conditionalFormatting>
  <conditionalFormatting sqref="K255">
    <cfRule type="cellIs" dxfId="1" priority="503" operator="equal">
      <formula>"$"</formula>
    </cfRule>
  </conditionalFormatting>
  <conditionalFormatting sqref="V255">
    <cfRule type="cellIs" dxfId="1" priority="504" operator="equal">
      <formula>"Nuevo"</formula>
    </cfRule>
  </conditionalFormatting>
  <conditionalFormatting sqref="W255">
    <cfRule type="cellIs" dxfId="1" priority="505" operator="equal">
      <formula>"Activa"</formula>
    </cfRule>
  </conditionalFormatting>
  <conditionalFormatting sqref="K256">
    <cfRule type="cellIs" dxfId="1" priority="506" operator="equal">
      <formula>"$"</formula>
    </cfRule>
  </conditionalFormatting>
  <conditionalFormatting sqref="V256">
    <cfRule type="cellIs" dxfId="1" priority="507" operator="equal">
      <formula>"Nuevo"</formula>
    </cfRule>
  </conditionalFormatting>
  <conditionalFormatting sqref="W256">
    <cfRule type="cellIs" dxfId="1" priority="508" operator="equal">
      <formula>"Activa"</formula>
    </cfRule>
  </conditionalFormatting>
  <conditionalFormatting sqref="K257">
    <cfRule type="cellIs" dxfId="1" priority="509" operator="equal">
      <formula>"$"</formula>
    </cfRule>
  </conditionalFormatting>
  <conditionalFormatting sqref="V257">
    <cfRule type="cellIs" dxfId="1" priority="510" operator="equal">
      <formula>"Nuevo"</formula>
    </cfRule>
  </conditionalFormatting>
  <conditionalFormatting sqref="W257">
    <cfRule type="cellIs" dxfId="1" priority="511" operator="equal">
      <formula>"Activa"</formula>
    </cfRule>
  </conditionalFormatting>
  <conditionalFormatting sqref="K258">
    <cfRule type="cellIs" dxfId="1" priority="512" operator="equal">
      <formula>"$"</formula>
    </cfRule>
  </conditionalFormatting>
  <conditionalFormatting sqref="V258">
    <cfRule type="cellIs" dxfId="1" priority="513" operator="equal">
      <formula>"Nuevo"</formula>
    </cfRule>
  </conditionalFormatting>
  <conditionalFormatting sqref="W258">
    <cfRule type="cellIs" dxfId="1" priority="514" operator="equal">
      <formula>"Activa"</formula>
    </cfRule>
  </conditionalFormatting>
  <conditionalFormatting sqref="K259">
    <cfRule type="cellIs" dxfId="1" priority="515" operator="equal">
      <formula>"$"</formula>
    </cfRule>
  </conditionalFormatting>
  <conditionalFormatting sqref="V259">
    <cfRule type="cellIs" dxfId="1" priority="516" operator="equal">
      <formula>"Nuevo"</formula>
    </cfRule>
  </conditionalFormatting>
  <conditionalFormatting sqref="W259">
    <cfRule type="cellIs" dxfId="1" priority="517" operator="equal">
      <formula>"Activa"</formula>
    </cfRule>
  </conditionalFormatting>
  <conditionalFormatting sqref="K260">
    <cfRule type="cellIs" dxfId="1" priority="518" operator="equal">
      <formula>"$"</formula>
    </cfRule>
  </conditionalFormatting>
  <conditionalFormatting sqref="V260">
    <cfRule type="cellIs" dxfId="1" priority="519" operator="equal">
      <formula>"Nuevo"</formula>
    </cfRule>
  </conditionalFormatting>
  <conditionalFormatting sqref="W260">
    <cfRule type="cellIs" dxfId="1" priority="520" operator="equal">
      <formula>"Activa"</formula>
    </cfRule>
  </conditionalFormatting>
  <conditionalFormatting sqref="K261">
    <cfRule type="cellIs" dxfId="1" priority="521" operator="equal">
      <formula>"$"</formula>
    </cfRule>
  </conditionalFormatting>
  <conditionalFormatting sqref="V261">
    <cfRule type="cellIs" dxfId="1" priority="522" operator="equal">
      <formula>"Nuevo"</formula>
    </cfRule>
  </conditionalFormatting>
  <conditionalFormatting sqref="W261">
    <cfRule type="cellIs" dxfId="1" priority="523" operator="equal">
      <formula>"Activa"</formula>
    </cfRule>
  </conditionalFormatting>
  <conditionalFormatting sqref="K262">
    <cfRule type="cellIs" dxfId="1" priority="524" operator="equal">
      <formula>"$"</formula>
    </cfRule>
  </conditionalFormatting>
  <conditionalFormatting sqref="V262">
    <cfRule type="cellIs" dxfId="1" priority="525" operator="equal">
      <formula>"Nuevo"</formula>
    </cfRule>
  </conditionalFormatting>
  <conditionalFormatting sqref="W262">
    <cfRule type="cellIs" dxfId="1" priority="526" operator="equal">
      <formula>"Activa"</formula>
    </cfRule>
  </conditionalFormatting>
  <conditionalFormatting sqref="K263">
    <cfRule type="cellIs" dxfId="1" priority="527" operator="equal">
      <formula>"$"</formula>
    </cfRule>
  </conditionalFormatting>
  <conditionalFormatting sqref="V263">
    <cfRule type="cellIs" dxfId="1" priority="528" operator="equal">
      <formula>"Nuevo"</formula>
    </cfRule>
  </conditionalFormatting>
  <conditionalFormatting sqref="W263">
    <cfRule type="cellIs" dxfId="1" priority="529" operator="equal">
      <formula>"Activa"</formula>
    </cfRule>
  </conditionalFormatting>
  <conditionalFormatting sqref="K264">
    <cfRule type="cellIs" dxfId="1" priority="530" operator="equal">
      <formula>"$"</formula>
    </cfRule>
  </conditionalFormatting>
  <conditionalFormatting sqref="V264">
    <cfRule type="cellIs" dxfId="1" priority="531" operator="equal">
      <formula>"Nuevo"</formula>
    </cfRule>
  </conditionalFormatting>
  <conditionalFormatting sqref="W264">
    <cfRule type="cellIs" dxfId="1" priority="532" operator="equal">
      <formula>"Activa"</formula>
    </cfRule>
  </conditionalFormatting>
  <conditionalFormatting sqref="K265">
    <cfRule type="cellIs" dxfId="1" priority="533" operator="equal">
      <formula>"$"</formula>
    </cfRule>
  </conditionalFormatting>
  <conditionalFormatting sqref="V265">
    <cfRule type="cellIs" dxfId="1" priority="534" operator="equal">
      <formula>"Nuevo"</formula>
    </cfRule>
  </conditionalFormatting>
  <conditionalFormatting sqref="W265">
    <cfRule type="cellIs" dxfId="1" priority="535" operator="equal">
      <formula>"Activa"</formula>
    </cfRule>
  </conditionalFormatting>
  <conditionalFormatting sqref="K266">
    <cfRule type="cellIs" dxfId="1" priority="536" operator="equal">
      <formula>"$"</formula>
    </cfRule>
  </conditionalFormatting>
  <conditionalFormatting sqref="V266">
    <cfRule type="cellIs" dxfId="1" priority="537" operator="equal">
      <formula>"Nuevo"</formula>
    </cfRule>
  </conditionalFormatting>
  <conditionalFormatting sqref="W266">
    <cfRule type="cellIs" dxfId="1" priority="538" operator="equal">
      <formula>"Activa"</formula>
    </cfRule>
  </conditionalFormatting>
  <conditionalFormatting sqref="K267">
    <cfRule type="cellIs" dxfId="1" priority="539" operator="equal">
      <formula>"$"</formula>
    </cfRule>
  </conditionalFormatting>
  <conditionalFormatting sqref="V267">
    <cfRule type="cellIs" dxfId="1" priority="540" operator="equal">
      <formula>"Nuevo"</formula>
    </cfRule>
  </conditionalFormatting>
  <conditionalFormatting sqref="W267">
    <cfRule type="cellIs" dxfId="1" priority="541" operator="equal">
      <formula>"Activa"</formula>
    </cfRule>
  </conditionalFormatting>
  <conditionalFormatting sqref="K268">
    <cfRule type="cellIs" dxfId="1" priority="542" operator="equal">
      <formula>"$"</formula>
    </cfRule>
  </conditionalFormatting>
  <conditionalFormatting sqref="V268">
    <cfRule type="cellIs" dxfId="1" priority="543" operator="equal">
      <formula>"Nuevo"</formula>
    </cfRule>
  </conditionalFormatting>
  <conditionalFormatting sqref="W268">
    <cfRule type="cellIs" dxfId="1" priority="544" operator="equal">
      <formula>"Activa"</formula>
    </cfRule>
  </conditionalFormatting>
  <conditionalFormatting sqref="K269">
    <cfRule type="cellIs" dxfId="1" priority="545" operator="equal">
      <formula>"$"</formula>
    </cfRule>
  </conditionalFormatting>
  <conditionalFormatting sqref="V269">
    <cfRule type="cellIs" dxfId="1" priority="546" operator="equal">
      <formula>"Nuevo"</formula>
    </cfRule>
  </conditionalFormatting>
  <conditionalFormatting sqref="W269">
    <cfRule type="cellIs" dxfId="1" priority="547" operator="equal">
      <formula>"Activa"</formula>
    </cfRule>
  </conditionalFormatting>
  <conditionalFormatting sqref="K270">
    <cfRule type="cellIs" dxfId="1" priority="548" operator="equal">
      <formula>"$"</formula>
    </cfRule>
  </conditionalFormatting>
  <conditionalFormatting sqref="V270">
    <cfRule type="cellIs" dxfId="1" priority="549" operator="equal">
      <formula>"Nuevo"</formula>
    </cfRule>
  </conditionalFormatting>
  <conditionalFormatting sqref="W270">
    <cfRule type="cellIs" dxfId="1" priority="550" operator="equal">
      <formula>"Activa"</formula>
    </cfRule>
  </conditionalFormatting>
  <conditionalFormatting sqref="K271">
    <cfRule type="cellIs" dxfId="1" priority="551" operator="equal">
      <formula>"$"</formula>
    </cfRule>
  </conditionalFormatting>
  <conditionalFormatting sqref="V271">
    <cfRule type="cellIs" dxfId="1" priority="552" operator="equal">
      <formula>"Nuevo"</formula>
    </cfRule>
  </conditionalFormatting>
  <conditionalFormatting sqref="W271">
    <cfRule type="cellIs" dxfId="1" priority="553" operator="equal">
      <formula>"Activa"</formula>
    </cfRule>
  </conditionalFormatting>
  <conditionalFormatting sqref="K272">
    <cfRule type="cellIs" dxfId="1" priority="554" operator="equal">
      <formula>"$"</formula>
    </cfRule>
  </conditionalFormatting>
  <conditionalFormatting sqref="V272">
    <cfRule type="cellIs" dxfId="1" priority="555" operator="equal">
      <formula>"Nuevo"</formula>
    </cfRule>
  </conditionalFormatting>
  <conditionalFormatting sqref="W272">
    <cfRule type="cellIs" dxfId="1" priority="556" operator="equal">
      <formula>"Activa"</formula>
    </cfRule>
  </conditionalFormatting>
  <conditionalFormatting sqref="K273">
    <cfRule type="cellIs" dxfId="1" priority="557" operator="equal">
      <formula>"$"</formula>
    </cfRule>
  </conditionalFormatting>
  <conditionalFormatting sqref="V273">
    <cfRule type="cellIs" dxfId="1" priority="558" operator="equal">
      <formula>"Nuevo"</formula>
    </cfRule>
  </conditionalFormatting>
  <conditionalFormatting sqref="W273">
    <cfRule type="cellIs" dxfId="1" priority="559" operator="equal">
      <formula>"Activa"</formula>
    </cfRule>
  </conditionalFormatting>
  <conditionalFormatting sqref="K274">
    <cfRule type="cellIs" dxfId="1" priority="560" operator="equal">
      <formula>"$"</formula>
    </cfRule>
  </conditionalFormatting>
  <conditionalFormatting sqref="V274">
    <cfRule type="cellIs" dxfId="1" priority="561" operator="equal">
      <formula>"Nuevo"</formula>
    </cfRule>
  </conditionalFormatting>
  <conditionalFormatting sqref="W274">
    <cfRule type="cellIs" dxfId="1" priority="562" operator="equal">
      <formula>"Activa"</formula>
    </cfRule>
  </conditionalFormatting>
  <conditionalFormatting sqref="K275">
    <cfRule type="cellIs" dxfId="1" priority="563" operator="equal">
      <formula>"$"</formula>
    </cfRule>
  </conditionalFormatting>
  <conditionalFormatting sqref="V275">
    <cfRule type="cellIs" dxfId="1" priority="564" operator="equal">
      <formula>"Nuevo"</formula>
    </cfRule>
  </conditionalFormatting>
  <conditionalFormatting sqref="W275">
    <cfRule type="cellIs" dxfId="1" priority="565" operator="equal">
      <formula>"Activa"</formula>
    </cfRule>
  </conditionalFormatting>
  <conditionalFormatting sqref="K276">
    <cfRule type="cellIs" dxfId="1" priority="566" operator="equal">
      <formula>"$"</formula>
    </cfRule>
  </conditionalFormatting>
  <conditionalFormatting sqref="V276">
    <cfRule type="cellIs" dxfId="1" priority="567" operator="equal">
      <formula>"Nuevo"</formula>
    </cfRule>
  </conditionalFormatting>
  <conditionalFormatting sqref="W276">
    <cfRule type="cellIs" dxfId="1" priority="568" operator="equal">
      <formula>"Activa"</formula>
    </cfRule>
  </conditionalFormatting>
  <conditionalFormatting sqref="K277">
    <cfRule type="cellIs" dxfId="1" priority="569" operator="equal">
      <formula>"$"</formula>
    </cfRule>
  </conditionalFormatting>
  <conditionalFormatting sqref="V277">
    <cfRule type="cellIs" dxfId="1" priority="570" operator="equal">
      <formula>"Nuevo"</formula>
    </cfRule>
  </conditionalFormatting>
  <conditionalFormatting sqref="W277">
    <cfRule type="cellIs" dxfId="1" priority="571" operator="equal">
      <formula>"Activa"</formula>
    </cfRule>
  </conditionalFormatting>
  <conditionalFormatting sqref="K278">
    <cfRule type="cellIs" dxfId="1" priority="572" operator="equal">
      <formula>"$"</formula>
    </cfRule>
  </conditionalFormatting>
  <conditionalFormatting sqref="V278">
    <cfRule type="cellIs" dxfId="1" priority="573" operator="equal">
      <formula>"Nuevo"</formula>
    </cfRule>
  </conditionalFormatting>
  <conditionalFormatting sqref="W278">
    <cfRule type="cellIs" dxfId="1" priority="574" operator="equal">
      <formula>"Activa"</formula>
    </cfRule>
  </conditionalFormatting>
  <conditionalFormatting sqref="K279">
    <cfRule type="cellIs" dxfId="1" priority="575" operator="equal">
      <formula>"$"</formula>
    </cfRule>
  </conditionalFormatting>
  <conditionalFormatting sqref="V279">
    <cfRule type="cellIs" dxfId="1" priority="576" operator="equal">
      <formula>"Nuevo"</formula>
    </cfRule>
  </conditionalFormatting>
  <conditionalFormatting sqref="W279">
    <cfRule type="cellIs" dxfId="1" priority="577" operator="equal">
      <formula>"Activa"</formula>
    </cfRule>
  </conditionalFormatting>
  <conditionalFormatting sqref="K280">
    <cfRule type="cellIs" dxfId="1" priority="578" operator="equal">
      <formula>"$"</formula>
    </cfRule>
  </conditionalFormatting>
  <conditionalFormatting sqref="V280">
    <cfRule type="cellIs" dxfId="1" priority="579" operator="equal">
      <formula>"Nuevo"</formula>
    </cfRule>
  </conditionalFormatting>
  <conditionalFormatting sqref="W280">
    <cfRule type="cellIs" dxfId="1" priority="580" operator="equal">
      <formula>"Activa"</formula>
    </cfRule>
  </conditionalFormatting>
  <conditionalFormatting sqref="K281">
    <cfRule type="cellIs" dxfId="1" priority="581" operator="equal">
      <formula>"$"</formula>
    </cfRule>
  </conditionalFormatting>
  <conditionalFormatting sqref="V281">
    <cfRule type="cellIs" dxfId="1" priority="582" operator="equal">
      <formula>"Nuevo"</formula>
    </cfRule>
  </conditionalFormatting>
  <conditionalFormatting sqref="W281">
    <cfRule type="cellIs" dxfId="1" priority="583" operator="equal">
      <formula>"Activa"</formula>
    </cfRule>
  </conditionalFormatting>
  <conditionalFormatting sqref="K282">
    <cfRule type="cellIs" dxfId="1" priority="584" operator="equal">
      <formula>"$"</formula>
    </cfRule>
  </conditionalFormatting>
  <conditionalFormatting sqref="V282">
    <cfRule type="cellIs" dxfId="1" priority="585" operator="equal">
      <formula>"Nuevo"</formula>
    </cfRule>
  </conditionalFormatting>
  <conditionalFormatting sqref="W282">
    <cfRule type="cellIs" dxfId="1" priority="586" operator="equal">
      <formula>"Activa"</formula>
    </cfRule>
  </conditionalFormatting>
  <conditionalFormatting sqref="K283">
    <cfRule type="cellIs" dxfId="1" priority="587" operator="equal">
      <formula>"$"</formula>
    </cfRule>
  </conditionalFormatting>
  <conditionalFormatting sqref="V283">
    <cfRule type="cellIs" dxfId="1" priority="588" operator="equal">
      <formula>"Nuevo"</formula>
    </cfRule>
  </conditionalFormatting>
  <conditionalFormatting sqref="W283">
    <cfRule type="cellIs" dxfId="1" priority="589" operator="equal">
      <formula>"Activa"</formula>
    </cfRule>
  </conditionalFormatting>
  <conditionalFormatting sqref="K284">
    <cfRule type="cellIs" dxfId="1" priority="590" operator="equal">
      <formula>"$"</formula>
    </cfRule>
  </conditionalFormatting>
  <conditionalFormatting sqref="W284">
    <cfRule type="cellIs" dxfId="1" priority="591" operator="equal">
      <formula>"Activa"</formula>
    </cfRule>
  </conditionalFormatting>
  <conditionalFormatting sqref="K285">
    <cfRule type="cellIs" dxfId="1" priority="592" operator="equal">
      <formula>"$"</formula>
    </cfRule>
  </conditionalFormatting>
  <conditionalFormatting sqref="V285">
    <cfRule type="cellIs" dxfId="1" priority="593" operator="equal">
      <formula>"Nuevo"</formula>
    </cfRule>
  </conditionalFormatting>
  <conditionalFormatting sqref="W285">
    <cfRule type="cellIs" dxfId="1" priority="594" operator="equal">
      <formula>"Activa"</formula>
    </cfRule>
  </conditionalFormatting>
  <conditionalFormatting sqref="K286">
    <cfRule type="cellIs" dxfId="1" priority="595" operator="equal">
      <formula>"$"</formula>
    </cfRule>
  </conditionalFormatting>
  <conditionalFormatting sqref="V286">
    <cfRule type="cellIs" dxfId="1" priority="596" operator="equal">
      <formula>"Nuevo"</formula>
    </cfRule>
  </conditionalFormatting>
  <conditionalFormatting sqref="W286">
    <cfRule type="cellIs" dxfId="1" priority="597" operator="equal">
      <formula>"Activa"</formula>
    </cfRule>
  </conditionalFormatting>
  <conditionalFormatting sqref="K287">
    <cfRule type="cellIs" dxfId="1" priority="598" operator="equal">
      <formula>"$"</formula>
    </cfRule>
  </conditionalFormatting>
  <conditionalFormatting sqref="V287">
    <cfRule type="cellIs" dxfId="1" priority="599" operator="equal">
      <formula>"Nuevo"</formula>
    </cfRule>
  </conditionalFormatting>
  <conditionalFormatting sqref="W287">
    <cfRule type="cellIs" dxfId="1" priority="600" operator="equal">
      <formula>"Activa"</formula>
    </cfRule>
  </conditionalFormatting>
  <conditionalFormatting sqref="K288">
    <cfRule type="cellIs" dxfId="1" priority="601" operator="equal">
      <formula>"$"</formula>
    </cfRule>
  </conditionalFormatting>
  <conditionalFormatting sqref="V288">
    <cfRule type="cellIs" dxfId="1" priority="602" operator="equal">
      <formula>"Nuevo"</formula>
    </cfRule>
  </conditionalFormatting>
  <conditionalFormatting sqref="W288">
    <cfRule type="cellIs" dxfId="1" priority="603" operator="equal">
      <formula>"Activa"</formula>
    </cfRule>
  </conditionalFormatting>
  <conditionalFormatting sqref="K291">
    <cfRule type="cellIs" dxfId="1" priority="604" operator="equal">
      <formula>"$"</formula>
    </cfRule>
  </conditionalFormatting>
  <conditionalFormatting sqref="V291">
    <cfRule type="cellIs" dxfId="1" priority="605" operator="equal">
      <formula>"Nuevo"</formula>
    </cfRule>
  </conditionalFormatting>
  <conditionalFormatting sqref="W291">
    <cfRule type="cellIs" dxfId="1" priority="606" operator="equal">
      <formula>"Activa"</formula>
    </cfRule>
  </conditionalFormatting>
  <conditionalFormatting sqref="K296">
    <cfRule type="cellIs" dxfId="1" priority="607" operator="equal">
      <formula>"$"</formula>
    </cfRule>
  </conditionalFormatting>
  <conditionalFormatting sqref="V296">
    <cfRule type="cellIs" dxfId="1" priority="608" operator="equal">
      <formula>"Nuevo"</formula>
    </cfRule>
  </conditionalFormatting>
  <conditionalFormatting sqref="W296">
    <cfRule type="cellIs" dxfId="1" priority="609" operator="equal">
      <formula>"Activa"</formula>
    </cfRule>
  </conditionalFormatting>
  <conditionalFormatting sqref="K297">
    <cfRule type="cellIs" dxfId="1" priority="610" operator="equal">
      <formula>"$"</formula>
    </cfRule>
  </conditionalFormatting>
  <conditionalFormatting sqref="V297">
    <cfRule type="cellIs" dxfId="1" priority="611" operator="equal">
      <formula>"Nuevo"</formula>
    </cfRule>
  </conditionalFormatting>
  <conditionalFormatting sqref="W297">
    <cfRule type="cellIs" dxfId="1" priority="612" operator="equal">
      <formula>"Activa"</formula>
    </cfRule>
  </conditionalFormatting>
  <conditionalFormatting sqref="K298">
    <cfRule type="cellIs" dxfId="1" priority="613" operator="equal">
      <formula>"$"</formula>
    </cfRule>
  </conditionalFormatting>
  <conditionalFormatting sqref="V298">
    <cfRule type="cellIs" dxfId="1" priority="614" operator="equal">
      <formula>"Nuevo"</formula>
    </cfRule>
  </conditionalFormatting>
  <conditionalFormatting sqref="W298">
    <cfRule type="cellIs" dxfId="1" priority="615" operator="equal">
      <formula>"Activa"</formula>
    </cfRule>
  </conditionalFormatting>
  <conditionalFormatting sqref="K299">
    <cfRule type="cellIs" dxfId="1" priority="616" operator="equal">
      <formula>"$"</formula>
    </cfRule>
  </conditionalFormatting>
  <conditionalFormatting sqref="V299">
    <cfRule type="cellIs" dxfId="1" priority="617" operator="equal">
      <formula>"Nuevo"</formula>
    </cfRule>
  </conditionalFormatting>
  <conditionalFormatting sqref="W299">
    <cfRule type="cellIs" dxfId="1" priority="618" operator="equal">
      <formula>"Activa"</formula>
    </cfRule>
  </conditionalFormatting>
  <conditionalFormatting sqref="K300">
    <cfRule type="cellIs" dxfId="1" priority="619" operator="equal">
      <formula>"$"</formula>
    </cfRule>
  </conditionalFormatting>
  <conditionalFormatting sqref="V300">
    <cfRule type="cellIs" dxfId="1" priority="620" operator="equal">
      <formula>"Nuevo"</formula>
    </cfRule>
  </conditionalFormatting>
  <conditionalFormatting sqref="W300">
    <cfRule type="cellIs" dxfId="1" priority="621" operator="equal">
      <formula>"Activa"</formula>
    </cfRule>
  </conditionalFormatting>
  <conditionalFormatting sqref="K301">
    <cfRule type="cellIs" dxfId="1" priority="622" operator="equal">
      <formula>"$"</formula>
    </cfRule>
  </conditionalFormatting>
  <conditionalFormatting sqref="V301">
    <cfRule type="cellIs" dxfId="1" priority="623" operator="equal">
      <formula>"Nuevo"</formula>
    </cfRule>
  </conditionalFormatting>
  <conditionalFormatting sqref="W301">
    <cfRule type="cellIs" dxfId="1" priority="624" operator="equal">
      <formula>"Activa"</formula>
    </cfRule>
  </conditionalFormatting>
  <conditionalFormatting sqref="K302">
    <cfRule type="cellIs" dxfId="1" priority="625" operator="equal">
      <formula>"$"</formula>
    </cfRule>
  </conditionalFormatting>
  <conditionalFormatting sqref="V302">
    <cfRule type="cellIs" dxfId="1" priority="626" operator="equal">
      <formula>"Nuevo"</formula>
    </cfRule>
  </conditionalFormatting>
  <conditionalFormatting sqref="W302">
    <cfRule type="cellIs" dxfId="1" priority="627" operator="equal">
      <formula>"Activa"</formula>
    </cfRule>
  </conditionalFormatting>
  <conditionalFormatting sqref="K303">
    <cfRule type="cellIs" dxfId="1" priority="628" operator="equal">
      <formula>"$"</formula>
    </cfRule>
  </conditionalFormatting>
  <conditionalFormatting sqref="V303">
    <cfRule type="cellIs" dxfId="1" priority="629" operator="equal">
      <formula>"Nuevo"</formula>
    </cfRule>
  </conditionalFormatting>
  <conditionalFormatting sqref="W303">
    <cfRule type="cellIs" dxfId="1" priority="630" operator="equal">
      <formula>"Activa"</formula>
    </cfRule>
  </conditionalFormatting>
  <conditionalFormatting sqref="K304">
    <cfRule type="cellIs" dxfId="1" priority="631" operator="equal">
      <formula>"$"</formula>
    </cfRule>
  </conditionalFormatting>
  <conditionalFormatting sqref="V304">
    <cfRule type="cellIs" dxfId="1" priority="632" operator="equal">
      <formula>"Nuevo"</formula>
    </cfRule>
  </conditionalFormatting>
  <conditionalFormatting sqref="W304">
    <cfRule type="cellIs" dxfId="1" priority="633" operator="equal">
      <formula>"Activa"</formula>
    </cfRule>
  </conditionalFormatting>
  <conditionalFormatting sqref="K305">
    <cfRule type="cellIs" dxfId="1" priority="634" operator="equal">
      <formula>"$"</formula>
    </cfRule>
  </conditionalFormatting>
  <conditionalFormatting sqref="V305">
    <cfRule type="cellIs" dxfId="1" priority="635" operator="equal">
      <formula>"Nuevo"</formula>
    </cfRule>
  </conditionalFormatting>
  <conditionalFormatting sqref="W305">
    <cfRule type="cellIs" dxfId="1" priority="636" operator="equal">
      <formula>"Activa"</formula>
    </cfRule>
  </conditionalFormatting>
  <conditionalFormatting sqref="K306">
    <cfRule type="cellIs" dxfId="1" priority="637" operator="equal">
      <formula>"$"</formula>
    </cfRule>
  </conditionalFormatting>
  <conditionalFormatting sqref="V306">
    <cfRule type="cellIs" dxfId="1" priority="638" operator="equal">
      <formula>"Nuevo"</formula>
    </cfRule>
  </conditionalFormatting>
  <conditionalFormatting sqref="W306">
    <cfRule type="cellIs" dxfId="1" priority="639" operator="equal">
      <formula>"Activa"</formula>
    </cfRule>
  </conditionalFormatting>
  <conditionalFormatting sqref="K307">
    <cfRule type="cellIs" dxfId="1" priority="640" operator="equal">
      <formula>"$"</formula>
    </cfRule>
  </conditionalFormatting>
  <conditionalFormatting sqref="V307">
    <cfRule type="cellIs" dxfId="1" priority="641" operator="equal">
      <formula>"Nuevo"</formula>
    </cfRule>
  </conditionalFormatting>
  <conditionalFormatting sqref="W307">
    <cfRule type="cellIs" dxfId="1" priority="642" operator="equal">
      <formula>"Activa"</formula>
    </cfRule>
  </conditionalFormatting>
  <conditionalFormatting sqref="K308">
    <cfRule type="cellIs" dxfId="1" priority="643" operator="equal">
      <formula>"$"</formula>
    </cfRule>
  </conditionalFormatting>
  <conditionalFormatting sqref="V308">
    <cfRule type="cellIs" dxfId="1" priority="644" operator="equal">
      <formula>"Nuevo"</formula>
    </cfRule>
  </conditionalFormatting>
  <conditionalFormatting sqref="W308">
    <cfRule type="cellIs" dxfId="1" priority="645" operator="equal">
      <formula>"Activa"</formula>
    </cfRule>
  </conditionalFormatting>
  <conditionalFormatting sqref="K309">
    <cfRule type="cellIs" dxfId="1" priority="646" operator="equal">
      <formula>"$"</formula>
    </cfRule>
  </conditionalFormatting>
  <conditionalFormatting sqref="V309">
    <cfRule type="cellIs" dxfId="1" priority="647" operator="equal">
      <formula>"Nuevo"</formula>
    </cfRule>
  </conditionalFormatting>
  <conditionalFormatting sqref="W309">
    <cfRule type="cellIs" dxfId="1" priority="648" operator="equal">
      <formula>"Activa"</formula>
    </cfRule>
  </conditionalFormatting>
  <conditionalFormatting sqref="K310">
    <cfRule type="cellIs" dxfId="1" priority="649" operator="equal">
      <formula>"$"</formula>
    </cfRule>
  </conditionalFormatting>
  <conditionalFormatting sqref="V310">
    <cfRule type="cellIs" dxfId="1" priority="650" operator="equal">
      <formula>"Nuevo"</formula>
    </cfRule>
  </conditionalFormatting>
  <conditionalFormatting sqref="W310">
    <cfRule type="cellIs" dxfId="1" priority="651" operator="equal">
      <formula>"Activa"</formula>
    </cfRule>
  </conditionalFormatting>
  <conditionalFormatting sqref="K311">
    <cfRule type="cellIs" dxfId="1" priority="652" operator="equal">
      <formula>"$"</formula>
    </cfRule>
  </conditionalFormatting>
  <conditionalFormatting sqref="V311">
    <cfRule type="cellIs" dxfId="1" priority="653" operator="equal">
      <formula>"Nuevo"</formula>
    </cfRule>
  </conditionalFormatting>
  <conditionalFormatting sqref="W311">
    <cfRule type="cellIs" dxfId="1" priority="654" operator="equal">
      <formula>"Activa"</formula>
    </cfRule>
  </conditionalFormatting>
  <conditionalFormatting sqref="K312">
    <cfRule type="cellIs" dxfId="1" priority="655" operator="equal">
      <formula>"$"</formula>
    </cfRule>
  </conditionalFormatting>
  <conditionalFormatting sqref="V312">
    <cfRule type="cellIs" dxfId="1" priority="656" operator="equal">
      <formula>"Nuevo"</formula>
    </cfRule>
  </conditionalFormatting>
  <conditionalFormatting sqref="W312">
    <cfRule type="cellIs" dxfId="1" priority="657" operator="equal">
      <formula>"Activa"</formula>
    </cfRule>
  </conditionalFormatting>
  <conditionalFormatting sqref="K313">
    <cfRule type="cellIs" dxfId="1" priority="658" operator="equal">
      <formula>"$"</formula>
    </cfRule>
  </conditionalFormatting>
  <conditionalFormatting sqref="V313">
    <cfRule type="cellIs" dxfId="1" priority="659" operator="equal">
      <formula>"Nuevo"</formula>
    </cfRule>
  </conditionalFormatting>
  <conditionalFormatting sqref="W313">
    <cfRule type="cellIs" dxfId="1" priority="660" operator="equal">
      <formula>"Activa"</formula>
    </cfRule>
  </conditionalFormatting>
  <conditionalFormatting sqref="K314">
    <cfRule type="cellIs" dxfId="1" priority="661" operator="equal">
      <formula>"$"</formula>
    </cfRule>
  </conditionalFormatting>
  <conditionalFormatting sqref="V314">
    <cfRule type="cellIs" dxfId="1" priority="662" operator="equal">
      <formula>"Nuevo"</formula>
    </cfRule>
  </conditionalFormatting>
  <conditionalFormatting sqref="W314">
    <cfRule type="cellIs" dxfId="1" priority="663" operator="equal">
      <formula>"Activa"</formula>
    </cfRule>
  </conditionalFormatting>
  <conditionalFormatting sqref="K315">
    <cfRule type="cellIs" dxfId="1" priority="664" operator="equal">
      <formula>"$"</formula>
    </cfRule>
  </conditionalFormatting>
  <conditionalFormatting sqref="V315">
    <cfRule type="cellIs" dxfId="1" priority="665" operator="equal">
      <formula>"Nuevo"</formula>
    </cfRule>
  </conditionalFormatting>
  <conditionalFormatting sqref="W315">
    <cfRule type="cellIs" dxfId="1" priority="666" operator="equal">
      <formula>"Activa"</formula>
    </cfRule>
  </conditionalFormatting>
  <conditionalFormatting sqref="K316">
    <cfRule type="cellIs" dxfId="1" priority="667" operator="equal">
      <formula>"$"</formula>
    </cfRule>
  </conditionalFormatting>
  <conditionalFormatting sqref="V316">
    <cfRule type="cellIs" dxfId="1" priority="668" operator="equal">
      <formula>"Nuevo"</formula>
    </cfRule>
  </conditionalFormatting>
  <conditionalFormatting sqref="W316">
    <cfRule type="cellIs" dxfId="1" priority="669" operator="equal">
      <formula>"Activa"</formula>
    </cfRule>
  </conditionalFormatting>
  <conditionalFormatting sqref="K317">
    <cfRule type="cellIs" dxfId="1" priority="670" operator="equal">
      <formula>"$"</formula>
    </cfRule>
  </conditionalFormatting>
  <conditionalFormatting sqref="V317">
    <cfRule type="cellIs" dxfId="1" priority="671" operator="equal">
      <formula>"Nuevo"</formula>
    </cfRule>
  </conditionalFormatting>
  <conditionalFormatting sqref="W317">
    <cfRule type="cellIs" dxfId="1" priority="672" operator="equal">
      <formula>"Activa"</formula>
    </cfRule>
  </conditionalFormatting>
  <conditionalFormatting sqref="K318">
    <cfRule type="cellIs" dxfId="1" priority="673" operator="equal">
      <formula>"$"</formula>
    </cfRule>
  </conditionalFormatting>
  <conditionalFormatting sqref="V318">
    <cfRule type="cellIs" dxfId="1" priority="674" operator="equal">
      <formula>"Nuevo"</formula>
    </cfRule>
  </conditionalFormatting>
  <conditionalFormatting sqref="W318">
    <cfRule type="cellIs" dxfId="1" priority="675" operator="equal">
      <formula>"Activa"</formula>
    </cfRule>
  </conditionalFormatting>
  <conditionalFormatting sqref="K319">
    <cfRule type="cellIs" dxfId="1" priority="676" operator="equal">
      <formula>"$"</formula>
    </cfRule>
  </conditionalFormatting>
  <conditionalFormatting sqref="V319">
    <cfRule type="cellIs" dxfId="1" priority="677" operator="equal">
      <formula>"Nuevo"</formula>
    </cfRule>
  </conditionalFormatting>
  <conditionalFormatting sqref="W319">
    <cfRule type="cellIs" dxfId="1" priority="678" operator="equal">
      <formula>"Activa"</formula>
    </cfRule>
  </conditionalFormatting>
  <conditionalFormatting sqref="K320">
    <cfRule type="cellIs" dxfId="1" priority="679" operator="equal">
      <formula>"$"</formula>
    </cfRule>
  </conditionalFormatting>
  <conditionalFormatting sqref="V320">
    <cfRule type="cellIs" dxfId="1" priority="680" operator="equal">
      <formula>"Nuevo"</formula>
    </cfRule>
  </conditionalFormatting>
  <conditionalFormatting sqref="W320">
    <cfRule type="cellIs" dxfId="1" priority="681" operator="equal">
      <formula>"Activa"</formula>
    </cfRule>
  </conditionalFormatting>
  <conditionalFormatting sqref="K321">
    <cfRule type="cellIs" dxfId="1" priority="682" operator="equal">
      <formula>"$"</formula>
    </cfRule>
  </conditionalFormatting>
  <conditionalFormatting sqref="V321">
    <cfRule type="cellIs" dxfId="1" priority="683" operator="equal">
      <formula>"Nuevo"</formula>
    </cfRule>
  </conditionalFormatting>
  <conditionalFormatting sqref="W321">
    <cfRule type="cellIs" dxfId="1" priority="684" operator="equal">
      <formula>"Activa"</formula>
    </cfRule>
  </conditionalFormatting>
  <conditionalFormatting sqref="K322">
    <cfRule type="cellIs" dxfId="1" priority="685" operator="equal">
      <formula>"$"</formula>
    </cfRule>
  </conditionalFormatting>
  <conditionalFormatting sqref="V322">
    <cfRule type="cellIs" dxfId="1" priority="686" operator="equal">
      <formula>"Nuevo"</formula>
    </cfRule>
  </conditionalFormatting>
  <conditionalFormatting sqref="W322">
    <cfRule type="cellIs" dxfId="1" priority="687" operator="equal">
      <formula>"Activa"</formula>
    </cfRule>
  </conditionalFormatting>
  <conditionalFormatting sqref="K327">
    <cfRule type="cellIs" dxfId="1" priority="688" operator="equal">
      <formula>"$"</formula>
    </cfRule>
  </conditionalFormatting>
  <conditionalFormatting sqref="V327">
    <cfRule type="cellIs" dxfId="1" priority="689" operator="equal">
      <formula>"Nuevo"</formula>
    </cfRule>
  </conditionalFormatting>
  <conditionalFormatting sqref="W327">
    <cfRule type="cellIs" dxfId="1" priority="690" operator="equal">
      <formula>"Activa"</formula>
    </cfRule>
  </conditionalFormatting>
  <conditionalFormatting sqref="K328">
    <cfRule type="cellIs" dxfId="1" priority="691" operator="equal">
      <formula>"$"</formula>
    </cfRule>
  </conditionalFormatting>
  <conditionalFormatting sqref="V328">
    <cfRule type="cellIs" dxfId="1" priority="692" operator="equal">
      <formula>"Nuevo"</formula>
    </cfRule>
  </conditionalFormatting>
  <conditionalFormatting sqref="W328">
    <cfRule type="cellIs" dxfId="1" priority="693" operator="equal">
      <formula>"Activa"</formula>
    </cfRule>
  </conditionalFormatting>
  <conditionalFormatting sqref="K329">
    <cfRule type="cellIs" dxfId="1" priority="694" operator="equal">
      <formula>"$"</formula>
    </cfRule>
  </conditionalFormatting>
  <conditionalFormatting sqref="V329">
    <cfRule type="cellIs" dxfId="1" priority="695" operator="equal">
      <formula>"Nuevo"</formula>
    </cfRule>
  </conditionalFormatting>
  <conditionalFormatting sqref="W329">
    <cfRule type="cellIs" dxfId="1" priority="696" operator="equal">
      <formula>"Activa"</formula>
    </cfRule>
  </conditionalFormatting>
  <conditionalFormatting sqref="K330">
    <cfRule type="cellIs" dxfId="1" priority="697" operator="equal">
      <formula>"$"</formula>
    </cfRule>
  </conditionalFormatting>
  <conditionalFormatting sqref="V330">
    <cfRule type="cellIs" dxfId="1" priority="698" operator="equal">
      <formula>"Nuevo"</formula>
    </cfRule>
  </conditionalFormatting>
  <conditionalFormatting sqref="W330">
    <cfRule type="cellIs" dxfId="1" priority="699" operator="equal">
      <formula>"Activa"</formula>
    </cfRule>
  </conditionalFormatting>
  <conditionalFormatting sqref="K331">
    <cfRule type="cellIs" dxfId="1" priority="700" operator="equal">
      <formula>"$"</formula>
    </cfRule>
  </conditionalFormatting>
  <conditionalFormatting sqref="V331">
    <cfRule type="cellIs" dxfId="1" priority="701" operator="equal">
      <formula>"Nuevo"</formula>
    </cfRule>
  </conditionalFormatting>
  <conditionalFormatting sqref="W331">
    <cfRule type="cellIs" dxfId="1" priority="702" operator="equal">
      <formula>"Activa"</formula>
    </cfRule>
  </conditionalFormatting>
  <conditionalFormatting sqref="K332">
    <cfRule type="cellIs" dxfId="1" priority="703" operator="equal">
      <formula>"$"</formula>
    </cfRule>
  </conditionalFormatting>
  <conditionalFormatting sqref="V332">
    <cfRule type="cellIs" dxfId="1" priority="704" operator="equal">
      <formula>"Nuevo"</formula>
    </cfRule>
  </conditionalFormatting>
  <conditionalFormatting sqref="W332">
    <cfRule type="cellIs" dxfId="1" priority="705" operator="equal">
      <formula>"Activa"</formula>
    </cfRule>
  </conditionalFormatting>
  <conditionalFormatting sqref="K333">
    <cfRule type="cellIs" dxfId="1" priority="706" operator="equal">
      <formula>"$"</formula>
    </cfRule>
  </conditionalFormatting>
  <conditionalFormatting sqref="V333">
    <cfRule type="cellIs" dxfId="1" priority="707" operator="equal">
      <formula>"Nuevo"</formula>
    </cfRule>
  </conditionalFormatting>
  <conditionalFormatting sqref="W333">
    <cfRule type="cellIs" dxfId="1" priority="708" operator="equal">
      <formula>"Activa"</formula>
    </cfRule>
  </conditionalFormatting>
  <conditionalFormatting sqref="K334">
    <cfRule type="cellIs" dxfId="1" priority="709" operator="equal">
      <formula>"$"</formula>
    </cfRule>
  </conditionalFormatting>
  <conditionalFormatting sqref="V334">
    <cfRule type="cellIs" dxfId="1" priority="710" operator="equal">
      <formula>"Nuevo"</formula>
    </cfRule>
  </conditionalFormatting>
  <conditionalFormatting sqref="W334">
    <cfRule type="cellIs" dxfId="1" priority="711" operator="equal">
      <formula>"Activa"</formula>
    </cfRule>
  </conditionalFormatting>
  <conditionalFormatting sqref="K335">
    <cfRule type="cellIs" dxfId="1" priority="712" operator="equal">
      <formula>"$"</formula>
    </cfRule>
  </conditionalFormatting>
  <conditionalFormatting sqref="V335">
    <cfRule type="cellIs" dxfId="1" priority="713" operator="equal">
      <formula>"Nuevo"</formula>
    </cfRule>
  </conditionalFormatting>
  <conditionalFormatting sqref="W335">
    <cfRule type="cellIs" dxfId="1" priority="714" operator="equal">
      <formula>"Activa"</formula>
    </cfRule>
  </conditionalFormatting>
  <conditionalFormatting sqref="K340">
    <cfRule type="cellIs" dxfId="1" priority="715" operator="equal">
      <formula>"$"</formula>
    </cfRule>
  </conditionalFormatting>
  <conditionalFormatting sqref="V340">
    <cfRule type="cellIs" dxfId="1" priority="716" operator="equal">
      <formula>"Nuevo"</formula>
    </cfRule>
  </conditionalFormatting>
  <conditionalFormatting sqref="W340">
    <cfRule type="cellIs" dxfId="1" priority="717" operator="equal">
      <formula>"Activa"</formula>
    </cfRule>
  </conditionalFormatting>
  <conditionalFormatting sqref="K346">
    <cfRule type="cellIs" dxfId="1" priority="718" operator="equal">
      <formula>"$"</formula>
    </cfRule>
  </conditionalFormatting>
  <conditionalFormatting sqref="V346">
    <cfRule type="cellIs" dxfId="1" priority="719" operator="equal">
      <formula>"Nuevo"</formula>
    </cfRule>
  </conditionalFormatting>
  <conditionalFormatting sqref="W346">
    <cfRule type="cellIs" dxfId="1" priority="720" operator="equal">
      <formula>"Activa"</formula>
    </cfRule>
  </conditionalFormatting>
  <conditionalFormatting sqref="K347">
    <cfRule type="cellIs" dxfId="1" priority="721" operator="equal">
      <formula>"$"</formula>
    </cfRule>
  </conditionalFormatting>
  <conditionalFormatting sqref="V347">
    <cfRule type="cellIs" dxfId="1" priority="722" operator="equal">
      <formula>"Nuevo"</formula>
    </cfRule>
  </conditionalFormatting>
  <conditionalFormatting sqref="W347">
    <cfRule type="cellIs" dxfId="1" priority="723" operator="equal">
      <formula>"Activa"</formula>
    </cfRule>
  </conditionalFormatting>
  <conditionalFormatting sqref="K348">
    <cfRule type="cellIs" dxfId="1" priority="724" operator="equal">
      <formula>"$"</formula>
    </cfRule>
  </conditionalFormatting>
  <conditionalFormatting sqref="V348">
    <cfRule type="cellIs" dxfId="1" priority="725" operator="equal">
      <formula>"Nuevo"</formula>
    </cfRule>
  </conditionalFormatting>
  <conditionalFormatting sqref="W348">
    <cfRule type="cellIs" dxfId="1" priority="726" operator="equal">
      <formula>"Activa"</formula>
    </cfRule>
  </conditionalFormatting>
  <conditionalFormatting sqref="K349">
    <cfRule type="cellIs" dxfId="1" priority="727" operator="equal">
      <formula>"$"</formula>
    </cfRule>
  </conditionalFormatting>
  <conditionalFormatting sqref="V349">
    <cfRule type="cellIs" dxfId="1" priority="728" operator="equal">
      <formula>"Nuevo"</formula>
    </cfRule>
  </conditionalFormatting>
  <conditionalFormatting sqref="W349">
    <cfRule type="cellIs" dxfId="1" priority="729" operator="equal">
      <formula>"Activa"</formula>
    </cfRule>
  </conditionalFormatting>
  <conditionalFormatting sqref="K350">
    <cfRule type="cellIs" dxfId="1" priority="730" operator="equal">
      <formula>"$"</formula>
    </cfRule>
  </conditionalFormatting>
  <conditionalFormatting sqref="V350">
    <cfRule type="cellIs" dxfId="1" priority="731" operator="equal">
      <formula>"Nuevo"</formula>
    </cfRule>
  </conditionalFormatting>
  <conditionalFormatting sqref="W350">
    <cfRule type="cellIs" dxfId="1" priority="732" operator="equal">
      <formula>"Activa"</formula>
    </cfRule>
  </conditionalFormatting>
  <conditionalFormatting sqref="K351">
    <cfRule type="cellIs" dxfId="1" priority="733" operator="equal">
      <formula>"$"</formula>
    </cfRule>
  </conditionalFormatting>
  <conditionalFormatting sqref="V351">
    <cfRule type="cellIs" dxfId="1" priority="734" operator="equal">
      <formula>"Nuevo"</formula>
    </cfRule>
  </conditionalFormatting>
  <conditionalFormatting sqref="W351">
    <cfRule type="cellIs" dxfId="1" priority="735" operator="equal">
      <formula>"Activa"</formula>
    </cfRule>
  </conditionalFormatting>
  <conditionalFormatting sqref="K352">
    <cfRule type="cellIs" dxfId="1" priority="736" operator="equal">
      <formula>"$"</formula>
    </cfRule>
  </conditionalFormatting>
  <conditionalFormatting sqref="V352">
    <cfRule type="cellIs" dxfId="1" priority="737" operator="equal">
      <formula>"Nuevo"</formula>
    </cfRule>
  </conditionalFormatting>
  <conditionalFormatting sqref="W352">
    <cfRule type="cellIs" dxfId="1" priority="738" operator="equal">
      <formula>"Activa"</formula>
    </cfRule>
  </conditionalFormatting>
  <conditionalFormatting sqref="K358">
    <cfRule type="cellIs" dxfId="1" priority="739" operator="equal">
      <formula>"$"</formula>
    </cfRule>
  </conditionalFormatting>
  <conditionalFormatting sqref="V358">
    <cfRule type="cellIs" dxfId="1" priority="740" operator="equal">
      <formula>"Nuevo"</formula>
    </cfRule>
  </conditionalFormatting>
  <conditionalFormatting sqref="W358">
    <cfRule type="cellIs" dxfId="1" priority="741" operator="equal">
      <formula>"Activa"</formula>
    </cfRule>
  </conditionalFormatting>
  <conditionalFormatting sqref="K359">
    <cfRule type="cellIs" dxfId="1" priority="742" operator="equal">
      <formula>"$"</formula>
    </cfRule>
  </conditionalFormatting>
  <conditionalFormatting sqref="V359">
    <cfRule type="cellIs" dxfId="1" priority="743" operator="equal">
      <formula>"Nuevo"</formula>
    </cfRule>
  </conditionalFormatting>
  <conditionalFormatting sqref="W359">
    <cfRule type="cellIs" dxfId="1" priority="744" operator="equal">
      <formula>"Activa"</formula>
    </cfRule>
  </conditionalFormatting>
  <conditionalFormatting sqref="K360">
    <cfRule type="cellIs" dxfId="1" priority="745" operator="equal">
      <formula>"$"</formula>
    </cfRule>
  </conditionalFormatting>
  <conditionalFormatting sqref="V360">
    <cfRule type="cellIs" dxfId="1" priority="746" operator="equal">
      <formula>"Nuevo"</formula>
    </cfRule>
  </conditionalFormatting>
  <conditionalFormatting sqref="W360">
    <cfRule type="cellIs" dxfId="1" priority="747" operator="equal">
      <formula>"Activa"</formula>
    </cfRule>
  </conditionalFormatting>
  <conditionalFormatting sqref="K365">
    <cfRule type="cellIs" dxfId="1" priority="748" operator="equal">
      <formula>"$"</formula>
    </cfRule>
  </conditionalFormatting>
  <conditionalFormatting sqref="V365">
    <cfRule type="cellIs" dxfId="1" priority="749" operator="equal">
      <formula>"Nuevo"</formula>
    </cfRule>
  </conditionalFormatting>
  <conditionalFormatting sqref="W365">
    <cfRule type="cellIs" dxfId="1" priority="750" operator="equal">
      <formula>"Activa"</formula>
    </cfRule>
  </conditionalFormatting>
  <conditionalFormatting sqref="K366">
    <cfRule type="cellIs" dxfId="1" priority="751" operator="equal">
      <formula>"$"</formula>
    </cfRule>
  </conditionalFormatting>
  <conditionalFormatting sqref="V366">
    <cfRule type="cellIs" dxfId="1" priority="752" operator="equal">
      <formula>"Nuevo"</formula>
    </cfRule>
  </conditionalFormatting>
  <conditionalFormatting sqref="W366">
    <cfRule type="cellIs" dxfId="1" priority="753" operator="equal">
      <formula>"Activa"</formula>
    </cfRule>
  </conditionalFormatting>
  <conditionalFormatting sqref="K367">
    <cfRule type="cellIs" dxfId="1" priority="754" operator="equal">
      <formula>"$"</formula>
    </cfRule>
  </conditionalFormatting>
  <conditionalFormatting sqref="V367">
    <cfRule type="cellIs" dxfId="1" priority="755" operator="equal">
      <formula>"Nuevo"</formula>
    </cfRule>
  </conditionalFormatting>
  <conditionalFormatting sqref="W367">
    <cfRule type="cellIs" dxfId="1" priority="756" operator="equal">
      <formula>"Activa"</formula>
    </cfRule>
  </conditionalFormatting>
  <conditionalFormatting sqref="K368">
    <cfRule type="cellIs" dxfId="1" priority="757" operator="equal">
      <formula>"$"</formula>
    </cfRule>
  </conditionalFormatting>
  <conditionalFormatting sqref="V368">
    <cfRule type="cellIs" dxfId="1" priority="758" operator="equal">
      <formula>"Nuevo"</formula>
    </cfRule>
  </conditionalFormatting>
  <conditionalFormatting sqref="W368">
    <cfRule type="cellIs" dxfId="1" priority="759" operator="equal">
      <formula>"Activa"</formula>
    </cfRule>
  </conditionalFormatting>
  <conditionalFormatting sqref="K369">
    <cfRule type="cellIs" dxfId="1" priority="760" operator="equal">
      <formula>"$"</formula>
    </cfRule>
  </conditionalFormatting>
  <conditionalFormatting sqref="V369">
    <cfRule type="cellIs" dxfId="1" priority="761" operator="equal">
      <formula>"Nuevo"</formula>
    </cfRule>
  </conditionalFormatting>
  <conditionalFormatting sqref="W369">
    <cfRule type="cellIs" dxfId="1" priority="762" operator="equal">
      <formula>"Activa"</formula>
    </cfRule>
  </conditionalFormatting>
  <conditionalFormatting sqref="K370">
    <cfRule type="cellIs" dxfId="1" priority="763" operator="equal">
      <formula>"$"</formula>
    </cfRule>
  </conditionalFormatting>
  <conditionalFormatting sqref="V370">
    <cfRule type="cellIs" dxfId="1" priority="764" operator="equal">
      <formula>"Nuevo"</formula>
    </cfRule>
  </conditionalFormatting>
  <conditionalFormatting sqref="W370">
    <cfRule type="cellIs" dxfId="1" priority="765" operator="equal">
      <formula>"Activa"</formula>
    </cfRule>
  </conditionalFormatting>
  <conditionalFormatting sqref="K371">
    <cfRule type="cellIs" dxfId="1" priority="766" operator="equal">
      <formula>"$"</formula>
    </cfRule>
  </conditionalFormatting>
  <conditionalFormatting sqref="V371">
    <cfRule type="cellIs" dxfId="1" priority="767" operator="equal">
      <formula>"Nuevo"</formula>
    </cfRule>
  </conditionalFormatting>
  <conditionalFormatting sqref="W371">
    <cfRule type="cellIs" dxfId="1" priority="768" operator="equal">
      <formula>"Activa"</formula>
    </cfRule>
  </conditionalFormatting>
  <conditionalFormatting sqref="K372">
    <cfRule type="cellIs" dxfId="1" priority="769" operator="equal">
      <formula>"$"</formula>
    </cfRule>
  </conditionalFormatting>
  <conditionalFormatting sqref="V372">
    <cfRule type="cellIs" dxfId="1" priority="770" operator="equal">
      <formula>"Nuevo"</formula>
    </cfRule>
  </conditionalFormatting>
  <conditionalFormatting sqref="W372">
    <cfRule type="cellIs" dxfId="1" priority="771" operator="equal">
      <formula>"Activa"</formula>
    </cfRule>
  </conditionalFormatting>
  <conditionalFormatting sqref="K373">
    <cfRule type="cellIs" dxfId="1" priority="772" operator="equal">
      <formula>"$"</formula>
    </cfRule>
  </conditionalFormatting>
  <conditionalFormatting sqref="V373">
    <cfRule type="cellIs" dxfId="1" priority="773" operator="equal">
      <formula>"Nuevo"</formula>
    </cfRule>
  </conditionalFormatting>
  <conditionalFormatting sqref="W373">
    <cfRule type="cellIs" dxfId="1" priority="774" operator="equal">
      <formula>"Activa"</formula>
    </cfRule>
  </conditionalFormatting>
  <conditionalFormatting sqref="K374">
    <cfRule type="cellIs" dxfId="1" priority="775" operator="equal">
      <formula>"$"</formula>
    </cfRule>
  </conditionalFormatting>
  <conditionalFormatting sqref="V374">
    <cfRule type="cellIs" dxfId="1" priority="776" operator="equal">
      <formula>"Nuevo"</formula>
    </cfRule>
  </conditionalFormatting>
  <conditionalFormatting sqref="W374">
    <cfRule type="cellIs" dxfId="1" priority="777" operator="equal">
      <formula>"Activa"</formula>
    </cfRule>
  </conditionalFormatting>
  <conditionalFormatting sqref="K375">
    <cfRule type="cellIs" dxfId="1" priority="778" operator="equal">
      <formula>"$"</formula>
    </cfRule>
  </conditionalFormatting>
  <conditionalFormatting sqref="V375">
    <cfRule type="cellIs" dxfId="1" priority="779" operator="equal">
      <formula>"Nuevo"</formula>
    </cfRule>
  </conditionalFormatting>
  <conditionalFormatting sqref="W375">
    <cfRule type="cellIs" dxfId="1" priority="780" operator="equal">
      <formula>"Activa"</formula>
    </cfRule>
  </conditionalFormatting>
  <conditionalFormatting sqref="K376">
    <cfRule type="cellIs" dxfId="1" priority="781" operator="equal">
      <formula>"$"</formula>
    </cfRule>
  </conditionalFormatting>
  <conditionalFormatting sqref="V376">
    <cfRule type="cellIs" dxfId="1" priority="782" operator="equal">
      <formula>"Nuevo"</formula>
    </cfRule>
  </conditionalFormatting>
  <conditionalFormatting sqref="W376">
    <cfRule type="cellIs" dxfId="1" priority="783" operator="equal">
      <formula>"Activa"</formula>
    </cfRule>
  </conditionalFormatting>
  <conditionalFormatting sqref="K377">
    <cfRule type="cellIs" dxfId="1" priority="784" operator="equal">
      <formula>"$"</formula>
    </cfRule>
  </conditionalFormatting>
  <conditionalFormatting sqref="V377">
    <cfRule type="cellIs" dxfId="1" priority="785" operator="equal">
      <formula>"Nuevo"</formula>
    </cfRule>
  </conditionalFormatting>
  <conditionalFormatting sqref="W377">
    <cfRule type="cellIs" dxfId="1" priority="786" operator="equal">
      <formula>"Activa"</formula>
    </cfRule>
  </conditionalFormatting>
  <conditionalFormatting sqref="K378">
    <cfRule type="cellIs" dxfId="1" priority="787" operator="equal">
      <formula>"$"</formula>
    </cfRule>
  </conditionalFormatting>
  <conditionalFormatting sqref="V378">
    <cfRule type="cellIs" dxfId="1" priority="788" operator="equal">
      <formula>"Nuevo"</formula>
    </cfRule>
  </conditionalFormatting>
  <conditionalFormatting sqref="W378">
    <cfRule type="cellIs" dxfId="1" priority="789" operator="equal">
      <formula>"Activa"</formula>
    </cfRule>
  </conditionalFormatting>
  <conditionalFormatting sqref="K379">
    <cfRule type="cellIs" dxfId="1" priority="790" operator="equal">
      <formula>"$"</formula>
    </cfRule>
  </conditionalFormatting>
  <conditionalFormatting sqref="V379">
    <cfRule type="cellIs" dxfId="1" priority="791" operator="equal">
      <formula>"Nuevo"</formula>
    </cfRule>
  </conditionalFormatting>
  <conditionalFormatting sqref="W379">
    <cfRule type="cellIs" dxfId="1" priority="792" operator="equal">
      <formula>"Activa"</formula>
    </cfRule>
  </conditionalFormatting>
  <conditionalFormatting sqref="K383">
    <cfRule type="cellIs" dxfId="1" priority="793" operator="equal">
      <formula>"$"</formula>
    </cfRule>
  </conditionalFormatting>
  <conditionalFormatting sqref="V383">
    <cfRule type="cellIs" dxfId="1" priority="794" operator="equal">
      <formula>"Nuevo"</formula>
    </cfRule>
  </conditionalFormatting>
  <conditionalFormatting sqref="W383">
    <cfRule type="cellIs" dxfId="1" priority="795" operator="equal">
      <formula>"Activa"</formula>
    </cfRule>
  </conditionalFormatting>
  <conditionalFormatting sqref="K387">
    <cfRule type="cellIs" dxfId="1" priority="796" operator="equal">
      <formula>"$"</formula>
    </cfRule>
  </conditionalFormatting>
  <conditionalFormatting sqref="V387">
    <cfRule type="cellIs" dxfId="1" priority="797" operator="equal">
      <formula>"Nuevo"</formula>
    </cfRule>
  </conditionalFormatting>
  <conditionalFormatting sqref="W387">
    <cfRule type="cellIs" dxfId="1" priority="798" operator="equal">
      <formula>"Activa"</formula>
    </cfRule>
  </conditionalFormatting>
  <conditionalFormatting sqref="K388">
    <cfRule type="cellIs" dxfId="1" priority="799" operator="equal">
      <formula>"$"</formula>
    </cfRule>
  </conditionalFormatting>
  <conditionalFormatting sqref="V388">
    <cfRule type="cellIs" dxfId="1" priority="800" operator="equal">
      <formula>"Nuevo"</formula>
    </cfRule>
  </conditionalFormatting>
  <conditionalFormatting sqref="W388">
    <cfRule type="cellIs" dxfId="1" priority="801" operator="equal">
      <formula>"Activa"</formula>
    </cfRule>
  </conditionalFormatting>
  <conditionalFormatting sqref="K389">
    <cfRule type="cellIs" dxfId="1" priority="802" operator="equal">
      <formula>"$"</formula>
    </cfRule>
  </conditionalFormatting>
  <conditionalFormatting sqref="V389">
    <cfRule type="cellIs" dxfId="1" priority="803" operator="equal">
      <formula>"Nuevo"</formula>
    </cfRule>
  </conditionalFormatting>
  <conditionalFormatting sqref="W389">
    <cfRule type="cellIs" dxfId="1" priority="804" operator="equal">
      <formula>"Activa"</formula>
    </cfRule>
  </conditionalFormatting>
  <conditionalFormatting sqref="K390">
    <cfRule type="cellIs" dxfId="1" priority="805" operator="equal">
      <formula>"$"</formula>
    </cfRule>
  </conditionalFormatting>
  <conditionalFormatting sqref="V390">
    <cfRule type="cellIs" dxfId="1" priority="806" operator="equal">
      <formula>"Nuevo"</formula>
    </cfRule>
  </conditionalFormatting>
  <conditionalFormatting sqref="W390">
    <cfRule type="cellIs" dxfId="1" priority="807" operator="equal">
      <formula>"Activa"</formula>
    </cfRule>
  </conditionalFormatting>
  <conditionalFormatting sqref="K391">
    <cfRule type="cellIs" dxfId="1" priority="808" operator="equal">
      <formula>"$"</formula>
    </cfRule>
  </conditionalFormatting>
  <conditionalFormatting sqref="V391">
    <cfRule type="cellIs" dxfId="1" priority="809" operator="equal">
      <formula>"Nuevo"</formula>
    </cfRule>
  </conditionalFormatting>
  <conditionalFormatting sqref="W391">
    <cfRule type="cellIs" dxfId="1" priority="810" operator="equal">
      <formula>"Activa"</formula>
    </cfRule>
  </conditionalFormatting>
  <conditionalFormatting sqref="K392">
    <cfRule type="cellIs" dxfId="1" priority="811" operator="equal">
      <formula>"$"</formula>
    </cfRule>
  </conditionalFormatting>
  <conditionalFormatting sqref="V392">
    <cfRule type="cellIs" dxfId="1" priority="812" operator="equal">
      <formula>"Nuevo"</formula>
    </cfRule>
  </conditionalFormatting>
  <conditionalFormatting sqref="W392">
    <cfRule type="cellIs" dxfId="1" priority="813" operator="equal">
      <formula>"Activa"</formula>
    </cfRule>
  </conditionalFormatting>
  <conditionalFormatting sqref="K393">
    <cfRule type="cellIs" dxfId="1" priority="814" operator="equal">
      <formula>"$"</formula>
    </cfRule>
  </conditionalFormatting>
  <conditionalFormatting sqref="V393">
    <cfRule type="cellIs" dxfId="1" priority="815" operator="equal">
      <formula>"Nuevo"</formula>
    </cfRule>
  </conditionalFormatting>
  <conditionalFormatting sqref="W393">
    <cfRule type="cellIs" dxfId="1" priority="816" operator="equal">
      <formula>"Activa"</formula>
    </cfRule>
  </conditionalFormatting>
  <conditionalFormatting sqref="K394">
    <cfRule type="cellIs" dxfId="1" priority="817" operator="equal">
      <formula>"$"</formula>
    </cfRule>
  </conditionalFormatting>
  <conditionalFormatting sqref="V394">
    <cfRule type="cellIs" dxfId="1" priority="818" operator="equal">
      <formula>"Nuevo"</formula>
    </cfRule>
  </conditionalFormatting>
  <conditionalFormatting sqref="W394">
    <cfRule type="cellIs" dxfId="1" priority="819" operator="equal">
      <formula>"Activa"</formula>
    </cfRule>
  </conditionalFormatting>
  <conditionalFormatting sqref="K395">
    <cfRule type="cellIs" dxfId="1" priority="820" operator="equal">
      <formula>"$"</formula>
    </cfRule>
  </conditionalFormatting>
  <conditionalFormatting sqref="V395">
    <cfRule type="cellIs" dxfId="1" priority="821" operator="equal">
      <formula>"Nuevo"</formula>
    </cfRule>
  </conditionalFormatting>
  <conditionalFormatting sqref="W395">
    <cfRule type="cellIs" dxfId="1" priority="822" operator="equal">
      <formula>"Activa"</formula>
    </cfRule>
  </conditionalFormatting>
  <conditionalFormatting sqref="K396">
    <cfRule type="cellIs" dxfId="1" priority="823" operator="equal">
      <formula>"$"</formula>
    </cfRule>
  </conditionalFormatting>
  <conditionalFormatting sqref="V396">
    <cfRule type="cellIs" dxfId="1" priority="824" operator="equal">
      <formula>"Nuevo"</formula>
    </cfRule>
  </conditionalFormatting>
  <conditionalFormatting sqref="W396">
    <cfRule type="cellIs" dxfId="1" priority="825" operator="equal">
      <formula>"Activa"</formula>
    </cfRule>
  </conditionalFormatting>
  <conditionalFormatting sqref="K400">
    <cfRule type="cellIs" dxfId="1" priority="826" operator="equal">
      <formula>"$"</formula>
    </cfRule>
  </conditionalFormatting>
  <conditionalFormatting sqref="V400">
    <cfRule type="cellIs" dxfId="1" priority="827" operator="equal">
      <formula>"Nuevo"</formula>
    </cfRule>
  </conditionalFormatting>
  <conditionalFormatting sqref="W400">
    <cfRule type="cellIs" dxfId="1" priority="828" operator="equal">
      <formula>"Activa"</formula>
    </cfRule>
  </conditionalFormatting>
  <conditionalFormatting sqref="K401">
    <cfRule type="cellIs" dxfId="1" priority="829" operator="equal">
      <formula>"$"</formula>
    </cfRule>
  </conditionalFormatting>
  <conditionalFormatting sqref="V401">
    <cfRule type="cellIs" dxfId="1" priority="830" operator="equal">
      <formula>"Nuevo"</formula>
    </cfRule>
  </conditionalFormatting>
  <conditionalFormatting sqref="W401">
    <cfRule type="cellIs" dxfId="1" priority="831" operator="equal">
      <formula>"Activa"</formula>
    </cfRule>
  </conditionalFormatting>
  <conditionalFormatting sqref="K402">
    <cfRule type="cellIs" dxfId="1" priority="832" operator="equal">
      <formula>"$"</formula>
    </cfRule>
  </conditionalFormatting>
  <conditionalFormatting sqref="V402">
    <cfRule type="cellIs" dxfId="1" priority="833" operator="equal">
      <formula>"Nuevo"</formula>
    </cfRule>
  </conditionalFormatting>
  <conditionalFormatting sqref="W402">
    <cfRule type="cellIs" dxfId="1" priority="834" operator="equal">
      <formula>"Activa"</formula>
    </cfRule>
  </conditionalFormatting>
  <conditionalFormatting sqref="K403">
    <cfRule type="cellIs" dxfId="1" priority="835" operator="equal">
      <formula>"$"</formula>
    </cfRule>
  </conditionalFormatting>
  <conditionalFormatting sqref="V403">
    <cfRule type="cellIs" dxfId="1" priority="836" operator="equal">
      <formula>"Nuevo"</formula>
    </cfRule>
  </conditionalFormatting>
  <conditionalFormatting sqref="W403">
    <cfRule type="cellIs" dxfId="1" priority="837" operator="equal">
      <formula>"Activa"</formula>
    </cfRule>
  </conditionalFormatting>
  <conditionalFormatting sqref="K404">
    <cfRule type="cellIs" dxfId="1" priority="838" operator="equal">
      <formula>"$"</formula>
    </cfRule>
  </conditionalFormatting>
  <conditionalFormatting sqref="V404">
    <cfRule type="cellIs" dxfId="1" priority="839" operator="equal">
      <formula>"Nuevo"</formula>
    </cfRule>
  </conditionalFormatting>
  <conditionalFormatting sqref="W404">
    <cfRule type="cellIs" dxfId="1" priority="840" operator="equal">
      <formula>"Activa"</formula>
    </cfRule>
  </conditionalFormatting>
  <conditionalFormatting sqref="K405">
    <cfRule type="cellIs" dxfId="1" priority="841" operator="equal">
      <formula>"$"</formula>
    </cfRule>
  </conditionalFormatting>
  <conditionalFormatting sqref="V405">
    <cfRule type="cellIs" dxfId="1" priority="842" operator="equal">
      <formula>"Nuevo"</formula>
    </cfRule>
  </conditionalFormatting>
  <conditionalFormatting sqref="W405">
    <cfRule type="cellIs" dxfId="1" priority="843" operator="equal">
      <formula>"Activa"</formula>
    </cfRule>
  </conditionalFormatting>
  <conditionalFormatting sqref="K406">
    <cfRule type="cellIs" dxfId="1" priority="844" operator="equal">
      <formula>"$"</formula>
    </cfRule>
  </conditionalFormatting>
  <conditionalFormatting sqref="V406">
    <cfRule type="cellIs" dxfId="1" priority="845" operator="equal">
      <formula>"Nuevo"</formula>
    </cfRule>
  </conditionalFormatting>
  <conditionalFormatting sqref="W406">
    <cfRule type="cellIs" dxfId="1" priority="846" operator="equal">
      <formula>"Activa"</formula>
    </cfRule>
  </conditionalFormatting>
  <conditionalFormatting sqref="K407">
    <cfRule type="cellIs" dxfId="1" priority="847" operator="equal">
      <formula>"$"</formula>
    </cfRule>
  </conditionalFormatting>
  <conditionalFormatting sqref="V407">
    <cfRule type="cellIs" dxfId="1" priority="848" operator="equal">
      <formula>"Nuevo"</formula>
    </cfRule>
  </conditionalFormatting>
  <conditionalFormatting sqref="W407">
    <cfRule type="cellIs" dxfId="1" priority="849" operator="equal">
      <formula>"Activa"</formula>
    </cfRule>
  </conditionalFormatting>
  <conditionalFormatting sqref="K408">
    <cfRule type="cellIs" dxfId="1" priority="850" operator="equal">
      <formula>"$"</formula>
    </cfRule>
  </conditionalFormatting>
  <conditionalFormatting sqref="V408">
    <cfRule type="cellIs" dxfId="1" priority="851" operator="equal">
      <formula>"Nuevo"</formula>
    </cfRule>
  </conditionalFormatting>
  <conditionalFormatting sqref="W408">
    <cfRule type="cellIs" dxfId="1" priority="852" operator="equal">
      <formula>"Activa"</formula>
    </cfRule>
  </conditionalFormatting>
  <conditionalFormatting sqref="K409">
    <cfRule type="cellIs" dxfId="1" priority="853" operator="equal">
      <formula>"$"</formula>
    </cfRule>
  </conditionalFormatting>
  <conditionalFormatting sqref="V409">
    <cfRule type="cellIs" dxfId="1" priority="854" operator="equal">
      <formula>"Nuevo"</formula>
    </cfRule>
  </conditionalFormatting>
  <conditionalFormatting sqref="W409">
    <cfRule type="cellIs" dxfId="1" priority="855" operator="equal">
      <formula>"Activa"</formula>
    </cfRule>
  </conditionalFormatting>
  <conditionalFormatting sqref="K410">
    <cfRule type="cellIs" dxfId="1" priority="856" operator="equal">
      <formula>"$"</formula>
    </cfRule>
  </conditionalFormatting>
  <conditionalFormatting sqref="V410">
    <cfRule type="cellIs" dxfId="1" priority="857" operator="equal">
      <formula>"Nuevo"</formula>
    </cfRule>
  </conditionalFormatting>
  <conditionalFormatting sqref="W410">
    <cfRule type="cellIs" dxfId="1" priority="858" operator="equal">
      <formula>"Activa"</formula>
    </cfRule>
  </conditionalFormatting>
  <conditionalFormatting sqref="K411">
    <cfRule type="cellIs" dxfId="1" priority="859" operator="equal">
      <formula>"$"</formula>
    </cfRule>
  </conditionalFormatting>
  <conditionalFormatting sqref="V411">
    <cfRule type="cellIs" dxfId="1" priority="860" operator="equal">
      <formula>"Nuevo"</formula>
    </cfRule>
  </conditionalFormatting>
  <conditionalFormatting sqref="W411">
    <cfRule type="cellIs" dxfId="1" priority="861" operator="equal">
      <formula>"Activa"</formula>
    </cfRule>
  </conditionalFormatting>
  <conditionalFormatting sqref="K412">
    <cfRule type="cellIs" dxfId="1" priority="862" operator="equal">
      <formula>"$"</formula>
    </cfRule>
  </conditionalFormatting>
  <conditionalFormatting sqref="V412">
    <cfRule type="cellIs" dxfId="1" priority="863" operator="equal">
      <formula>"Nuevo"</formula>
    </cfRule>
  </conditionalFormatting>
  <conditionalFormatting sqref="W412">
    <cfRule type="cellIs" dxfId="1" priority="864" operator="equal">
      <formula>"Activa"</formula>
    </cfRule>
  </conditionalFormatting>
  <conditionalFormatting sqref="K413">
    <cfRule type="cellIs" dxfId="1" priority="865" operator="equal">
      <formula>"$"</formula>
    </cfRule>
  </conditionalFormatting>
  <conditionalFormatting sqref="V413">
    <cfRule type="cellIs" dxfId="1" priority="866" operator="equal">
      <formula>"Nuevo"</formula>
    </cfRule>
  </conditionalFormatting>
  <conditionalFormatting sqref="W413">
    <cfRule type="cellIs" dxfId="1" priority="867" operator="equal">
      <formula>"Activa"</formula>
    </cfRule>
  </conditionalFormatting>
  <conditionalFormatting sqref="K414">
    <cfRule type="cellIs" dxfId="1" priority="868" operator="equal">
      <formula>"$"</formula>
    </cfRule>
  </conditionalFormatting>
  <conditionalFormatting sqref="V414">
    <cfRule type="cellIs" dxfId="1" priority="869" operator="equal">
      <formula>"Nuevo"</formula>
    </cfRule>
  </conditionalFormatting>
  <conditionalFormatting sqref="W414">
    <cfRule type="cellIs" dxfId="1" priority="870" operator="equal">
      <formula>"Activa"</formula>
    </cfRule>
  </conditionalFormatting>
  <conditionalFormatting sqref="K415">
    <cfRule type="cellIs" dxfId="1" priority="871" operator="equal">
      <formula>"$"</formula>
    </cfRule>
  </conditionalFormatting>
  <conditionalFormatting sqref="V415">
    <cfRule type="cellIs" dxfId="1" priority="872" operator="equal">
      <formula>"Nuevo"</formula>
    </cfRule>
  </conditionalFormatting>
  <conditionalFormatting sqref="W415">
    <cfRule type="cellIs" dxfId="1" priority="873" operator="equal">
      <formula>"Activa"</formula>
    </cfRule>
  </conditionalFormatting>
  <conditionalFormatting sqref="K416">
    <cfRule type="cellIs" dxfId="1" priority="874" operator="equal">
      <formula>"$"</formula>
    </cfRule>
  </conditionalFormatting>
  <conditionalFormatting sqref="V416">
    <cfRule type="cellIs" dxfId="1" priority="875" operator="equal">
      <formula>"Nuevo"</formula>
    </cfRule>
  </conditionalFormatting>
  <conditionalFormatting sqref="W416">
    <cfRule type="cellIs" dxfId="1" priority="876" operator="equal">
      <formula>"Activa"</formula>
    </cfRule>
  </conditionalFormatting>
  <conditionalFormatting sqref="K417">
    <cfRule type="cellIs" dxfId="1" priority="877" operator="equal">
      <formula>"$"</formula>
    </cfRule>
  </conditionalFormatting>
  <conditionalFormatting sqref="V417">
    <cfRule type="cellIs" dxfId="1" priority="878" operator="equal">
      <formula>"Nuevo"</formula>
    </cfRule>
  </conditionalFormatting>
  <conditionalFormatting sqref="W417">
    <cfRule type="cellIs" dxfId="1" priority="879" operator="equal">
      <formula>"Activa"</formula>
    </cfRule>
  </conditionalFormatting>
  <conditionalFormatting sqref="K418">
    <cfRule type="cellIs" dxfId="1" priority="880" operator="equal">
      <formula>"$"</formula>
    </cfRule>
  </conditionalFormatting>
  <conditionalFormatting sqref="V418">
    <cfRule type="cellIs" dxfId="1" priority="881" operator="equal">
      <formula>"Nuevo"</formula>
    </cfRule>
  </conditionalFormatting>
  <conditionalFormatting sqref="W418">
    <cfRule type="cellIs" dxfId="1" priority="882" operator="equal">
      <formula>"Activa"</formula>
    </cfRule>
  </conditionalFormatting>
  <conditionalFormatting sqref="K419">
    <cfRule type="cellIs" dxfId="1" priority="883" operator="equal">
      <formula>"$"</formula>
    </cfRule>
  </conditionalFormatting>
  <conditionalFormatting sqref="V419">
    <cfRule type="cellIs" dxfId="1" priority="884" operator="equal">
      <formula>"Nuevo"</formula>
    </cfRule>
  </conditionalFormatting>
  <conditionalFormatting sqref="W419">
    <cfRule type="cellIs" dxfId="1" priority="885" operator="equal">
      <formula>"Activa"</formula>
    </cfRule>
  </conditionalFormatting>
  <conditionalFormatting sqref="K420">
    <cfRule type="cellIs" dxfId="1" priority="886" operator="equal">
      <formula>"$"</formula>
    </cfRule>
  </conditionalFormatting>
  <conditionalFormatting sqref="V420">
    <cfRule type="cellIs" dxfId="1" priority="887" operator="equal">
      <formula>"Nuevo"</formula>
    </cfRule>
  </conditionalFormatting>
  <conditionalFormatting sqref="W420">
    <cfRule type="cellIs" dxfId="1" priority="888" operator="equal">
      <formula>"Activa"</formula>
    </cfRule>
  </conditionalFormatting>
  <conditionalFormatting sqref="K421">
    <cfRule type="cellIs" dxfId="1" priority="889" operator="equal">
      <formula>"$"</formula>
    </cfRule>
  </conditionalFormatting>
  <conditionalFormatting sqref="V421">
    <cfRule type="cellIs" dxfId="1" priority="890" operator="equal">
      <formula>"Nuevo"</formula>
    </cfRule>
  </conditionalFormatting>
  <conditionalFormatting sqref="W421">
    <cfRule type="cellIs" dxfId="1" priority="891" operator="equal">
      <formula>"Activa"</formula>
    </cfRule>
  </conditionalFormatting>
  <conditionalFormatting sqref="K422">
    <cfRule type="cellIs" dxfId="1" priority="892" operator="equal">
      <formula>"$"</formula>
    </cfRule>
  </conditionalFormatting>
  <conditionalFormatting sqref="V422">
    <cfRule type="cellIs" dxfId="1" priority="893" operator="equal">
      <formula>"Nuevo"</formula>
    </cfRule>
  </conditionalFormatting>
  <conditionalFormatting sqref="W422">
    <cfRule type="cellIs" dxfId="1" priority="894" operator="equal">
      <formula>"Activa"</formula>
    </cfRule>
  </conditionalFormatting>
  <conditionalFormatting sqref="K423">
    <cfRule type="cellIs" dxfId="1" priority="895" operator="equal">
      <formula>"$"</formula>
    </cfRule>
  </conditionalFormatting>
  <conditionalFormatting sqref="V423">
    <cfRule type="cellIs" dxfId="1" priority="896" operator="equal">
      <formula>"Nuevo"</formula>
    </cfRule>
  </conditionalFormatting>
  <conditionalFormatting sqref="W423">
    <cfRule type="cellIs" dxfId="1" priority="897" operator="equal">
      <formula>"Activa"</formula>
    </cfRule>
  </conditionalFormatting>
  <conditionalFormatting sqref="K424">
    <cfRule type="cellIs" dxfId="1" priority="898" operator="equal">
      <formula>"$"</formula>
    </cfRule>
  </conditionalFormatting>
  <conditionalFormatting sqref="V424">
    <cfRule type="cellIs" dxfId="1" priority="899" operator="equal">
      <formula>"Nuevo"</formula>
    </cfRule>
  </conditionalFormatting>
  <conditionalFormatting sqref="W424">
    <cfRule type="cellIs" dxfId="1" priority="900" operator="equal">
      <formula>"Activa"</formula>
    </cfRule>
  </conditionalFormatting>
  <conditionalFormatting sqref="K425">
    <cfRule type="cellIs" dxfId="1" priority="901" operator="equal">
      <formula>"$"</formula>
    </cfRule>
  </conditionalFormatting>
  <conditionalFormatting sqref="V425">
    <cfRule type="cellIs" dxfId="1" priority="902" operator="equal">
      <formula>"Nuevo"</formula>
    </cfRule>
  </conditionalFormatting>
  <conditionalFormatting sqref="W425">
    <cfRule type="cellIs" dxfId="1" priority="903" operator="equal">
      <formula>"Activa"</formula>
    </cfRule>
  </conditionalFormatting>
  <conditionalFormatting sqref="K426">
    <cfRule type="cellIs" dxfId="1" priority="904" operator="equal">
      <formula>"$"</formula>
    </cfRule>
  </conditionalFormatting>
  <conditionalFormatting sqref="V426">
    <cfRule type="cellIs" dxfId="1" priority="905" operator="equal">
      <formula>"Nuevo"</formula>
    </cfRule>
  </conditionalFormatting>
  <conditionalFormatting sqref="W426">
    <cfRule type="cellIs" dxfId="1" priority="906" operator="equal">
      <formula>"Activa"</formula>
    </cfRule>
  </conditionalFormatting>
  <conditionalFormatting sqref="K427">
    <cfRule type="cellIs" dxfId="1" priority="907" operator="equal">
      <formula>"$"</formula>
    </cfRule>
  </conditionalFormatting>
  <conditionalFormatting sqref="V427">
    <cfRule type="cellIs" dxfId="1" priority="908" operator="equal">
      <formula>"Nuevo"</formula>
    </cfRule>
  </conditionalFormatting>
  <conditionalFormatting sqref="W427">
    <cfRule type="cellIs" dxfId="1" priority="909" operator="equal">
      <formula>"Activa"</formula>
    </cfRule>
  </conditionalFormatting>
  <conditionalFormatting sqref="K428">
    <cfRule type="cellIs" dxfId="1" priority="910" operator="equal">
      <formula>"$"</formula>
    </cfRule>
  </conditionalFormatting>
  <conditionalFormatting sqref="V428">
    <cfRule type="cellIs" dxfId="1" priority="911" operator="equal">
      <formula>"Nuevo"</formula>
    </cfRule>
  </conditionalFormatting>
  <conditionalFormatting sqref="W428">
    <cfRule type="cellIs" dxfId="1" priority="912" operator="equal">
      <formula>"Activa"</formula>
    </cfRule>
  </conditionalFormatting>
  <conditionalFormatting sqref="K429">
    <cfRule type="cellIs" dxfId="1" priority="913" operator="equal">
      <formula>"$"</formula>
    </cfRule>
  </conditionalFormatting>
  <conditionalFormatting sqref="V429">
    <cfRule type="cellIs" dxfId="1" priority="914" operator="equal">
      <formula>"Nuevo"</formula>
    </cfRule>
  </conditionalFormatting>
  <conditionalFormatting sqref="W429">
    <cfRule type="cellIs" dxfId="1" priority="915" operator="equal">
      <formula>"Activa"</formula>
    </cfRule>
  </conditionalFormatting>
  <conditionalFormatting sqref="K430">
    <cfRule type="cellIs" dxfId="1" priority="916" operator="equal">
      <formula>"$"</formula>
    </cfRule>
  </conditionalFormatting>
  <conditionalFormatting sqref="V430">
    <cfRule type="cellIs" dxfId="1" priority="917" operator="equal">
      <formula>"Nuevo"</formula>
    </cfRule>
  </conditionalFormatting>
  <conditionalFormatting sqref="W430">
    <cfRule type="cellIs" dxfId="1" priority="918" operator="equal">
      <formula>"Activa"</formula>
    </cfRule>
  </conditionalFormatting>
  <conditionalFormatting sqref="K431">
    <cfRule type="cellIs" dxfId="1" priority="919" operator="equal">
      <formula>"$"</formula>
    </cfRule>
  </conditionalFormatting>
  <conditionalFormatting sqref="V431">
    <cfRule type="cellIs" dxfId="1" priority="920" operator="equal">
      <formula>"Nuevo"</formula>
    </cfRule>
  </conditionalFormatting>
  <conditionalFormatting sqref="W431">
    <cfRule type="cellIs" dxfId="1" priority="921" operator="equal">
      <formula>"Activa"</formula>
    </cfRule>
  </conditionalFormatting>
  <conditionalFormatting sqref="K432">
    <cfRule type="cellIs" dxfId="1" priority="922" operator="equal">
      <formula>"$"</formula>
    </cfRule>
  </conditionalFormatting>
  <conditionalFormatting sqref="V432">
    <cfRule type="cellIs" dxfId="1" priority="923" operator="equal">
      <formula>"Nuevo"</formula>
    </cfRule>
  </conditionalFormatting>
  <conditionalFormatting sqref="W432">
    <cfRule type="cellIs" dxfId="1" priority="924" operator="equal">
      <formula>"Activa"</formula>
    </cfRule>
  </conditionalFormatting>
  <conditionalFormatting sqref="K433">
    <cfRule type="cellIs" dxfId="1" priority="925" operator="equal">
      <formula>"$"</formula>
    </cfRule>
  </conditionalFormatting>
  <conditionalFormatting sqref="V433">
    <cfRule type="cellIs" dxfId="1" priority="926" operator="equal">
      <formula>"Nuevo"</formula>
    </cfRule>
  </conditionalFormatting>
  <conditionalFormatting sqref="W433">
    <cfRule type="cellIs" dxfId="1" priority="927" operator="equal">
      <formula>"Activa"</formula>
    </cfRule>
  </conditionalFormatting>
  <conditionalFormatting sqref="K434">
    <cfRule type="cellIs" dxfId="1" priority="928" operator="equal">
      <formula>"$"</formula>
    </cfRule>
  </conditionalFormatting>
  <conditionalFormatting sqref="V434">
    <cfRule type="cellIs" dxfId="1" priority="929" operator="equal">
      <formula>"Nuevo"</formula>
    </cfRule>
  </conditionalFormatting>
  <conditionalFormatting sqref="W434">
    <cfRule type="cellIs" dxfId="1" priority="930" operator="equal">
      <formula>"Activa"</formula>
    </cfRule>
  </conditionalFormatting>
  <conditionalFormatting sqref="K435">
    <cfRule type="cellIs" dxfId="1" priority="931" operator="equal">
      <formula>"$"</formula>
    </cfRule>
  </conditionalFormatting>
  <conditionalFormatting sqref="V435">
    <cfRule type="cellIs" dxfId="1" priority="932" operator="equal">
      <formula>"Nuevo"</formula>
    </cfRule>
  </conditionalFormatting>
  <conditionalFormatting sqref="W435">
    <cfRule type="cellIs" dxfId="1" priority="933" operator="equal">
      <formula>"Activa"</formula>
    </cfRule>
  </conditionalFormatting>
  <conditionalFormatting sqref="K436">
    <cfRule type="cellIs" dxfId="1" priority="934" operator="equal">
      <formula>"$"</formula>
    </cfRule>
  </conditionalFormatting>
  <conditionalFormatting sqref="V436">
    <cfRule type="cellIs" dxfId="1" priority="935" operator="equal">
      <formula>"Nuevo"</formula>
    </cfRule>
  </conditionalFormatting>
  <conditionalFormatting sqref="W436">
    <cfRule type="cellIs" dxfId="1" priority="936" operator="equal">
      <formula>"Activa"</formula>
    </cfRule>
  </conditionalFormatting>
  <conditionalFormatting sqref="K437">
    <cfRule type="cellIs" dxfId="1" priority="937" operator="equal">
      <formula>"$"</formula>
    </cfRule>
  </conditionalFormatting>
  <conditionalFormatting sqref="V437">
    <cfRule type="cellIs" dxfId="1" priority="938" operator="equal">
      <formula>"Nuevo"</formula>
    </cfRule>
  </conditionalFormatting>
  <conditionalFormatting sqref="W437">
    <cfRule type="cellIs" dxfId="1" priority="939" operator="equal">
      <formula>"Activa"</formula>
    </cfRule>
  </conditionalFormatting>
  <conditionalFormatting sqref="K438">
    <cfRule type="cellIs" dxfId="1" priority="940" operator="equal">
      <formula>"$"</formula>
    </cfRule>
  </conditionalFormatting>
  <conditionalFormatting sqref="V438">
    <cfRule type="cellIs" dxfId="1" priority="941" operator="equal">
      <formula>"Nuevo"</formula>
    </cfRule>
  </conditionalFormatting>
  <conditionalFormatting sqref="W438">
    <cfRule type="cellIs" dxfId="1" priority="942" operator="equal">
      <formula>"Activa"</formula>
    </cfRule>
  </conditionalFormatting>
  <conditionalFormatting sqref="K439">
    <cfRule type="cellIs" dxfId="1" priority="943" operator="equal">
      <formula>"$"</formula>
    </cfRule>
  </conditionalFormatting>
  <conditionalFormatting sqref="V439">
    <cfRule type="cellIs" dxfId="1" priority="944" operator="equal">
      <formula>"Nuevo"</formula>
    </cfRule>
  </conditionalFormatting>
  <conditionalFormatting sqref="W439">
    <cfRule type="cellIs" dxfId="1" priority="945" operator="equal">
      <formula>"Activa"</formula>
    </cfRule>
  </conditionalFormatting>
  <conditionalFormatting sqref="K440">
    <cfRule type="cellIs" dxfId="1" priority="946" operator="equal">
      <formula>"$"</formula>
    </cfRule>
  </conditionalFormatting>
  <conditionalFormatting sqref="V440">
    <cfRule type="cellIs" dxfId="1" priority="947" operator="equal">
      <formula>"Nuevo"</formula>
    </cfRule>
  </conditionalFormatting>
  <conditionalFormatting sqref="W440">
    <cfRule type="cellIs" dxfId="1" priority="948" operator="equal">
      <formula>"Activa"</formula>
    </cfRule>
  </conditionalFormatting>
  <conditionalFormatting sqref="K441">
    <cfRule type="cellIs" dxfId="1" priority="949" operator="equal">
      <formula>"$"</formula>
    </cfRule>
  </conditionalFormatting>
  <conditionalFormatting sqref="V441">
    <cfRule type="cellIs" dxfId="1" priority="950" operator="equal">
      <formula>"Nuevo"</formula>
    </cfRule>
  </conditionalFormatting>
  <conditionalFormatting sqref="W441">
    <cfRule type="cellIs" dxfId="1" priority="951" operator="equal">
      <formula>"Activa"</formula>
    </cfRule>
  </conditionalFormatting>
  <conditionalFormatting sqref="K442">
    <cfRule type="cellIs" dxfId="1" priority="952" operator="equal">
      <formula>"$"</formula>
    </cfRule>
  </conditionalFormatting>
  <conditionalFormatting sqref="V442">
    <cfRule type="cellIs" dxfId="1" priority="953" operator="equal">
      <formula>"Nuevo"</formula>
    </cfRule>
  </conditionalFormatting>
  <conditionalFormatting sqref="W442">
    <cfRule type="cellIs" dxfId="1" priority="954" operator="equal">
      <formula>"Activa"</formula>
    </cfRule>
  </conditionalFormatting>
  <conditionalFormatting sqref="K447">
    <cfRule type="cellIs" dxfId="1" priority="955" operator="equal">
      <formula>"$"</formula>
    </cfRule>
  </conditionalFormatting>
  <conditionalFormatting sqref="V447">
    <cfRule type="cellIs" dxfId="1" priority="956" operator="equal">
      <formula>"Nuevo"</formula>
    </cfRule>
  </conditionalFormatting>
  <conditionalFormatting sqref="W447">
    <cfRule type="cellIs" dxfId="1" priority="957" operator="equal">
      <formula>"Activa"</formula>
    </cfRule>
  </conditionalFormatting>
  <conditionalFormatting sqref="K448">
    <cfRule type="cellIs" dxfId="1" priority="958" operator="equal">
      <formula>"$"</formula>
    </cfRule>
  </conditionalFormatting>
  <conditionalFormatting sqref="V448">
    <cfRule type="cellIs" dxfId="1" priority="959" operator="equal">
      <formula>"Nuevo"</formula>
    </cfRule>
  </conditionalFormatting>
  <conditionalFormatting sqref="W448">
    <cfRule type="cellIs" dxfId="1" priority="960" operator="equal">
      <formula>"Activa"</formula>
    </cfRule>
  </conditionalFormatting>
  <conditionalFormatting sqref="K449">
    <cfRule type="cellIs" dxfId="1" priority="961" operator="equal">
      <formula>"$"</formula>
    </cfRule>
  </conditionalFormatting>
  <conditionalFormatting sqref="V449">
    <cfRule type="cellIs" dxfId="1" priority="962" operator="equal">
      <formula>"Nuevo"</formula>
    </cfRule>
  </conditionalFormatting>
  <conditionalFormatting sqref="W449">
    <cfRule type="cellIs" dxfId="1" priority="963" operator="equal">
      <formula>"Activa"</formula>
    </cfRule>
  </conditionalFormatting>
  <conditionalFormatting sqref="K450">
    <cfRule type="cellIs" dxfId="1" priority="964" operator="equal">
      <formula>"$"</formula>
    </cfRule>
  </conditionalFormatting>
  <conditionalFormatting sqref="V450">
    <cfRule type="cellIs" dxfId="1" priority="965" operator="equal">
      <formula>"Nuevo"</formula>
    </cfRule>
  </conditionalFormatting>
  <conditionalFormatting sqref="W450">
    <cfRule type="cellIs" dxfId="1" priority="966" operator="equal">
      <formula>"Activa"</formula>
    </cfRule>
  </conditionalFormatting>
  <conditionalFormatting sqref="K451">
    <cfRule type="cellIs" dxfId="1" priority="967" operator="equal">
      <formula>"$"</formula>
    </cfRule>
  </conditionalFormatting>
  <conditionalFormatting sqref="V451">
    <cfRule type="cellIs" dxfId="1" priority="968" operator="equal">
      <formula>"Nuevo"</formula>
    </cfRule>
  </conditionalFormatting>
  <conditionalFormatting sqref="W451">
    <cfRule type="cellIs" dxfId="1" priority="969" operator="equal">
      <formula>"Activa"</formula>
    </cfRule>
  </conditionalFormatting>
  <conditionalFormatting sqref="K452">
    <cfRule type="cellIs" dxfId="1" priority="970" operator="equal">
      <formula>"$"</formula>
    </cfRule>
  </conditionalFormatting>
  <conditionalFormatting sqref="V452">
    <cfRule type="cellIs" dxfId="1" priority="971" operator="equal">
      <formula>"Nuevo"</formula>
    </cfRule>
  </conditionalFormatting>
  <conditionalFormatting sqref="W452">
    <cfRule type="cellIs" dxfId="1" priority="972" operator="equal">
      <formula>"Activa"</formula>
    </cfRule>
  </conditionalFormatting>
  <conditionalFormatting sqref="K453">
    <cfRule type="cellIs" dxfId="1" priority="973" operator="equal">
      <formula>"$"</formula>
    </cfRule>
  </conditionalFormatting>
  <conditionalFormatting sqref="V453">
    <cfRule type="cellIs" dxfId="1" priority="974" operator="equal">
      <formula>"Nuevo"</formula>
    </cfRule>
  </conditionalFormatting>
  <conditionalFormatting sqref="W453">
    <cfRule type="cellIs" dxfId="1" priority="975" operator="equal">
      <formula>"Activa"</formula>
    </cfRule>
  </conditionalFormatting>
  <conditionalFormatting sqref="K454">
    <cfRule type="cellIs" dxfId="1" priority="976" operator="equal">
      <formula>"$"</formula>
    </cfRule>
  </conditionalFormatting>
  <conditionalFormatting sqref="V454">
    <cfRule type="cellIs" dxfId="1" priority="977" operator="equal">
      <formula>"Nuevo"</formula>
    </cfRule>
  </conditionalFormatting>
  <conditionalFormatting sqref="W454">
    <cfRule type="cellIs" dxfId="1" priority="978" operator="equal">
      <formula>"Activa"</formula>
    </cfRule>
  </conditionalFormatting>
  <conditionalFormatting sqref="K455">
    <cfRule type="cellIs" dxfId="1" priority="979" operator="equal">
      <formula>"$"</formula>
    </cfRule>
  </conditionalFormatting>
  <conditionalFormatting sqref="V455">
    <cfRule type="cellIs" dxfId="1" priority="980" operator="equal">
      <formula>"Nuevo"</formula>
    </cfRule>
  </conditionalFormatting>
  <conditionalFormatting sqref="W455">
    <cfRule type="cellIs" dxfId="1" priority="981" operator="equal">
      <formula>"Activa"</formula>
    </cfRule>
  </conditionalFormatting>
  <conditionalFormatting sqref="K456">
    <cfRule type="cellIs" dxfId="1" priority="982" operator="equal">
      <formula>"$"</formula>
    </cfRule>
  </conditionalFormatting>
  <conditionalFormatting sqref="V456">
    <cfRule type="cellIs" dxfId="1" priority="983" operator="equal">
      <formula>"Nuevo"</formula>
    </cfRule>
  </conditionalFormatting>
  <conditionalFormatting sqref="W456">
    <cfRule type="cellIs" dxfId="1" priority="984" operator="equal">
      <formula>"Activa"</formula>
    </cfRule>
  </conditionalFormatting>
  <conditionalFormatting sqref="K457">
    <cfRule type="cellIs" dxfId="1" priority="985" operator="equal">
      <formula>"$"</formula>
    </cfRule>
  </conditionalFormatting>
  <conditionalFormatting sqref="V457">
    <cfRule type="cellIs" dxfId="1" priority="986" operator="equal">
      <formula>"Nuevo"</formula>
    </cfRule>
  </conditionalFormatting>
  <conditionalFormatting sqref="W457">
    <cfRule type="cellIs" dxfId="1" priority="987" operator="equal">
      <formula>"Activa"</formula>
    </cfRule>
  </conditionalFormatting>
  <conditionalFormatting sqref="K458">
    <cfRule type="cellIs" dxfId="1" priority="988" operator="equal">
      <formula>"$"</formula>
    </cfRule>
  </conditionalFormatting>
  <conditionalFormatting sqref="V458">
    <cfRule type="cellIs" dxfId="1" priority="989" operator="equal">
      <formula>"Nuevo"</formula>
    </cfRule>
  </conditionalFormatting>
  <conditionalFormatting sqref="W458">
    <cfRule type="cellIs" dxfId="1" priority="990" operator="equal">
      <formula>"Activa"</formula>
    </cfRule>
  </conditionalFormatting>
  <conditionalFormatting sqref="K459">
    <cfRule type="cellIs" dxfId="1" priority="991" operator="equal">
      <formula>"$"</formula>
    </cfRule>
  </conditionalFormatting>
  <conditionalFormatting sqref="V459">
    <cfRule type="cellIs" dxfId="1" priority="992" operator="equal">
      <formula>"Nuevo"</formula>
    </cfRule>
  </conditionalFormatting>
  <conditionalFormatting sqref="W459">
    <cfRule type="cellIs" dxfId="1" priority="993" operator="equal">
      <formula>"Activa"</formula>
    </cfRule>
  </conditionalFormatting>
  <conditionalFormatting sqref="K460">
    <cfRule type="cellIs" dxfId="1" priority="994" operator="equal">
      <formula>"$"</formula>
    </cfRule>
  </conditionalFormatting>
  <conditionalFormatting sqref="V460">
    <cfRule type="cellIs" dxfId="1" priority="995" operator="equal">
      <formula>"Nuevo"</formula>
    </cfRule>
  </conditionalFormatting>
  <conditionalFormatting sqref="W460">
    <cfRule type="cellIs" dxfId="1" priority="996" operator="equal">
      <formula>"Activa"</formula>
    </cfRule>
  </conditionalFormatting>
  <conditionalFormatting sqref="K461">
    <cfRule type="cellIs" dxfId="1" priority="997" operator="equal">
      <formula>"$"</formula>
    </cfRule>
  </conditionalFormatting>
  <conditionalFormatting sqref="V461">
    <cfRule type="cellIs" dxfId="1" priority="998" operator="equal">
      <formula>"Nuevo"</formula>
    </cfRule>
  </conditionalFormatting>
  <conditionalFormatting sqref="W461">
    <cfRule type="cellIs" dxfId="1" priority="999" operator="equal">
      <formula>"Activa"</formula>
    </cfRule>
  </conditionalFormatting>
  <conditionalFormatting sqref="K462">
    <cfRule type="cellIs" dxfId="1" priority="1000" operator="equal">
      <formula>"$"</formula>
    </cfRule>
  </conditionalFormatting>
  <conditionalFormatting sqref="V462">
    <cfRule type="cellIs" dxfId="1" priority="1001" operator="equal">
      <formula>"Nuevo"</formula>
    </cfRule>
  </conditionalFormatting>
  <conditionalFormatting sqref="W462">
    <cfRule type="cellIs" dxfId="1" priority="1002" operator="equal">
      <formula>"Activa"</formula>
    </cfRule>
  </conditionalFormatting>
  <conditionalFormatting sqref="K463">
    <cfRule type="cellIs" dxfId="1" priority="1003" operator="equal">
      <formula>"$"</formula>
    </cfRule>
  </conditionalFormatting>
  <conditionalFormatting sqref="V463">
    <cfRule type="cellIs" dxfId="1" priority="1004" operator="equal">
      <formula>"Nuevo"</formula>
    </cfRule>
  </conditionalFormatting>
  <conditionalFormatting sqref="W463">
    <cfRule type="cellIs" dxfId="1" priority="1005" operator="equal">
      <formula>"Activa"</formula>
    </cfRule>
  </conditionalFormatting>
  <conditionalFormatting sqref="K464">
    <cfRule type="cellIs" dxfId="1" priority="1006" operator="equal">
      <formula>"$"</formula>
    </cfRule>
  </conditionalFormatting>
  <conditionalFormatting sqref="V464">
    <cfRule type="cellIs" dxfId="1" priority="1007" operator="equal">
      <formula>"Nuevo"</formula>
    </cfRule>
  </conditionalFormatting>
  <conditionalFormatting sqref="W464">
    <cfRule type="cellIs" dxfId="1" priority="1008" operator="equal">
      <formula>"Activa"</formula>
    </cfRule>
  </conditionalFormatting>
  <conditionalFormatting sqref="K465">
    <cfRule type="cellIs" dxfId="1" priority="1009" operator="equal">
      <formula>"$"</formula>
    </cfRule>
  </conditionalFormatting>
  <conditionalFormatting sqref="V465">
    <cfRule type="cellIs" dxfId="1" priority="1010" operator="equal">
      <formula>"Nuevo"</formula>
    </cfRule>
  </conditionalFormatting>
  <conditionalFormatting sqref="W465">
    <cfRule type="cellIs" dxfId="1" priority="1011" operator="equal">
      <formula>"Activa"</formula>
    </cfRule>
  </conditionalFormatting>
  <conditionalFormatting sqref="K466">
    <cfRule type="cellIs" dxfId="1" priority="1012" operator="equal">
      <formula>"$"</formula>
    </cfRule>
  </conditionalFormatting>
  <conditionalFormatting sqref="V466">
    <cfRule type="cellIs" dxfId="1" priority="1013" operator="equal">
      <formula>"Nuevo"</formula>
    </cfRule>
  </conditionalFormatting>
  <conditionalFormatting sqref="W466">
    <cfRule type="cellIs" dxfId="1" priority="1014" operator="equal">
      <formula>"Activa"</formula>
    </cfRule>
  </conditionalFormatting>
  <conditionalFormatting sqref="K467">
    <cfRule type="cellIs" dxfId="1" priority="1015" operator="equal">
      <formula>"$"</formula>
    </cfRule>
  </conditionalFormatting>
  <conditionalFormatting sqref="V467">
    <cfRule type="cellIs" dxfId="1" priority="1016" operator="equal">
      <formula>"Nuevo"</formula>
    </cfRule>
  </conditionalFormatting>
  <conditionalFormatting sqref="W467">
    <cfRule type="cellIs" dxfId="1" priority="1017" operator="equal">
      <formula>"Activa"</formula>
    </cfRule>
  </conditionalFormatting>
  <conditionalFormatting sqref="K468">
    <cfRule type="cellIs" dxfId="1" priority="1018" operator="equal">
      <formula>"$"</formula>
    </cfRule>
  </conditionalFormatting>
  <conditionalFormatting sqref="V468">
    <cfRule type="cellIs" dxfId="1" priority="1019" operator="equal">
      <formula>"Nuevo"</formula>
    </cfRule>
  </conditionalFormatting>
  <conditionalFormatting sqref="W468">
    <cfRule type="cellIs" dxfId="1" priority="1020" operator="equal">
      <formula>"Activa"</formula>
    </cfRule>
  </conditionalFormatting>
  <conditionalFormatting sqref="K469">
    <cfRule type="cellIs" dxfId="1" priority="1021" operator="equal">
      <formula>"$"</formula>
    </cfRule>
  </conditionalFormatting>
  <conditionalFormatting sqref="V469">
    <cfRule type="cellIs" dxfId="1" priority="1022" operator="equal">
      <formula>"Nuevo"</formula>
    </cfRule>
  </conditionalFormatting>
  <conditionalFormatting sqref="W469">
    <cfRule type="cellIs" dxfId="1" priority="1023" operator="equal">
      <formula>"Activa"</formula>
    </cfRule>
  </conditionalFormatting>
  <conditionalFormatting sqref="K470">
    <cfRule type="cellIs" dxfId="1" priority="1024" operator="equal">
      <formula>"$"</formula>
    </cfRule>
  </conditionalFormatting>
  <conditionalFormatting sqref="V470">
    <cfRule type="cellIs" dxfId="1" priority="1025" operator="equal">
      <formula>"Nuevo"</formula>
    </cfRule>
  </conditionalFormatting>
  <conditionalFormatting sqref="W470">
    <cfRule type="cellIs" dxfId="1" priority="1026" operator="equal">
      <formula>"Activa"</formula>
    </cfRule>
  </conditionalFormatting>
  <conditionalFormatting sqref="K471">
    <cfRule type="cellIs" dxfId="1" priority="1027" operator="equal">
      <formula>"$"</formula>
    </cfRule>
  </conditionalFormatting>
  <conditionalFormatting sqref="V471">
    <cfRule type="cellIs" dxfId="1" priority="1028" operator="equal">
      <formula>"Nuevo"</formula>
    </cfRule>
  </conditionalFormatting>
  <conditionalFormatting sqref="W471">
    <cfRule type="cellIs" dxfId="1" priority="1029" operator="equal">
      <formula>"Activa"</formula>
    </cfRule>
  </conditionalFormatting>
  <conditionalFormatting sqref="K472">
    <cfRule type="cellIs" dxfId="1" priority="1030" operator="equal">
      <formula>"$"</formula>
    </cfRule>
  </conditionalFormatting>
  <conditionalFormatting sqref="V472">
    <cfRule type="cellIs" dxfId="1" priority="1031" operator="equal">
      <formula>"Nuevo"</formula>
    </cfRule>
  </conditionalFormatting>
  <conditionalFormatting sqref="W472">
    <cfRule type="cellIs" dxfId="1" priority="1032" operator="equal">
      <formula>"Activa"</formula>
    </cfRule>
  </conditionalFormatting>
  <conditionalFormatting sqref="K473">
    <cfRule type="cellIs" dxfId="1" priority="1033" operator="equal">
      <formula>"$"</formula>
    </cfRule>
  </conditionalFormatting>
  <conditionalFormatting sqref="V473">
    <cfRule type="cellIs" dxfId="1" priority="1034" operator="equal">
      <formula>"Nuevo"</formula>
    </cfRule>
  </conditionalFormatting>
  <conditionalFormatting sqref="W473">
    <cfRule type="cellIs" dxfId="1" priority="1035" operator="equal">
      <formula>"Activa"</formula>
    </cfRule>
  </conditionalFormatting>
  <conditionalFormatting sqref="K474">
    <cfRule type="cellIs" dxfId="1" priority="1036" operator="equal">
      <formula>"$"</formula>
    </cfRule>
  </conditionalFormatting>
  <conditionalFormatting sqref="V474">
    <cfRule type="cellIs" dxfId="1" priority="1037" operator="equal">
      <formula>"Nuevo"</formula>
    </cfRule>
  </conditionalFormatting>
  <conditionalFormatting sqref="W474">
    <cfRule type="cellIs" dxfId="1" priority="1038" operator="equal">
      <formula>"Activa"</formula>
    </cfRule>
  </conditionalFormatting>
  <conditionalFormatting sqref="K475">
    <cfRule type="cellIs" dxfId="1" priority="1039" operator="equal">
      <formula>"$"</formula>
    </cfRule>
  </conditionalFormatting>
  <conditionalFormatting sqref="V475">
    <cfRule type="cellIs" dxfId="1" priority="1040" operator="equal">
      <formula>"Nuevo"</formula>
    </cfRule>
  </conditionalFormatting>
  <conditionalFormatting sqref="W475">
    <cfRule type="cellIs" dxfId="1" priority="1041" operator="equal">
      <formula>"Activa"</formula>
    </cfRule>
  </conditionalFormatting>
  <conditionalFormatting sqref="K476">
    <cfRule type="cellIs" dxfId="1" priority="1042" operator="equal">
      <formula>"$"</formula>
    </cfRule>
  </conditionalFormatting>
  <conditionalFormatting sqref="V476">
    <cfRule type="cellIs" dxfId="1" priority="1043" operator="equal">
      <formula>"Nuevo"</formula>
    </cfRule>
  </conditionalFormatting>
  <conditionalFormatting sqref="W476">
    <cfRule type="cellIs" dxfId="1" priority="1044" operator="equal">
      <formula>"Activa"</formula>
    </cfRule>
  </conditionalFormatting>
  <conditionalFormatting sqref="K477">
    <cfRule type="cellIs" dxfId="1" priority="1045" operator="equal">
      <formula>"$"</formula>
    </cfRule>
  </conditionalFormatting>
  <conditionalFormatting sqref="V477">
    <cfRule type="cellIs" dxfId="1" priority="1046" operator="equal">
      <formula>"Nuevo"</formula>
    </cfRule>
  </conditionalFormatting>
  <conditionalFormatting sqref="W477">
    <cfRule type="cellIs" dxfId="1" priority="1047" operator="equal">
      <formula>"Activa"</formula>
    </cfRule>
  </conditionalFormatting>
  <conditionalFormatting sqref="K478">
    <cfRule type="cellIs" dxfId="1" priority="1048" operator="equal">
      <formula>"$"</formula>
    </cfRule>
  </conditionalFormatting>
  <conditionalFormatting sqref="V478">
    <cfRule type="cellIs" dxfId="1" priority="1049" operator="equal">
      <formula>"Nuevo"</formula>
    </cfRule>
  </conditionalFormatting>
  <conditionalFormatting sqref="W478">
    <cfRule type="cellIs" dxfId="1" priority="1050" operator="equal">
      <formula>"Activa"</formula>
    </cfRule>
  </conditionalFormatting>
  <conditionalFormatting sqref="K479">
    <cfRule type="cellIs" dxfId="1" priority="1051" operator="equal">
      <formula>"$"</formula>
    </cfRule>
  </conditionalFormatting>
  <conditionalFormatting sqref="V479">
    <cfRule type="cellIs" dxfId="1" priority="1052" operator="equal">
      <formula>"Nuevo"</formula>
    </cfRule>
  </conditionalFormatting>
  <conditionalFormatting sqref="W479">
    <cfRule type="cellIs" dxfId="1" priority="1053" operator="equal">
      <formula>"Activa"</formula>
    </cfRule>
  </conditionalFormatting>
  <conditionalFormatting sqref="K480">
    <cfRule type="cellIs" dxfId="1" priority="1054" operator="equal">
      <formula>"$"</formula>
    </cfRule>
  </conditionalFormatting>
  <conditionalFormatting sqref="V480">
    <cfRule type="cellIs" dxfId="1" priority="1055" operator="equal">
      <formula>"Nuevo"</formula>
    </cfRule>
  </conditionalFormatting>
  <conditionalFormatting sqref="W480">
    <cfRule type="cellIs" dxfId="1" priority="1056" operator="equal">
      <formula>"Activa"</formula>
    </cfRule>
  </conditionalFormatting>
  <conditionalFormatting sqref="K481">
    <cfRule type="cellIs" dxfId="1" priority="1057" operator="equal">
      <formula>"$"</formula>
    </cfRule>
  </conditionalFormatting>
  <conditionalFormatting sqref="V481">
    <cfRule type="cellIs" dxfId="1" priority="1058" operator="equal">
      <formula>"Nuevo"</formula>
    </cfRule>
  </conditionalFormatting>
  <conditionalFormatting sqref="W481">
    <cfRule type="cellIs" dxfId="1" priority="1059" operator="equal">
      <formula>"Activa"</formula>
    </cfRule>
  </conditionalFormatting>
  <conditionalFormatting sqref="K482">
    <cfRule type="cellIs" dxfId="1" priority="1060" operator="equal">
      <formula>"$"</formula>
    </cfRule>
  </conditionalFormatting>
  <conditionalFormatting sqref="V482">
    <cfRule type="cellIs" dxfId="1" priority="1061" operator="equal">
      <formula>"Nuevo"</formula>
    </cfRule>
  </conditionalFormatting>
  <conditionalFormatting sqref="W482">
    <cfRule type="cellIs" dxfId="1" priority="1062" operator="equal">
      <formula>"Activa"</formula>
    </cfRule>
  </conditionalFormatting>
  <conditionalFormatting sqref="K483">
    <cfRule type="cellIs" dxfId="1" priority="1063" operator="equal">
      <formula>"$"</formula>
    </cfRule>
  </conditionalFormatting>
  <conditionalFormatting sqref="V483">
    <cfRule type="cellIs" dxfId="1" priority="1064" operator="equal">
      <formula>"Nuevo"</formula>
    </cfRule>
  </conditionalFormatting>
  <conditionalFormatting sqref="W483">
    <cfRule type="cellIs" dxfId="1" priority="1065" operator="equal">
      <formula>"Activa"</formula>
    </cfRule>
  </conditionalFormatting>
  <conditionalFormatting sqref="K484">
    <cfRule type="cellIs" dxfId="1" priority="1066" operator="equal">
      <formula>"$"</formula>
    </cfRule>
  </conditionalFormatting>
  <conditionalFormatting sqref="V484">
    <cfRule type="cellIs" dxfId="1" priority="1067" operator="equal">
      <formula>"Nuevo"</formula>
    </cfRule>
  </conditionalFormatting>
  <conditionalFormatting sqref="W484">
    <cfRule type="cellIs" dxfId="1" priority="1068" operator="equal">
      <formula>"Activa"</formula>
    </cfRule>
  </conditionalFormatting>
  <conditionalFormatting sqref="K485">
    <cfRule type="cellIs" dxfId="1" priority="1069" operator="equal">
      <formula>"$"</formula>
    </cfRule>
  </conditionalFormatting>
  <conditionalFormatting sqref="V485">
    <cfRule type="cellIs" dxfId="1" priority="1070" operator="equal">
      <formula>"Nuevo"</formula>
    </cfRule>
  </conditionalFormatting>
  <conditionalFormatting sqref="W485">
    <cfRule type="cellIs" dxfId="1" priority="1071" operator="equal">
      <formula>"Activa"</formula>
    </cfRule>
  </conditionalFormatting>
  <conditionalFormatting sqref="K486">
    <cfRule type="cellIs" dxfId="1" priority="1072" operator="equal">
      <formula>"$"</formula>
    </cfRule>
  </conditionalFormatting>
  <conditionalFormatting sqref="V486">
    <cfRule type="cellIs" dxfId="1" priority="1073" operator="equal">
      <formula>"Nuevo"</formula>
    </cfRule>
  </conditionalFormatting>
  <conditionalFormatting sqref="W486">
    <cfRule type="cellIs" dxfId="1" priority="1074" operator="equal">
      <formula>"Activa"</formula>
    </cfRule>
  </conditionalFormatting>
  <conditionalFormatting sqref="K487">
    <cfRule type="cellIs" dxfId="1" priority="1075" operator="equal">
      <formula>"$"</formula>
    </cfRule>
  </conditionalFormatting>
  <conditionalFormatting sqref="V487">
    <cfRule type="cellIs" dxfId="1" priority="1076" operator="equal">
      <formula>"Nuevo"</formula>
    </cfRule>
  </conditionalFormatting>
  <conditionalFormatting sqref="W487">
    <cfRule type="cellIs" dxfId="1" priority="1077" operator="equal">
      <formula>"Activa"</formula>
    </cfRule>
  </conditionalFormatting>
  <conditionalFormatting sqref="K488">
    <cfRule type="cellIs" dxfId="1" priority="1078" operator="equal">
      <formula>"$"</formula>
    </cfRule>
  </conditionalFormatting>
  <conditionalFormatting sqref="V488">
    <cfRule type="cellIs" dxfId="1" priority="1079" operator="equal">
      <formula>"Nuevo"</formula>
    </cfRule>
  </conditionalFormatting>
  <conditionalFormatting sqref="W488">
    <cfRule type="cellIs" dxfId="1" priority="1080" operator="equal">
      <formula>"Activa"</formula>
    </cfRule>
  </conditionalFormatting>
  <conditionalFormatting sqref="K489">
    <cfRule type="cellIs" dxfId="1" priority="1081" operator="equal">
      <formula>"$"</formula>
    </cfRule>
  </conditionalFormatting>
  <conditionalFormatting sqref="V489">
    <cfRule type="cellIs" dxfId="1" priority="1082" operator="equal">
      <formula>"Nuevo"</formula>
    </cfRule>
  </conditionalFormatting>
  <conditionalFormatting sqref="W489">
    <cfRule type="cellIs" dxfId="1" priority="1083" operator="equal">
      <formula>"Activa"</formula>
    </cfRule>
  </conditionalFormatting>
  <conditionalFormatting sqref="K490">
    <cfRule type="cellIs" dxfId="1" priority="1084" operator="equal">
      <formula>"$"</formula>
    </cfRule>
  </conditionalFormatting>
  <conditionalFormatting sqref="V490">
    <cfRule type="cellIs" dxfId="1" priority="1085" operator="equal">
      <formula>"Nuevo"</formula>
    </cfRule>
  </conditionalFormatting>
  <conditionalFormatting sqref="W490">
    <cfRule type="cellIs" dxfId="1" priority="1086" operator="equal">
      <formula>"Activa"</formula>
    </cfRule>
  </conditionalFormatting>
  <conditionalFormatting sqref="K491">
    <cfRule type="cellIs" dxfId="1" priority="1087" operator="equal">
      <formula>"$"</formula>
    </cfRule>
  </conditionalFormatting>
  <conditionalFormatting sqref="V491">
    <cfRule type="cellIs" dxfId="1" priority="1088" operator="equal">
      <formula>"Nuevo"</formula>
    </cfRule>
  </conditionalFormatting>
  <conditionalFormatting sqref="W491">
    <cfRule type="cellIs" dxfId="1" priority="1089" operator="equal">
      <formula>"Activa"</formula>
    </cfRule>
  </conditionalFormatting>
  <conditionalFormatting sqref="K492">
    <cfRule type="cellIs" dxfId="1" priority="1090" operator="equal">
      <formula>"$"</formula>
    </cfRule>
  </conditionalFormatting>
  <conditionalFormatting sqref="V492">
    <cfRule type="cellIs" dxfId="1" priority="1091" operator="equal">
      <formula>"Nuevo"</formula>
    </cfRule>
  </conditionalFormatting>
  <conditionalFormatting sqref="W492">
    <cfRule type="cellIs" dxfId="1" priority="1092" operator="equal">
      <formula>"Activa"</formula>
    </cfRule>
  </conditionalFormatting>
  <conditionalFormatting sqref="K495">
    <cfRule type="cellIs" dxfId="1" priority="1093" operator="equal">
      <formula>"$"</formula>
    </cfRule>
  </conditionalFormatting>
  <conditionalFormatting sqref="V495">
    <cfRule type="cellIs" dxfId="1" priority="1094" operator="equal">
      <formula>"Nuevo"</formula>
    </cfRule>
  </conditionalFormatting>
  <conditionalFormatting sqref="W495">
    <cfRule type="cellIs" dxfId="1" priority="1095" operator="equal">
      <formula>"Activa"</formula>
    </cfRule>
  </conditionalFormatting>
  <conditionalFormatting sqref="K500">
    <cfRule type="cellIs" dxfId="1" priority="1096" operator="equal">
      <formula>"$"</formula>
    </cfRule>
  </conditionalFormatting>
  <conditionalFormatting sqref="V500">
    <cfRule type="cellIs" dxfId="1" priority="1097" operator="equal">
      <formula>"Nuevo"</formula>
    </cfRule>
  </conditionalFormatting>
  <conditionalFormatting sqref="W500">
    <cfRule type="cellIs" dxfId="1" priority="1098" operator="equal">
      <formula>"Activa"</formula>
    </cfRule>
  </conditionalFormatting>
  <conditionalFormatting sqref="K505">
    <cfRule type="cellIs" dxfId="1" priority="1099" operator="equal">
      <formula>"$"</formula>
    </cfRule>
  </conditionalFormatting>
  <conditionalFormatting sqref="V505">
    <cfRule type="cellIs" dxfId="1" priority="1100" operator="equal">
      <formula>"Nuevo"</formula>
    </cfRule>
  </conditionalFormatting>
  <conditionalFormatting sqref="W505">
    <cfRule type="cellIs" dxfId="1" priority="1101" operator="equal">
      <formula>"Activa"</formula>
    </cfRule>
  </conditionalFormatting>
  <conditionalFormatting sqref="K510">
    <cfRule type="cellIs" dxfId="1" priority="1102" operator="equal">
      <formula>"$"</formula>
    </cfRule>
  </conditionalFormatting>
  <conditionalFormatting sqref="V510">
    <cfRule type="cellIs" dxfId="1" priority="1103" operator="equal">
      <formula>"Nuevo"</formula>
    </cfRule>
  </conditionalFormatting>
  <conditionalFormatting sqref="W510">
    <cfRule type="cellIs" dxfId="1" priority="1104" operator="equal">
      <formula>"Activa"</formula>
    </cfRule>
  </conditionalFormatting>
  <conditionalFormatting sqref="K513">
    <cfRule type="cellIs" dxfId="1" priority="1105" operator="equal">
      <formula>"$"</formula>
    </cfRule>
  </conditionalFormatting>
  <conditionalFormatting sqref="V513">
    <cfRule type="cellIs" dxfId="1" priority="1106" operator="equal">
      <formula>"Nuevo"</formula>
    </cfRule>
  </conditionalFormatting>
  <conditionalFormatting sqref="W513">
    <cfRule type="cellIs" dxfId="1" priority="1107" operator="equal">
      <formula>"Activa"</formula>
    </cfRule>
  </conditionalFormatting>
  <conditionalFormatting sqref="K518">
    <cfRule type="cellIs" dxfId="1" priority="1108" operator="equal">
      <formula>"$"</formula>
    </cfRule>
  </conditionalFormatting>
  <conditionalFormatting sqref="V518">
    <cfRule type="cellIs" dxfId="1" priority="1109" operator="equal">
      <formula>"Nuevo"</formula>
    </cfRule>
  </conditionalFormatting>
  <conditionalFormatting sqref="W518">
    <cfRule type="cellIs" dxfId="1" priority="1110" operator="equal">
      <formula>"Activa"</formula>
    </cfRule>
  </conditionalFormatting>
  <conditionalFormatting sqref="K523">
    <cfRule type="cellIs" dxfId="1" priority="1111" operator="equal">
      <formula>"$"</formula>
    </cfRule>
  </conditionalFormatting>
  <conditionalFormatting sqref="V523">
    <cfRule type="cellIs" dxfId="1" priority="1112" operator="equal">
      <formula>"Nuevo"</formula>
    </cfRule>
  </conditionalFormatting>
  <conditionalFormatting sqref="W523">
    <cfRule type="cellIs" dxfId="1" priority="1113" operator="equal">
      <formula>"Activa"</formula>
    </cfRule>
  </conditionalFormatting>
  <conditionalFormatting sqref="K528">
    <cfRule type="cellIs" dxfId="1" priority="1114" operator="equal">
      <formula>"$"</formula>
    </cfRule>
  </conditionalFormatting>
  <conditionalFormatting sqref="V528">
    <cfRule type="cellIs" dxfId="1" priority="1115" operator="equal">
      <formula>"Nuevo"</formula>
    </cfRule>
  </conditionalFormatting>
  <conditionalFormatting sqref="W528">
    <cfRule type="cellIs" dxfId="1" priority="1116" operator="equal">
      <formula>"Activa"</formula>
    </cfRule>
  </conditionalFormatting>
  <conditionalFormatting sqref="K529">
    <cfRule type="cellIs" dxfId="1" priority="1117" operator="equal">
      <formula>"$"</formula>
    </cfRule>
  </conditionalFormatting>
  <conditionalFormatting sqref="V529">
    <cfRule type="cellIs" dxfId="1" priority="1118" operator="equal">
      <formula>"Nuevo"</formula>
    </cfRule>
  </conditionalFormatting>
  <conditionalFormatting sqref="W529">
    <cfRule type="cellIs" dxfId="1" priority="1119" operator="equal">
      <formula>"Activa"</formula>
    </cfRule>
  </conditionalFormatting>
  <conditionalFormatting sqref="K530">
    <cfRule type="cellIs" dxfId="1" priority="1120" operator="equal">
      <formula>"$"</formula>
    </cfRule>
  </conditionalFormatting>
  <conditionalFormatting sqref="V530">
    <cfRule type="cellIs" dxfId="1" priority="1121" operator="equal">
      <formula>"Nuevo"</formula>
    </cfRule>
  </conditionalFormatting>
  <conditionalFormatting sqref="W530">
    <cfRule type="cellIs" dxfId="1" priority="1122" operator="equal">
      <formula>"Activa"</formula>
    </cfRule>
  </conditionalFormatting>
  <conditionalFormatting sqref="K531">
    <cfRule type="cellIs" dxfId="1" priority="1123" operator="equal">
      <formula>"$"</formula>
    </cfRule>
  </conditionalFormatting>
  <conditionalFormatting sqref="V531">
    <cfRule type="cellIs" dxfId="1" priority="1124" operator="equal">
      <formula>"Nuevo"</formula>
    </cfRule>
  </conditionalFormatting>
  <conditionalFormatting sqref="W531">
    <cfRule type="cellIs" dxfId="1" priority="1125" operator="equal">
      <formula>"Activa"</formula>
    </cfRule>
  </conditionalFormatting>
  <conditionalFormatting sqref="K532">
    <cfRule type="cellIs" dxfId="1" priority="1126" operator="equal">
      <formula>"$"</formula>
    </cfRule>
  </conditionalFormatting>
  <conditionalFormatting sqref="V532">
    <cfRule type="cellIs" dxfId="1" priority="1127" operator="equal">
      <formula>"Nuevo"</formula>
    </cfRule>
  </conditionalFormatting>
  <conditionalFormatting sqref="W532">
    <cfRule type="cellIs" dxfId="1" priority="1128" operator="equal">
      <formula>"Activa"</formula>
    </cfRule>
  </conditionalFormatting>
  <conditionalFormatting sqref="K533">
    <cfRule type="cellIs" dxfId="1" priority="1129" operator="equal">
      <formula>"$"</formula>
    </cfRule>
  </conditionalFormatting>
  <conditionalFormatting sqref="V533">
    <cfRule type="cellIs" dxfId="1" priority="1130" operator="equal">
      <formula>"Nuevo"</formula>
    </cfRule>
  </conditionalFormatting>
  <conditionalFormatting sqref="W533">
    <cfRule type="cellIs" dxfId="1" priority="1131" operator="equal">
      <formula>"Activa"</formula>
    </cfRule>
  </conditionalFormatting>
  <conditionalFormatting sqref="K534">
    <cfRule type="cellIs" dxfId="1" priority="1132" operator="equal">
      <formula>"$"</formula>
    </cfRule>
  </conditionalFormatting>
  <conditionalFormatting sqref="V534">
    <cfRule type="cellIs" dxfId="1" priority="1133" operator="equal">
      <formula>"Nuevo"</formula>
    </cfRule>
  </conditionalFormatting>
  <conditionalFormatting sqref="W534">
    <cfRule type="cellIs" dxfId="1" priority="1134" operator="equal">
      <formula>"Activa"</formula>
    </cfRule>
  </conditionalFormatting>
  <conditionalFormatting sqref="K535">
    <cfRule type="cellIs" dxfId="1" priority="1135" operator="equal">
      <formula>"$"</formula>
    </cfRule>
  </conditionalFormatting>
  <conditionalFormatting sqref="V535">
    <cfRule type="cellIs" dxfId="1" priority="1136" operator="equal">
      <formula>"Nuevo"</formula>
    </cfRule>
  </conditionalFormatting>
  <conditionalFormatting sqref="W535">
    <cfRule type="cellIs" dxfId="1" priority="1137" operator="equal">
      <formula>"Activa"</formula>
    </cfRule>
  </conditionalFormatting>
  <conditionalFormatting sqref="K536">
    <cfRule type="cellIs" dxfId="1" priority="1138" operator="equal">
      <formula>"$"</formula>
    </cfRule>
  </conditionalFormatting>
  <conditionalFormatting sqref="V536">
    <cfRule type="cellIs" dxfId="1" priority="1139" operator="equal">
      <formula>"Nuevo"</formula>
    </cfRule>
  </conditionalFormatting>
  <conditionalFormatting sqref="W536">
    <cfRule type="cellIs" dxfId="1" priority="1140" operator="equal">
      <formula>"Activa"</formula>
    </cfRule>
  </conditionalFormatting>
  <conditionalFormatting sqref="K541">
    <cfRule type="cellIs" dxfId="1" priority="1141" operator="equal">
      <formula>"$"</formula>
    </cfRule>
  </conditionalFormatting>
  <conditionalFormatting sqref="V541">
    <cfRule type="cellIs" dxfId="1" priority="1142" operator="equal">
      <formula>"Nuevo"</formula>
    </cfRule>
  </conditionalFormatting>
  <conditionalFormatting sqref="W541">
    <cfRule type="cellIs" dxfId="1" priority="1143" operator="equal">
      <formula>"Activa"</formula>
    </cfRule>
  </conditionalFormatting>
  <conditionalFormatting sqref="K546">
    <cfRule type="cellIs" dxfId="1" priority="1144" operator="equal">
      <formula>"$"</formula>
    </cfRule>
  </conditionalFormatting>
  <conditionalFormatting sqref="V546">
    <cfRule type="cellIs" dxfId="1" priority="1145" operator="equal">
      <formula>"Nuevo"</formula>
    </cfRule>
  </conditionalFormatting>
  <conditionalFormatting sqref="W546">
    <cfRule type="cellIs" dxfId="1" priority="1146" operator="equal">
      <formula>"Activa"</formula>
    </cfRule>
  </conditionalFormatting>
  <conditionalFormatting sqref="K550">
    <cfRule type="cellIs" dxfId="1" priority="1147" operator="equal">
      <formula>"$"</formula>
    </cfRule>
  </conditionalFormatting>
  <conditionalFormatting sqref="W550">
    <cfRule type="cellIs" dxfId="1" priority="1148" operator="equal">
      <formula>"Activa"</formula>
    </cfRule>
  </conditionalFormatting>
  <conditionalFormatting sqref="K551">
    <cfRule type="cellIs" dxfId="1" priority="1149" operator="equal">
      <formula>"$"</formula>
    </cfRule>
  </conditionalFormatting>
  <conditionalFormatting sqref="W551">
    <cfRule type="cellIs" dxfId="1" priority="1150" operator="equal">
      <formula>"Activa"</formula>
    </cfRule>
  </conditionalFormatting>
  <conditionalFormatting sqref="K552">
    <cfRule type="cellIs" dxfId="1" priority="1151" operator="equal">
      <formula>"$"</formula>
    </cfRule>
  </conditionalFormatting>
  <conditionalFormatting sqref="W552">
    <cfRule type="cellIs" dxfId="1" priority="1152" operator="equal">
      <formula>"Activa"</formula>
    </cfRule>
  </conditionalFormatting>
  <conditionalFormatting sqref="K553">
    <cfRule type="cellIs" dxfId="1" priority="1153" operator="equal">
      <formula>"$"</formula>
    </cfRule>
  </conditionalFormatting>
  <conditionalFormatting sqref="W553">
    <cfRule type="cellIs" dxfId="1" priority="1154" operator="equal">
      <formula>"Activa"</formula>
    </cfRule>
  </conditionalFormatting>
  <conditionalFormatting sqref="K554">
    <cfRule type="cellIs" dxfId="1" priority="1155" operator="equal">
      <formula>"$"</formula>
    </cfRule>
  </conditionalFormatting>
  <conditionalFormatting sqref="W554">
    <cfRule type="cellIs" dxfId="1" priority="1156" operator="equal">
      <formula>"Activa"</formula>
    </cfRule>
  </conditionalFormatting>
  <conditionalFormatting sqref="K555">
    <cfRule type="cellIs" dxfId="1" priority="1157" operator="equal">
      <formula>"$"</formula>
    </cfRule>
  </conditionalFormatting>
  <conditionalFormatting sqref="W555">
    <cfRule type="cellIs" dxfId="1" priority="1158" operator="equal">
      <formula>"Activa"</formula>
    </cfRule>
  </conditionalFormatting>
  <conditionalFormatting sqref="K556">
    <cfRule type="cellIs" dxfId="1" priority="1159" operator="equal">
      <formula>"$"</formula>
    </cfRule>
  </conditionalFormatting>
  <conditionalFormatting sqref="V556">
    <cfRule type="cellIs" dxfId="1" priority="1160" operator="equal">
      <formula>"Nuevo"</formula>
    </cfRule>
  </conditionalFormatting>
  <conditionalFormatting sqref="W556">
    <cfRule type="cellIs" dxfId="1" priority="1161" operator="equal">
      <formula>"Activa"</formula>
    </cfRule>
  </conditionalFormatting>
  <conditionalFormatting sqref="K573">
    <cfRule type="cellIs" dxfId="1" priority="1162" operator="equal">
      <formula>"$"</formula>
    </cfRule>
  </conditionalFormatting>
  <conditionalFormatting sqref="V573">
    <cfRule type="cellIs" dxfId="1" priority="1163" operator="equal">
      <formula>"Nuevo"</formula>
    </cfRule>
  </conditionalFormatting>
  <conditionalFormatting sqref="W573">
    <cfRule type="cellIs" dxfId="1" priority="1164" operator="equal">
      <formula>"Activa"</formula>
    </cfRule>
  </conditionalFormatting>
  <conditionalFormatting sqref="K577">
    <cfRule type="cellIs" dxfId="1" priority="1165" operator="equal">
      <formula>"$"</formula>
    </cfRule>
  </conditionalFormatting>
  <conditionalFormatting sqref="V577">
    <cfRule type="cellIs" dxfId="1" priority="1166" operator="equal">
      <formula>"Nuevo"</formula>
    </cfRule>
  </conditionalFormatting>
  <conditionalFormatting sqref="W577">
    <cfRule type="cellIs" dxfId="1" priority="1167" operator="equal">
      <formula>"Activa"</formula>
    </cfRule>
  </conditionalFormatting>
  <conditionalFormatting sqref="K582">
    <cfRule type="cellIs" dxfId="1" priority="1168" operator="equal">
      <formula>"$"</formula>
    </cfRule>
  </conditionalFormatting>
  <conditionalFormatting sqref="V582">
    <cfRule type="cellIs" dxfId="1" priority="1169" operator="equal">
      <formula>"Nuevo"</formula>
    </cfRule>
  </conditionalFormatting>
  <conditionalFormatting sqref="W582">
    <cfRule type="cellIs" dxfId="1" priority="1170" operator="equal">
      <formula>"Activa"</formula>
    </cfRule>
  </conditionalFormatting>
  <conditionalFormatting sqref="K587">
    <cfRule type="cellIs" dxfId="1" priority="1171" operator="equal">
      <formula>"$"</formula>
    </cfRule>
  </conditionalFormatting>
  <conditionalFormatting sqref="V587">
    <cfRule type="cellIs" dxfId="1" priority="1172" operator="equal">
      <formula>"Nuevo"</formula>
    </cfRule>
  </conditionalFormatting>
  <conditionalFormatting sqref="W587">
    <cfRule type="cellIs" dxfId="1" priority="1173" operator="equal">
      <formula>"Activa"</formula>
    </cfRule>
  </conditionalFormatting>
  <conditionalFormatting sqref="K588">
    <cfRule type="cellIs" dxfId="1" priority="1174" operator="equal">
      <formula>"$"</formula>
    </cfRule>
  </conditionalFormatting>
  <conditionalFormatting sqref="V588">
    <cfRule type="cellIs" dxfId="1" priority="1175" operator="equal">
      <formula>"Nuevo"</formula>
    </cfRule>
  </conditionalFormatting>
  <conditionalFormatting sqref="W588">
    <cfRule type="cellIs" dxfId="1" priority="1176" operator="equal">
      <formula>"Activa"</formula>
    </cfRule>
  </conditionalFormatting>
  <conditionalFormatting sqref="K593">
    <cfRule type="cellIs" dxfId="1" priority="1177" operator="equal">
      <formula>"$"</formula>
    </cfRule>
  </conditionalFormatting>
  <conditionalFormatting sqref="V593">
    <cfRule type="cellIs" dxfId="1" priority="1178" operator="equal">
      <formula>"Nuevo"</formula>
    </cfRule>
  </conditionalFormatting>
  <conditionalFormatting sqref="W593">
    <cfRule type="cellIs" dxfId="1" priority="1179" operator="equal">
      <formula>"Activa"</formula>
    </cfRule>
  </conditionalFormatting>
  <conditionalFormatting sqref="K601">
    <cfRule type="cellIs" dxfId="1" priority="1180" operator="equal">
      <formula>"$"</formula>
    </cfRule>
  </conditionalFormatting>
  <conditionalFormatting sqref="V601">
    <cfRule type="cellIs" dxfId="1" priority="1181" operator="equal">
      <formula>"Nuevo"</formula>
    </cfRule>
  </conditionalFormatting>
  <conditionalFormatting sqref="W601">
    <cfRule type="cellIs" dxfId="1" priority="1182" operator="equal">
      <formula>"Activa"</formula>
    </cfRule>
  </conditionalFormatting>
  <conditionalFormatting sqref="K610">
    <cfRule type="cellIs" dxfId="1" priority="1183" operator="equal">
      <formula>"$"</formula>
    </cfRule>
  </conditionalFormatting>
  <conditionalFormatting sqref="V610">
    <cfRule type="cellIs" dxfId="1" priority="1184" operator="equal">
      <formula>"Nuevo"</formula>
    </cfRule>
  </conditionalFormatting>
  <conditionalFormatting sqref="W610">
    <cfRule type="cellIs" dxfId="1" priority="1185" operator="equal">
      <formula>"Activa"</formula>
    </cfRule>
  </conditionalFormatting>
  <conditionalFormatting sqref="K614">
    <cfRule type="cellIs" dxfId="1" priority="1186" operator="equal">
      <formula>"$"</formula>
    </cfRule>
  </conditionalFormatting>
  <conditionalFormatting sqref="V614">
    <cfRule type="cellIs" dxfId="1" priority="1187" operator="equal">
      <formula>"Nuevo"</formula>
    </cfRule>
  </conditionalFormatting>
  <conditionalFormatting sqref="W614">
    <cfRule type="cellIs" dxfId="1" priority="1188" operator="equal">
      <formula>"Activa"</formula>
    </cfRule>
  </conditionalFormatting>
  <conditionalFormatting sqref="K623">
    <cfRule type="cellIs" dxfId="1" priority="1189" operator="equal">
      <formula>"$"</formula>
    </cfRule>
  </conditionalFormatting>
  <conditionalFormatting sqref="V623">
    <cfRule type="cellIs" dxfId="1" priority="1190" operator="equal">
      <formula>"Nuevo"</formula>
    </cfRule>
  </conditionalFormatting>
  <conditionalFormatting sqref="W623">
    <cfRule type="cellIs" dxfId="1" priority="1191" operator="equal">
      <formula>"Activa"</formula>
    </cfRule>
  </conditionalFormatting>
  <conditionalFormatting sqref="K624">
    <cfRule type="cellIs" dxfId="1" priority="1192" operator="equal">
      <formula>"$"</formula>
    </cfRule>
  </conditionalFormatting>
  <conditionalFormatting sqref="W624">
    <cfRule type="cellIs" dxfId="1" priority="1193" operator="equal">
      <formula>"Activa"</formula>
    </cfRule>
  </conditionalFormatting>
  <conditionalFormatting sqref="K625">
    <cfRule type="cellIs" dxfId="1" priority="1194" operator="equal">
      <formula>"$"</formula>
    </cfRule>
  </conditionalFormatting>
  <conditionalFormatting sqref="V625">
    <cfRule type="cellIs" dxfId="1" priority="1195" operator="equal">
      <formula>"Nuevo"</formula>
    </cfRule>
  </conditionalFormatting>
  <conditionalFormatting sqref="W625">
    <cfRule type="cellIs" dxfId="1" priority="1196" operator="equal">
      <formula>"Activa"</formula>
    </cfRule>
  </conditionalFormatting>
  <conditionalFormatting sqref="K626">
    <cfRule type="cellIs" dxfId="1" priority="1197" operator="equal">
      <formula>"$"</formula>
    </cfRule>
  </conditionalFormatting>
  <conditionalFormatting sqref="V626">
    <cfRule type="cellIs" dxfId="1" priority="1198" operator="equal">
      <formula>"Nuevo"</formula>
    </cfRule>
  </conditionalFormatting>
  <conditionalFormatting sqref="W626">
    <cfRule type="cellIs" dxfId="1" priority="1199" operator="equal">
      <formula>"Activa"</formula>
    </cfRule>
  </conditionalFormatting>
  <conditionalFormatting sqref="K627">
    <cfRule type="cellIs" dxfId="1" priority="1200" operator="equal">
      <formula>"$"</formula>
    </cfRule>
  </conditionalFormatting>
  <conditionalFormatting sqref="W627">
    <cfRule type="cellIs" dxfId="1" priority="1201" operator="equal">
      <formula>"Activa"</formula>
    </cfRule>
  </conditionalFormatting>
  <conditionalFormatting sqref="K628">
    <cfRule type="cellIs" dxfId="1" priority="1202" operator="equal">
      <formula>"$"</formula>
    </cfRule>
  </conditionalFormatting>
  <conditionalFormatting sqref="V628">
    <cfRule type="cellIs" dxfId="1" priority="1203" operator="equal">
      <formula>"Nuevo"</formula>
    </cfRule>
  </conditionalFormatting>
  <conditionalFormatting sqref="W628">
    <cfRule type="cellIs" dxfId="1" priority="1204" operator="equal">
      <formula>"Activa"</formula>
    </cfRule>
  </conditionalFormatting>
  <conditionalFormatting sqref="K629">
    <cfRule type="cellIs" dxfId="1" priority="1205" operator="equal">
      <formula>"$"</formula>
    </cfRule>
  </conditionalFormatting>
  <conditionalFormatting sqref="V629">
    <cfRule type="cellIs" dxfId="1" priority="1206" operator="equal">
      <formula>"Nuevo"</formula>
    </cfRule>
  </conditionalFormatting>
  <conditionalFormatting sqref="W629">
    <cfRule type="cellIs" dxfId="1" priority="1207" operator="equal">
      <formula>"Activa"</formula>
    </cfRule>
  </conditionalFormatting>
  <conditionalFormatting sqref="K630">
    <cfRule type="cellIs" dxfId="1" priority="1208" operator="equal">
      <formula>"$"</formula>
    </cfRule>
  </conditionalFormatting>
  <conditionalFormatting sqref="V630">
    <cfRule type="cellIs" dxfId="1" priority="1209" operator="equal">
      <formula>"Nuevo"</formula>
    </cfRule>
  </conditionalFormatting>
  <conditionalFormatting sqref="W630">
    <cfRule type="cellIs" dxfId="1" priority="1210" operator="equal">
      <formula>"Activa"</formula>
    </cfRule>
  </conditionalFormatting>
  <conditionalFormatting sqref="K631">
    <cfRule type="cellIs" dxfId="1" priority="1211" operator="equal">
      <formula>"$"</formula>
    </cfRule>
  </conditionalFormatting>
  <conditionalFormatting sqref="V631">
    <cfRule type="cellIs" dxfId="1" priority="1212" operator="equal">
      <formula>"Nuevo"</formula>
    </cfRule>
  </conditionalFormatting>
  <conditionalFormatting sqref="W631">
    <cfRule type="cellIs" dxfId="1" priority="1213" operator="equal">
      <formula>"Activa"</formula>
    </cfRule>
  </conditionalFormatting>
  <conditionalFormatting sqref="K632">
    <cfRule type="cellIs" dxfId="1" priority="1214" operator="equal">
      <formula>"$"</formula>
    </cfRule>
  </conditionalFormatting>
  <conditionalFormatting sqref="V632">
    <cfRule type="cellIs" dxfId="1" priority="1215" operator="equal">
      <formula>"Nuevo"</formula>
    </cfRule>
  </conditionalFormatting>
  <conditionalFormatting sqref="W632">
    <cfRule type="cellIs" dxfId="1" priority="1216" operator="equal">
      <formula>"Activa"</formula>
    </cfRule>
  </conditionalFormatting>
  <conditionalFormatting sqref="K633">
    <cfRule type="cellIs" dxfId="1" priority="1217" operator="equal">
      <formula>"$"</formula>
    </cfRule>
  </conditionalFormatting>
  <conditionalFormatting sqref="V633">
    <cfRule type="cellIs" dxfId="1" priority="1218" operator="equal">
      <formula>"Nuevo"</formula>
    </cfRule>
  </conditionalFormatting>
  <conditionalFormatting sqref="W633">
    <cfRule type="cellIs" dxfId="1" priority="1219" operator="equal">
      <formula>"Activa"</formula>
    </cfRule>
  </conditionalFormatting>
  <conditionalFormatting sqref="K634">
    <cfRule type="cellIs" dxfId="1" priority="1220" operator="equal">
      <formula>"$"</formula>
    </cfRule>
  </conditionalFormatting>
  <conditionalFormatting sqref="V634">
    <cfRule type="cellIs" dxfId="1" priority="1221" operator="equal">
      <formula>"Nuevo"</formula>
    </cfRule>
  </conditionalFormatting>
  <conditionalFormatting sqref="W634">
    <cfRule type="cellIs" dxfId="1" priority="1222" operator="equal">
      <formula>"Activa"</formula>
    </cfRule>
  </conditionalFormatting>
  <conditionalFormatting sqref="K635">
    <cfRule type="cellIs" dxfId="1" priority="1223" operator="equal">
      <formula>"$"</formula>
    </cfRule>
  </conditionalFormatting>
  <conditionalFormatting sqref="V635">
    <cfRule type="cellIs" dxfId="1" priority="1224" operator="equal">
      <formula>"Nuevo"</formula>
    </cfRule>
  </conditionalFormatting>
  <conditionalFormatting sqref="W635">
    <cfRule type="cellIs" dxfId="1" priority="1225" operator="equal">
      <formula>"Activa"</formula>
    </cfRule>
  </conditionalFormatting>
  <conditionalFormatting sqref="K636">
    <cfRule type="cellIs" dxfId="1" priority="1226" operator="equal">
      <formula>"$"</formula>
    </cfRule>
  </conditionalFormatting>
  <conditionalFormatting sqref="V636">
    <cfRule type="cellIs" dxfId="1" priority="1227" operator="equal">
      <formula>"Nuevo"</formula>
    </cfRule>
  </conditionalFormatting>
  <conditionalFormatting sqref="W636">
    <cfRule type="cellIs" dxfId="1" priority="1228" operator="equal">
      <formula>"Activa"</formula>
    </cfRule>
  </conditionalFormatting>
  <conditionalFormatting sqref="K637">
    <cfRule type="cellIs" dxfId="1" priority="1229" operator="equal">
      <formula>"$"</formula>
    </cfRule>
  </conditionalFormatting>
  <conditionalFormatting sqref="V637">
    <cfRule type="cellIs" dxfId="1" priority="1230" operator="equal">
      <formula>"Nuevo"</formula>
    </cfRule>
  </conditionalFormatting>
  <conditionalFormatting sqref="W637">
    <cfRule type="cellIs" dxfId="1" priority="1231" operator="equal">
      <formula>"Activa"</formula>
    </cfRule>
  </conditionalFormatting>
  <conditionalFormatting sqref="K638">
    <cfRule type="cellIs" dxfId="1" priority="1232" operator="equal">
      <formula>"$"</formula>
    </cfRule>
  </conditionalFormatting>
  <conditionalFormatting sqref="V638">
    <cfRule type="cellIs" dxfId="1" priority="1233" operator="equal">
      <formula>"Nuevo"</formula>
    </cfRule>
  </conditionalFormatting>
  <conditionalFormatting sqref="W638">
    <cfRule type="cellIs" dxfId="1" priority="1234" operator="equal">
      <formula>"Activa"</formula>
    </cfRule>
  </conditionalFormatting>
  <conditionalFormatting sqref="K639">
    <cfRule type="cellIs" dxfId="1" priority="1235" operator="equal">
      <formula>"$"</formula>
    </cfRule>
  </conditionalFormatting>
  <conditionalFormatting sqref="V639">
    <cfRule type="cellIs" dxfId="1" priority="1236" operator="equal">
      <formula>"Nuevo"</formula>
    </cfRule>
  </conditionalFormatting>
  <conditionalFormatting sqref="W639">
    <cfRule type="cellIs" dxfId="1" priority="1237" operator="equal">
      <formula>"Activa"</formula>
    </cfRule>
  </conditionalFormatting>
  <conditionalFormatting sqref="K652">
    <cfRule type="cellIs" dxfId="1" priority="1238" operator="equal">
      <formula>"$"</formula>
    </cfRule>
  </conditionalFormatting>
  <conditionalFormatting sqref="V652">
    <cfRule type="cellIs" dxfId="1" priority="1239" operator="equal">
      <formula>"Nuevo"</formula>
    </cfRule>
  </conditionalFormatting>
  <conditionalFormatting sqref="W652">
    <cfRule type="cellIs" dxfId="1" priority="1240" operator="equal">
      <formula>"Activa"</formula>
    </cfRule>
  </conditionalFormatting>
  <conditionalFormatting sqref="K659">
    <cfRule type="cellIs" dxfId="1" priority="1241" operator="equal">
      <formula>"$"</formula>
    </cfRule>
  </conditionalFormatting>
  <conditionalFormatting sqref="V659">
    <cfRule type="cellIs" dxfId="1" priority="1242" operator="equal">
      <formula>"Nuevo"</formula>
    </cfRule>
  </conditionalFormatting>
  <conditionalFormatting sqref="W659">
    <cfRule type="cellIs" dxfId="1" priority="1243" operator="equal">
      <formula>"Activa"</formula>
    </cfRule>
  </conditionalFormatting>
  <conditionalFormatting sqref="K672">
    <cfRule type="cellIs" dxfId="1" priority="1244" operator="equal">
      <formula>"$"</formula>
    </cfRule>
  </conditionalFormatting>
  <conditionalFormatting sqref="W672">
    <cfRule type="cellIs" dxfId="1" priority="1245" operator="equal">
      <formula>"Activa"</formula>
    </cfRule>
  </conditionalFormatting>
  <conditionalFormatting sqref="K673">
    <cfRule type="cellIs" dxfId="1" priority="1246" operator="equal">
      <formula>"$"</formula>
    </cfRule>
  </conditionalFormatting>
  <conditionalFormatting sqref="V673">
    <cfRule type="cellIs" dxfId="1" priority="1247" operator="equal">
      <formula>"Nuevo"</formula>
    </cfRule>
  </conditionalFormatting>
  <conditionalFormatting sqref="W673">
    <cfRule type="cellIs" dxfId="1" priority="1248" operator="equal">
      <formula>"Activa"</formula>
    </cfRule>
  </conditionalFormatting>
  <conditionalFormatting sqref="K674">
    <cfRule type="cellIs" dxfId="1" priority="1249" operator="equal">
      <formula>"$"</formula>
    </cfRule>
  </conditionalFormatting>
  <conditionalFormatting sqref="V674">
    <cfRule type="cellIs" dxfId="1" priority="1250" operator="equal">
      <formula>"Nuevo"</formula>
    </cfRule>
  </conditionalFormatting>
  <conditionalFormatting sqref="W674">
    <cfRule type="cellIs" dxfId="1" priority="1251" operator="equal">
      <formula>"Activa"</formula>
    </cfRule>
  </conditionalFormatting>
  <conditionalFormatting sqref="K675">
    <cfRule type="cellIs" dxfId="1" priority="1252" operator="equal">
      <formula>"$"</formula>
    </cfRule>
  </conditionalFormatting>
  <conditionalFormatting sqref="V675">
    <cfRule type="cellIs" dxfId="1" priority="1253" operator="equal">
      <formula>"Nuevo"</formula>
    </cfRule>
  </conditionalFormatting>
  <conditionalFormatting sqref="W675">
    <cfRule type="cellIs" dxfId="1" priority="1254" operator="equal">
      <formula>"Activa"</formula>
    </cfRule>
  </conditionalFormatting>
  <conditionalFormatting sqref="K680">
    <cfRule type="cellIs" dxfId="1" priority="1255" operator="equal">
      <formula>"$"</formula>
    </cfRule>
  </conditionalFormatting>
  <conditionalFormatting sqref="V680">
    <cfRule type="cellIs" dxfId="1" priority="1256" operator="equal">
      <formula>"Nuevo"</formula>
    </cfRule>
  </conditionalFormatting>
  <conditionalFormatting sqref="W680">
    <cfRule type="cellIs" dxfId="1" priority="1257" operator="equal">
      <formula>"Activa"</formula>
    </cfRule>
  </conditionalFormatting>
  <conditionalFormatting sqref="K685">
    <cfRule type="cellIs" dxfId="1" priority="1258" operator="equal">
      <formula>"$"</formula>
    </cfRule>
  </conditionalFormatting>
  <conditionalFormatting sqref="V685">
    <cfRule type="cellIs" dxfId="1" priority="1259" operator="equal">
      <formula>"Nuevo"</formula>
    </cfRule>
  </conditionalFormatting>
  <conditionalFormatting sqref="W685">
    <cfRule type="cellIs" dxfId="1" priority="1260" operator="equal">
      <formula>"Activa"</formula>
    </cfRule>
  </conditionalFormatting>
  <conditionalFormatting sqref="K686">
    <cfRule type="cellIs" dxfId="1" priority="1261" operator="equal">
      <formula>"$"</formula>
    </cfRule>
  </conditionalFormatting>
  <conditionalFormatting sqref="V686">
    <cfRule type="cellIs" dxfId="1" priority="1262" operator="equal">
      <formula>"Nuevo"</formula>
    </cfRule>
  </conditionalFormatting>
  <conditionalFormatting sqref="W686">
    <cfRule type="cellIs" dxfId="1" priority="1263" operator="equal">
      <formula>"Activa"</formula>
    </cfRule>
  </conditionalFormatting>
  <conditionalFormatting sqref="K687">
    <cfRule type="cellIs" dxfId="1" priority="1264" operator="equal">
      <formula>"$"</formula>
    </cfRule>
  </conditionalFormatting>
  <conditionalFormatting sqref="V687">
    <cfRule type="cellIs" dxfId="1" priority="1265" operator="equal">
      <formula>"Nuevo"</formula>
    </cfRule>
  </conditionalFormatting>
  <conditionalFormatting sqref="W687">
    <cfRule type="cellIs" dxfId="1" priority="1266" operator="equal">
      <formula>"Activa"</formula>
    </cfRule>
  </conditionalFormatting>
  <conditionalFormatting sqref="K700">
    <cfRule type="cellIs" dxfId="1" priority="1267" operator="equal">
      <formula>"$"</formula>
    </cfRule>
  </conditionalFormatting>
  <conditionalFormatting sqref="V700">
    <cfRule type="cellIs" dxfId="1" priority="1268" operator="equal">
      <formula>"Nuevo"</formula>
    </cfRule>
  </conditionalFormatting>
  <conditionalFormatting sqref="W700">
    <cfRule type="cellIs" dxfId="1" priority="1269" operator="equal">
      <formula>"Activa"</formula>
    </cfRule>
  </conditionalFormatting>
  <conditionalFormatting sqref="K711">
    <cfRule type="cellIs" dxfId="1" priority="1270" operator="equal">
      <formula>"$"</formula>
    </cfRule>
  </conditionalFormatting>
  <conditionalFormatting sqref="V711">
    <cfRule type="cellIs" dxfId="1" priority="1271" operator="equal">
      <formula>"Nuevo"</formula>
    </cfRule>
  </conditionalFormatting>
  <conditionalFormatting sqref="W711">
    <cfRule type="cellIs" dxfId="1" priority="1272" operator="equal">
      <formula>"Activa"</formula>
    </cfRule>
  </conditionalFormatting>
  <conditionalFormatting sqref="K712">
    <cfRule type="cellIs" dxfId="1" priority="1273" operator="equal">
      <formula>"$"</formula>
    </cfRule>
  </conditionalFormatting>
  <conditionalFormatting sqref="V712">
    <cfRule type="cellIs" dxfId="1" priority="1274" operator="equal">
      <formula>"Nuevo"</formula>
    </cfRule>
  </conditionalFormatting>
  <conditionalFormatting sqref="W712">
    <cfRule type="cellIs" dxfId="1" priority="1275" operator="equal">
      <formula>"Activa"</formula>
    </cfRule>
  </conditionalFormatting>
  <conditionalFormatting sqref="K713">
    <cfRule type="cellIs" dxfId="1" priority="1276" operator="equal">
      <formula>"$"</formula>
    </cfRule>
  </conditionalFormatting>
  <conditionalFormatting sqref="V713">
    <cfRule type="cellIs" dxfId="1" priority="1277" operator="equal">
      <formula>"Nuevo"</formula>
    </cfRule>
  </conditionalFormatting>
  <conditionalFormatting sqref="W713">
    <cfRule type="cellIs" dxfId="1" priority="1278" operator="equal">
      <formula>"Activa"</formula>
    </cfRule>
  </conditionalFormatting>
  <conditionalFormatting sqref="K714">
    <cfRule type="cellIs" dxfId="1" priority="1279" operator="equal">
      <formula>"$"</formula>
    </cfRule>
  </conditionalFormatting>
  <conditionalFormatting sqref="V714">
    <cfRule type="cellIs" dxfId="1" priority="1280" operator="equal">
      <formula>"Nuevo"</formula>
    </cfRule>
  </conditionalFormatting>
  <conditionalFormatting sqref="W714">
    <cfRule type="cellIs" dxfId="1" priority="1281" operator="equal">
      <formula>"Activa"</formula>
    </cfRule>
  </conditionalFormatting>
  <conditionalFormatting sqref="K715">
    <cfRule type="cellIs" dxfId="1" priority="1282" operator="equal">
      <formula>"$"</formula>
    </cfRule>
  </conditionalFormatting>
  <conditionalFormatting sqref="V715">
    <cfRule type="cellIs" dxfId="1" priority="1283" operator="equal">
      <formula>"Nuevo"</formula>
    </cfRule>
  </conditionalFormatting>
  <conditionalFormatting sqref="W715">
    <cfRule type="cellIs" dxfId="1" priority="1284" operator="equal">
      <formula>"Activa"</formula>
    </cfRule>
  </conditionalFormatting>
  <conditionalFormatting sqref="K716">
    <cfRule type="cellIs" dxfId="1" priority="1285" operator="equal">
      <formula>"$"</formula>
    </cfRule>
  </conditionalFormatting>
  <conditionalFormatting sqref="V716">
    <cfRule type="cellIs" dxfId="1" priority="1286" operator="equal">
      <formula>"Nuevo"</formula>
    </cfRule>
  </conditionalFormatting>
  <conditionalFormatting sqref="W716">
    <cfRule type="cellIs" dxfId="1" priority="1287" operator="equal">
      <formula>"Activa"</formula>
    </cfRule>
  </conditionalFormatting>
  <conditionalFormatting sqref="K717">
    <cfRule type="cellIs" dxfId="1" priority="1288" operator="equal">
      <formula>"$"</formula>
    </cfRule>
  </conditionalFormatting>
  <conditionalFormatting sqref="V717">
    <cfRule type="cellIs" dxfId="1" priority="1289" operator="equal">
      <formula>"Nuevo"</formula>
    </cfRule>
  </conditionalFormatting>
  <conditionalFormatting sqref="W717">
    <cfRule type="cellIs" dxfId="1" priority="1290" operator="equal">
      <formula>"Activa"</formula>
    </cfRule>
  </conditionalFormatting>
  <conditionalFormatting sqref="K722">
    <cfRule type="cellIs" dxfId="1" priority="1291" operator="equal">
      <formula>"$"</formula>
    </cfRule>
  </conditionalFormatting>
  <conditionalFormatting sqref="V722">
    <cfRule type="cellIs" dxfId="1" priority="1292" operator="equal">
      <formula>"Nuevo"</formula>
    </cfRule>
  </conditionalFormatting>
  <conditionalFormatting sqref="W722">
    <cfRule type="cellIs" dxfId="1" priority="1293" operator="equal">
      <formula>"Activa"</formula>
    </cfRule>
  </conditionalFormatting>
  <conditionalFormatting sqref="K723">
    <cfRule type="cellIs" dxfId="1" priority="1294" operator="equal">
      <formula>"$"</formula>
    </cfRule>
  </conditionalFormatting>
  <conditionalFormatting sqref="V723">
    <cfRule type="cellIs" dxfId="1" priority="1295" operator="equal">
      <formula>"Nuevo"</formula>
    </cfRule>
  </conditionalFormatting>
  <conditionalFormatting sqref="W723">
    <cfRule type="cellIs" dxfId="1" priority="1296" operator="equal">
      <formula>"Activa"</formula>
    </cfRule>
  </conditionalFormatting>
  <conditionalFormatting sqref="K730">
    <cfRule type="cellIs" dxfId="1" priority="1297" operator="equal">
      <formula>"$"</formula>
    </cfRule>
  </conditionalFormatting>
  <conditionalFormatting sqref="V730">
    <cfRule type="cellIs" dxfId="1" priority="1298" operator="equal">
      <formula>"Nuevo"</formula>
    </cfRule>
  </conditionalFormatting>
  <conditionalFormatting sqref="W730">
    <cfRule type="cellIs" dxfId="1" priority="1299" operator="equal">
      <formula>"Activa"</formula>
    </cfRule>
  </conditionalFormatting>
  <conditionalFormatting sqref="K731">
    <cfRule type="cellIs" dxfId="1" priority="1300" operator="equal">
      <formula>"$"</formula>
    </cfRule>
  </conditionalFormatting>
  <conditionalFormatting sqref="V731">
    <cfRule type="cellIs" dxfId="1" priority="1301" operator="equal">
      <formula>"Nuevo"</formula>
    </cfRule>
  </conditionalFormatting>
  <conditionalFormatting sqref="W731">
    <cfRule type="cellIs" dxfId="1" priority="1302" operator="equal">
      <formula>"Activa"</formula>
    </cfRule>
  </conditionalFormatting>
  <conditionalFormatting sqref="K732">
    <cfRule type="cellIs" dxfId="1" priority="1303" operator="equal">
      <formula>"$"</formula>
    </cfRule>
  </conditionalFormatting>
  <conditionalFormatting sqref="V732">
    <cfRule type="cellIs" dxfId="1" priority="1304" operator="equal">
      <formula>"Nuevo"</formula>
    </cfRule>
  </conditionalFormatting>
  <conditionalFormatting sqref="W732">
    <cfRule type="cellIs" dxfId="1" priority="1305" operator="equal">
      <formula>"Activa"</formula>
    </cfRule>
  </conditionalFormatting>
  <conditionalFormatting sqref="K733">
    <cfRule type="cellIs" dxfId="1" priority="1306" operator="equal">
      <formula>"$"</formula>
    </cfRule>
  </conditionalFormatting>
  <conditionalFormatting sqref="V733">
    <cfRule type="cellIs" dxfId="1" priority="1307" operator="equal">
      <formula>"Nuevo"</formula>
    </cfRule>
  </conditionalFormatting>
  <conditionalFormatting sqref="W733">
    <cfRule type="cellIs" dxfId="1" priority="1308" operator="equal">
      <formula>"Activa"</formula>
    </cfRule>
  </conditionalFormatting>
  <conditionalFormatting sqref="K734">
    <cfRule type="cellIs" dxfId="1" priority="1309" operator="equal">
      <formula>"$"</formula>
    </cfRule>
  </conditionalFormatting>
  <conditionalFormatting sqref="V734">
    <cfRule type="cellIs" dxfId="1" priority="1310" operator="equal">
      <formula>"Nuevo"</formula>
    </cfRule>
  </conditionalFormatting>
  <conditionalFormatting sqref="W734">
    <cfRule type="cellIs" dxfId="1" priority="1311" operator="equal">
      <formula>"Activa"</formula>
    </cfRule>
  </conditionalFormatting>
  <conditionalFormatting sqref="K735">
    <cfRule type="cellIs" dxfId="1" priority="1312" operator="equal">
      <formula>"$"</formula>
    </cfRule>
  </conditionalFormatting>
  <conditionalFormatting sqref="V735">
    <cfRule type="cellIs" dxfId="1" priority="1313" operator="equal">
      <formula>"Nuevo"</formula>
    </cfRule>
  </conditionalFormatting>
  <conditionalFormatting sqref="W735">
    <cfRule type="cellIs" dxfId="1" priority="1314" operator="equal">
      <formula>"Activa"</formula>
    </cfRule>
  </conditionalFormatting>
  <conditionalFormatting sqref="K736">
    <cfRule type="cellIs" dxfId="1" priority="1315" operator="equal">
      <formula>"$"</formula>
    </cfRule>
  </conditionalFormatting>
  <conditionalFormatting sqref="V736">
    <cfRule type="cellIs" dxfId="1" priority="1316" operator="equal">
      <formula>"Nuevo"</formula>
    </cfRule>
  </conditionalFormatting>
  <conditionalFormatting sqref="W736">
    <cfRule type="cellIs" dxfId="1" priority="1317" operator="equal">
      <formula>"Activa"</formula>
    </cfRule>
  </conditionalFormatting>
  <conditionalFormatting sqref="K737">
    <cfRule type="cellIs" dxfId="1" priority="1318" operator="equal">
      <formula>"$"</formula>
    </cfRule>
  </conditionalFormatting>
  <conditionalFormatting sqref="V737">
    <cfRule type="cellIs" dxfId="1" priority="1319" operator="equal">
      <formula>"Nuevo"</formula>
    </cfRule>
  </conditionalFormatting>
  <conditionalFormatting sqref="W737">
    <cfRule type="cellIs" dxfId="1" priority="1320" operator="equal">
      <formula>"Activa"</formula>
    </cfRule>
  </conditionalFormatting>
  <conditionalFormatting sqref="K738">
    <cfRule type="cellIs" dxfId="1" priority="1321" operator="equal">
      <formula>"$"</formula>
    </cfRule>
  </conditionalFormatting>
  <conditionalFormatting sqref="V738">
    <cfRule type="cellIs" dxfId="1" priority="1322" operator="equal">
      <formula>"Nuevo"</formula>
    </cfRule>
  </conditionalFormatting>
  <conditionalFormatting sqref="W738">
    <cfRule type="cellIs" dxfId="1" priority="1323" operator="equal">
      <formula>"Activa"</formula>
    </cfRule>
  </conditionalFormatting>
  <conditionalFormatting sqref="K739">
    <cfRule type="cellIs" dxfId="1" priority="1324" operator="equal">
      <formula>"$"</formula>
    </cfRule>
  </conditionalFormatting>
  <conditionalFormatting sqref="V739">
    <cfRule type="cellIs" dxfId="1" priority="1325" operator="equal">
      <formula>"Nuevo"</formula>
    </cfRule>
  </conditionalFormatting>
  <conditionalFormatting sqref="W739">
    <cfRule type="cellIs" dxfId="1" priority="1326" operator="equal">
      <formula>"Activa"</formula>
    </cfRule>
  </conditionalFormatting>
  <conditionalFormatting sqref="K744">
    <cfRule type="cellIs" dxfId="1" priority="1327" operator="equal">
      <formula>"$"</formula>
    </cfRule>
  </conditionalFormatting>
  <conditionalFormatting sqref="V744">
    <cfRule type="cellIs" dxfId="1" priority="1328" operator="equal">
      <formula>"Nuevo"</formula>
    </cfRule>
  </conditionalFormatting>
  <conditionalFormatting sqref="W744">
    <cfRule type="cellIs" dxfId="1" priority="1329" operator="equal">
      <formula>"Activa"</formula>
    </cfRule>
  </conditionalFormatting>
  <conditionalFormatting sqref="K745">
    <cfRule type="cellIs" dxfId="1" priority="1330" operator="equal">
      <formula>"$"</formula>
    </cfRule>
  </conditionalFormatting>
  <conditionalFormatting sqref="V745">
    <cfRule type="cellIs" dxfId="1" priority="1331" operator="equal">
      <formula>"Nuevo"</formula>
    </cfRule>
  </conditionalFormatting>
  <conditionalFormatting sqref="W745">
    <cfRule type="cellIs" dxfId="1" priority="1332" operator="equal">
      <formula>"Activa"</formula>
    </cfRule>
  </conditionalFormatting>
  <conditionalFormatting sqref="K746">
    <cfRule type="cellIs" dxfId="1" priority="1333" operator="equal">
      <formula>"$"</formula>
    </cfRule>
  </conditionalFormatting>
  <conditionalFormatting sqref="V746">
    <cfRule type="cellIs" dxfId="1" priority="1334" operator="equal">
      <formula>"Nuevo"</formula>
    </cfRule>
  </conditionalFormatting>
  <conditionalFormatting sqref="W746">
    <cfRule type="cellIs" dxfId="1" priority="1335" operator="equal">
      <formula>"Activa"</formula>
    </cfRule>
  </conditionalFormatting>
  <conditionalFormatting sqref="K747">
    <cfRule type="cellIs" dxfId="1" priority="1336" operator="equal">
      <formula>"$"</formula>
    </cfRule>
  </conditionalFormatting>
  <conditionalFormatting sqref="V747">
    <cfRule type="cellIs" dxfId="1" priority="1337" operator="equal">
      <formula>"Nuevo"</formula>
    </cfRule>
  </conditionalFormatting>
  <conditionalFormatting sqref="W747">
    <cfRule type="cellIs" dxfId="1" priority="1338" operator="equal">
      <formula>"Activa"</formula>
    </cfRule>
  </conditionalFormatting>
  <conditionalFormatting sqref="K748">
    <cfRule type="cellIs" dxfId="1" priority="1339" operator="equal">
      <formula>"$"</formula>
    </cfRule>
  </conditionalFormatting>
  <conditionalFormatting sqref="V748">
    <cfRule type="cellIs" dxfId="1" priority="1340" operator="equal">
      <formula>"Nuevo"</formula>
    </cfRule>
  </conditionalFormatting>
  <conditionalFormatting sqref="W748">
    <cfRule type="cellIs" dxfId="1" priority="1341" operator="equal">
      <formula>"Activa"</formula>
    </cfRule>
  </conditionalFormatting>
  <conditionalFormatting sqref="K749">
    <cfRule type="cellIs" dxfId="1" priority="1342" operator="equal">
      <formula>"$"</formula>
    </cfRule>
  </conditionalFormatting>
  <conditionalFormatting sqref="V749">
    <cfRule type="cellIs" dxfId="1" priority="1343" operator="equal">
      <formula>"Nuevo"</formula>
    </cfRule>
  </conditionalFormatting>
  <conditionalFormatting sqref="W749">
    <cfRule type="cellIs" dxfId="1" priority="1344" operator="equal">
      <formula>"Activa"</formula>
    </cfRule>
  </conditionalFormatting>
  <conditionalFormatting sqref="K750">
    <cfRule type="cellIs" dxfId="1" priority="1345" operator="equal">
      <formula>"$"</formula>
    </cfRule>
  </conditionalFormatting>
  <conditionalFormatting sqref="V750">
    <cfRule type="cellIs" dxfId="1" priority="1346" operator="equal">
      <formula>"Nuevo"</formula>
    </cfRule>
  </conditionalFormatting>
  <conditionalFormatting sqref="W750">
    <cfRule type="cellIs" dxfId="1" priority="1347" operator="equal">
      <formula>"Activa"</formula>
    </cfRule>
  </conditionalFormatting>
  <conditionalFormatting sqref="K751">
    <cfRule type="cellIs" dxfId="1" priority="1348" operator="equal">
      <formula>"$"</formula>
    </cfRule>
  </conditionalFormatting>
  <conditionalFormatting sqref="V751">
    <cfRule type="cellIs" dxfId="1" priority="1349" operator="equal">
      <formula>"Nuevo"</formula>
    </cfRule>
  </conditionalFormatting>
  <conditionalFormatting sqref="W751">
    <cfRule type="cellIs" dxfId="1" priority="1350" operator="equal">
      <formula>"Activa"</formula>
    </cfRule>
  </conditionalFormatting>
  <conditionalFormatting sqref="K752">
    <cfRule type="cellIs" dxfId="1" priority="1351" operator="equal">
      <formula>"$"</formula>
    </cfRule>
  </conditionalFormatting>
  <conditionalFormatting sqref="V752">
    <cfRule type="cellIs" dxfId="1" priority="1352" operator="equal">
      <formula>"Nuevo"</formula>
    </cfRule>
  </conditionalFormatting>
  <conditionalFormatting sqref="W752">
    <cfRule type="cellIs" dxfId="1" priority="1353" operator="equal">
      <formula>"Activa"</formula>
    </cfRule>
  </conditionalFormatting>
  <conditionalFormatting sqref="K753">
    <cfRule type="cellIs" dxfId="1" priority="1354" operator="equal">
      <formula>"$"</formula>
    </cfRule>
  </conditionalFormatting>
  <conditionalFormatting sqref="V753">
    <cfRule type="cellIs" dxfId="1" priority="1355" operator="equal">
      <formula>"Nuevo"</formula>
    </cfRule>
  </conditionalFormatting>
  <conditionalFormatting sqref="W753">
    <cfRule type="cellIs" dxfId="1" priority="1356" operator="equal">
      <formula>"Activa"</formula>
    </cfRule>
  </conditionalFormatting>
  <conditionalFormatting sqref="K754">
    <cfRule type="cellIs" dxfId="1" priority="1357" operator="equal">
      <formula>"$"</formula>
    </cfRule>
  </conditionalFormatting>
  <conditionalFormatting sqref="V754">
    <cfRule type="cellIs" dxfId="1" priority="1358" operator="equal">
      <formula>"Nuevo"</formula>
    </cfRule>
  </conditionalFormatting>
  <conditionalFormatting sqref="W754">
    <cfRule type="cellIs" dxfId="1" priority="1359" operator="equal">
      <formula>"Activa"</formula>
    </cfRule>
  </conditionalFormatting>
  <conditionalFormatting sqref="K755">
    <cfRule type="cellIs" dxfId="1" priority="1360" operator="equal">
      <formula>"$"</formula>
    </cfRule>
  </conditionalFormatting>
  <conditionalFormatting sqref="V755">
    <cfRule type="cellIs" dxfId="1" priority="1361" operator="equal">
      <formula>"Nuevo"</formula>
    </cfRule>
  </conditionalFormatting>
  <conditionalFormatting sqref="W755">
    <cfRule type="cellIs" dxfId="1" priority="1362" operator="equal">
      <formula>"Activa"</formula>
    </cfRule>
  </conditionalFormatting>
  <conditionalFormatting sqref="K756">
    <cfRule type="cellIs" dxfId="1" priority="1363" operator="equal">
      <formula>"$"</formula>
    </cfRule>
  </conditionalFormatting>
  <conditionalFormatting sqref="V756">
    <cfRule type="cellIs" dxfId="1" priority="1364" operator="equal">
      <formula>"Nuevo"</formula>
    </cfRule>
  </conditionalFormatting>
  <conditionalFormatting sqref="W756">
    <cfRule type="cellIs" dxfId="1" priority="1365" operator="equal">
      <formula>"Activa"</formula>
    </cfRule>
  </conditionalFormatting>
  <conditionalFormatting sqref="K757">
    <cfRule type="cellIs" dxfId="1" priority="1366" operator="equal">
      <formula>"$"</formula>
    </cfRule>
  </conditionalFormatting>
  <conditionalFormatting sqref="V757">
    <cfRule type="cellIs" dxfId="1" priority="1367" operator="equal">
      <formula>"Nuevo"</formula>
    </cfRule>
  </conditionalFormatting>
  <conditionalFormatting sqref="W757">
    <cfRule type="cellIs" dxfId="1" priority="1368" operator="equal">
      <formula>"Activa"</formula>
    </cfRule>
  </conditionalFormatting>
  <conditionalFormatting sqref="K758">
    <cfRule type="cellIs" dxfId="1" priority="1369" operator="equal">
      <formula>"$"</formula>
    </cfRule>
  </conditionalFormatting>
  <conditionalFormatting sqref="V758">
    <cfRule type="cellIs" dxfId="1" priority="1370" operator="equal">
      <formula>"Nuevo"</formula>
    </cfRule>
  </conditionalFormatting>
  <conditionalFormatting sqref="W758">
    <cfRule type="cellIs" dxfId="1" priority="1371" operator="equal">
      <formula>"Activa"</formula>
    </cfRule>
  </conditionalFormatting>
  <conditionalFormatting sqref="K759">
    <cfRule type="cellIs" dxfId="1" priority="1372" operator="equal">
      <formula>"$"</formula>
    </cfRule>
  </conditionalFormatting>
  <conditionalFormatting sqref="V759">
    <cfRule type="cellIs" dxfId="1" priority="1373" operator="equal">
      <formula>"Nuevo"</formula>
    </cfRule>
  </conditionalFormatting>
  <conditionalFormatting sqref="W759">
    <cfRule type="cellIs" dxfId="1" priority="1374" operator="equal">
      <formula>"Activa"</formula>
    </cfRule>
  </conditionalFormatting>
  <conditionalFormatting sqref="K772">
    <cfRule type="cellIs" dxfId="1" priority="1375" operator="equal">
      <formula>"$"</formula>
    </cfRule>
  </conditionalFormatting>
  <conditionalFormatting sqref="V772">
    <cfRule type="cellIs" dxfId="1" priority="1376" operator="equal">
      <formula>"Nuevo"</formula>
    </cfRule>
  </conditionalFormatting>
  <conditionalFormatting sqref="W772">
    <cfRule type="cellIs" dxfId="1" priority="1377" operator="equal">
      <formula>"Activa"</formula>
    </cfRule>
  </conditionalFormatting>
  <conditionalFormatting sqref="K777">
    <cfRule type="cellIs" dxfId="1" priority="1378" operator="equal">
      <formula>"$"</formula>
    </cfRule>
  </conditionalFormatting>
  <conditionalFormatting sqref="V777">
    <cfRule type="cellIs" dxfId="1" priority="1379" operator="equal">
      <formula>"Nuevo"</formula>
    </cfRule>
  </conditionalFormatting>
  <conditionalFormatting sqref="W777">
    <cfRule type="cellIs" dxfId="1" priority="1380" operator="equal">
      <formula>"Activa"</formula>
    </cfRule>
  </conditionalFormatting>
  <conditionalFormatting sqref="K782">
    <cfRule type="cellIs" dxfId="1" priority="1381" operator="equal">
      <formula>"$"</formula>
    </cfRule>
  </conditionalFormatting>
  <conditionalFormatting sqref="V782">
    <cfRule type="cellIs" dxfId="1" priority="1382" operator="equal">
      <formula>"Nuevo"</formula>
    </cfRule>
  </conditionalFormatting>
  <conditionalFormatting sqref="W782">
    <cfRule type="cellIs" dxfId="1" priority="1383" operator="equal">
      <formula>"Activa"</formula>
    </cfRule>
  </conditionalFormatting>
  <conditionalFormatting sqref="K787">
    <cfRule type="cellIs" dxfId="1" priority="1384" operator="equal">
      <formula>"$"</formula>
    </cfRule>
  </conditionalFormatting>
  <conditionalFormatting sqref="V787">
    <cfRule type="cellIs" dxfId="1" priority="1385" operator="equal">
      <formula>"Nuevo"</formula>
    </cfRule>
  </conditionalFormatting>
  <conditionalFormatting sqref="W787">
    <cfRule type="cellIs" dxfId="1" priority="1386" operator="equal">
      <formula>"Activa"</formula>
    </cfRule>
  </conditionalFormatting>
  <conditionalFormatting sqref="K791">
    <cfRule type="cellIs" dxfId="1" priority="1387" operator="equal">
      <formula>"$"</formula>
    </cfRule>
  </conditionalFormatting>
  <conditionalFormatting sqref="V791">
    <cfRule type="cellIs" dxfId="1" priority="1388" operator="equal">
      <formula>"Nuevo"</formula>
    </cfRule>
  </conditionalFormatting>
  <conditionalFormatting sqref="W791">
    <cfRule type="cellIs" dxfId="1" priority="1389" operator="equal">
      <formula>"Activa"</formula>
    </cfRule>
  </conditionalFormatting>
  <conditionalFormatting sqref="K792">
    <cfRule type="cellIs" dxfId="1" priority="1390" operator="equal">
      <formula>"$"</formula>
    </cfRule>
  </conditionalFormatting>
  <conditionalFormatting sqref="V792">
    <cfRule type="cellIs" dxfId="1" priority="1391" operator="equal">
      <formula>"Nuevo"</formula>
    </cfRule>
  </conditionalFormatting>
  <conditionalFormatting sqref="W792">
    <cfRule type="cellIs" dxfId="1" priority="1392" operator="equal">
      <formula>"Activa"</formula>
    </cfRule>
  </conditionalFormatting>
  <conditionalFormatting sqref="K793">
    <cfRule type="cellIs" dxfId="1" priority="1393" operator="equal">
      <formula>"$"</formula>
    </cfRule>
  </conditionalFormatting>
  <conditionalFormatting sqref="V793">
    <cfRule type="cellIs" dxfId="1" priority="1394" operator="equal">
      <formula>"Nuevo"</formula>
    </cfRule>
  </conditionalFormatting>
  <conditionalFormatting sqref="W793">
    <cfRule type="cellIs" dxfId="1" priority="1395" operator="equal">
      <formula>"Activa"</formula>
    </cfRule>
  </conditionalFormatting>
  <conditionalFormatting sqref="K794">
    <cfRule type="cellIs" dxfId="1" priority="1396" operator="equal">
      <formula>"$"</formula>
    </cfRule>
  </conditionalFormatting>
  <conditionalFormatting sqref="V794">
    <cfRule type="cellIs" dxfId="1" priority="1397" operator="equal">
      <formula>"Nuevo"</formula>
    </cfRule>
  </conditionalFormatting>
  <conditionalFormatting sqref="W794">
    <cfRule type="cellIs" dxfId="1" priority="1398" operator="equal">
      <formula>"Activa"</formula>
    </cfRule>
  </conditionalFormatting>
  <conditionalFormatting sqref="K795">
    <cfRule type="cellIs" dxfId="1" priority="1399" operator="equal">
      <formula>"$"</formula>
    </cfRule>
  </conditionalFormatting>
  <conditionalFormatting sqref="V795">
    <cfRule type="cellIs" dxfId="1" priority="1400" operator="equal">
      <formula>"Nuevo"</formula>
    </cfRule>
  </conditionalFormatting>
  <conditionalFormatting sqref="W795">
    <cfRule type="cellIs" dxfId="1" priority="1401" operator="equal">
      <formula>"Activa"</formula>
    </cfRule>
  </conditionalFormatting>
  <conditionalFormatting sqref="K798">
    <cfRule type="cellIs" dxfId="1" priority="1402" operator="equal">
      <formula>"$"</formula>
    </cfRule>
  </conditionalFormatting>
  <conditionalFormatting sqref="V798">
    <cfRule type="cellIs" dxfId="1" priority="1403" operator="equal">
      <formula>"Nuevo"</formula>
    </cfRule>
  </conditionalFormatting>
  <conditionalFormatting sqref="W798">
    <cfRule type="cellIs" dxfId="1" priority="1404" operator="equal">
      <formula>"Activa"</formula>
    </cfRule>
  </conditionalFormatting>
  <conditionalFormatting sqref="K802">
    <cfRule type="cellIs" dxfId="1" priority="1405" operator="equal">
      <formula>"$"</formula>
    </cfRule>
  </conditionalFormatting>
  <conditionalFormatting sqref="V802">
    <cfRule type="cellIs" dxfId="1" priority="1406" operator="equal">
      <formula>"Nuevo"</formula>
    </cfRule>
  </conditionalFormatting>
  <conditionalFormatting sqref="W802">
    <cfRule type="cellIs" dxfId="1" priority="1407" operator="equal">
      <formula>"Activa"</formula>
    </cfRule>
  </conditionalFormatting>
  <conditionalFormatting sqref="K813">
    <cfRule type="cellIs" dxfId="1" priority="1408" operator="equal">
      <formula>"$"</formula>
    </cfRule>
  </conditionalFormatting>
  <conditionalFormatting sqref="V813">
    <cfRule type="cellIs" dxfId="1" priority="1409" operator="equal">
      <formula>"Nuevo"</formula>
    </cfRule>
  </conditionalFormatting>
  <conditionalFormatting sqref="W813">
    <cfRule type="cellIs" dxfId="1" priority="1410" operator="equal">
      <formula>"Activa"</formula>
    </cfRule>
  </conditionalFormatting>
  <conditionalFormatting sqref="K814">
    <cfRule type="cellIs" dxfId="1" priority="1411" operator="equal">
      <formula>"$"</formula>
    </cfRule>
  </conditionalFormatting>
  <conditionalFormatting sqref="V814">
    <cfRule type="cellIs" dxfId="1" priority="1412" operator="equal">
      <formula>"Nuevo"</formula>
    </cfRule>
  </conditionalFormatting>
  <conditionalFormatting sqref="W814">
    <cfRule type="cellIs" dxfId="1" priority="1413" operator="equal">
      <formula>"Activa"</formula>
    </cfRule>
  </conditionalFormatting>
  <conditionalFormatting sqref="K815">
    <cfRule type="cellIs" dxfId="1" priority="1414" operator="equal">
      <formula>"$"</formula>
    </cfRule>
  </conditionalFormatting>
  <conditionalFormatting sqref="V815">
    <cfRule type="cellIs" dxfId="1" priority="1415" operator="equal">
      <formula>"Nuevo"</formula>
    </cfRule>
  </conditionalFormatting>
  <conditionalFormatting sqref="W815">
    <cfRule type="cellIs" dxfId="1" priority="1416" operator="equal">
      <formula>"Activa"</formula>
    </cfRule>
  </conditionalFormatting>
  <conditionalFormatting sqref="K816">
    <cfRule type="cellIs" dxfId="1" priority="1417" operator="equal">
      <formula>"$"</formula>
    </cfRule>
  </conditionalFormatting>
  <conditionalFormatting sqref="V816">
    <cfRule type="cellIs" dxfId="1" priority="1418" operator="equal">
      <formula>"Nuevo"</formula>
    </cfRule>
  </conditionalFormatting>
  <conditionalFormatting sqref="W816">
    <cfRule type="cellIs" dxfId="1" priority="1419" operator="equal">
      <formula>"Activa"</formula>
    </cfRule>
  </conditionalFormatting>
  <conditionalFormatting sqref="K817">
    <cfRule type="cellIs" dxfId="1" priority="1420" operator="equal">
      <formula>"$"</formula>
    </cfRule>
  </conditionalFormatting>
  <conditionalFormatting sqref="V817">
    <cfRule type="cellIs" dxfId="1" priority="1421" operator="equal">
      <formula>"Nuevo"</formula>
    </cfRule>
  </conditionalFormatting>
  <conditionalFormatting sqref="W817">
    <cfRule type="cellIs" dxfId="1" priority="1422" operator="equal">
      <formula>"Activa"</formula>
    </cfRule>
  </conditionalFormatting>
  <conditionalFormatting sqref="K818">
    <cfRule type="cellIs" dxfId="1" priority="1423" operator="equal">
      <formula>"$"</formula>
    </cfRule>
  </conditionalFormatting>
  <conditionalFormatting sqref="V818">
    <cfRule type="cellIs" dxfId="1" priority="1424" operator="equal">
      <formula>"Nuevo"</formula>
    </cfRule>
  </conditionalFormatting>
  <conditionalFormatting sqref="W818">
    <cfRule type="cellIs" dxfId="1" priority="1425" operator="equal">
      <formula>"Activa"</formula>
    </cfRule>
  </conditionalFormatting>
  <conditionalFormatting sqref="K819">
    <cfRule type="cellIs" dxfId="1" priority="1426" operator="equal">
      <formula>"$"</formula>
    </cfRule>
  </conditionalFormatting>
  <conditionalFormatting sqref="V819">
    <cfRule type="cellIs" dxfId="1" priority="1427" operator="equal">
      <formula>"Nuevo"</formula>
    </cfRule>
  </conditionalFormatting>
  <conditionalFormatting sqref="W819">
    <cfRule type="cellIs" dxfId="1" priority="1428" operator="equal">
      <formula>"Activa"</formula>
    </cfRule>
  </conditionalFormatting>
  <conditionalFormatting sqref="K820">
    <cfRule type="cellIs" dxfId="1" priority="1429" operator="equal">
      <formula>"$"</formula>
    </cfRule>
  </conditionalFormatting>
  <conditionalFormatting sqref="V820">
    <cfRule type="cellIs" dxfId="1" priority="1430" operator="equal">
      <formula>"Nuevo"</formula>
    </cfRule>
  </conditionalFormatting>
  <conditionalFormatting sqref="W820">
    <cfRule type="cellIs" dxfId="1" priority="1431" operator="equal">
      <formula>"Activa"</formula>
    </cfRule>
  </conditionalFormatting>
  <conditionalFormatting sqref="K821">
    <cfRule type="cellIs" dxfId="1" priority="1432" operator="equal">
      <formula>"$"</formula>
    </cfRule>
  </conditionalFormatting>
  <conditionalFormatting sqref="V821">
    <cfRule type="cellIs" dxfId="1" priority="1433" operator="equal">
      <formula>"Nuevo"</formula>
    </cfRule>
  </conditionalFormatting>
  <conditionalFormatting sqref="W821">
    <cfRule type="cellIs" dxfId="1" priority="1434" operator="equal">
      <formula>"Activa"</formula>
    </cfRule>
  </conditionalFormatting>
  <conditionalFormatting sqref="K822">
    <cfRule type="cellIs" dxfId="1" priority="1435" operator="equal">
      <formula>"$"</formula>
    </cfRule>
  </conditionalFormatting>
  <conditionalFormatting sqref="V822">
    <cfRule type="cellIs" dxfId="1" priority="1436" operator="equal">
      <formula>"Nuevo"</formula>
    </cfRule>
  </conditionalFormatting>
  <conditionalFormatting sqref="W822">
    <cfRule type="cellIs" dxfId="1" priority="1437" operator="equal">
      <formula>"Activa"</formula>
    </cfRule>
  </conditionalFormatting>
  <conditionalFormatting sqref="K823">
    <cfRule type="cellIs" dxfId="1" priority="1438" operator="equal">
      <formula>"$"</formula>
    </cfRule>
  </conditionalFormatting>
  <conditionalFormatting sqref="V823">
    <cfRule type="cellIs" dxfId="1" priority="1439" operator="equal">
      <formula>"Nuevo"</formula>
    </cfRule>
  </conditionalFormatting>
  <conditionalFormatting sqref="W823">
    <cfRule type="cellIs" dxfId="1" priority="1440" operator="equal">
      <formula>"Activa"</formula>
    </cfRule>
  </conditionalFormatting>
  <conditionalFormatting sqref="K824">
    <cfRule type="cellIs" dxfId="1" priority="1441" operator="equal">
      <formula>"$"</formula>
    </cfRule>
  </conditionalFormatting>
  <conditionalFormatting sqref="V824">
    <cfRule type="cellIs" dxfId="1" priority="1442" operator="equal">
      <formula>"Nuevo"</formula>
    </cfRule>
  </conditionalFormatting>
  <conditionalFormatting sqref="W824">
    <cfRule type="cellIs" dxfId="1" priority="1443" operator="equal">
      <formula>"Activa"</formula>
    </cfRule>
  </conditionalFormatting>
  <conditionalFormatting sqref="K825">
    <cfRule type="cellIs" dxfId="1" priority="1444" operator="equal">
      <formula>"$"</formula>
    </cfRule>
  </conditionalFormatting>
  <conditionalFormatting sqref="V825">
    <cfRule type="cellIs" dxfId="1" priority="1445" operator="equal">
      <formula>"Nuevo"</formula>
    </cfRule>
  </conditionalFormatting>
  <conditionalFormatting sqref="W825">
    <cfRule type="cellIs" dxfId="1" priority="1446" operator="equal">
      <formula>"Activa"</formula>
    </cfRule>
  </conditionalFormatting>
  <conditionalFormatting sqref="K826">
    <cfRule type="cellIs" dxfId="1" priority="1447" operator="equal">
      <formula>"$"</formula>
    </cfRule>
  </conditionalFormatting>
  <conditionalFormatting sqref="V826">
    <cfRule type="cellIs" dxfId="1" priority="1448" operator="equal">
      <formula>"Nuevo"</formula>
    </cfRule>
  </conditionalFormatting>
  <conditionalFormatting sqref="W826">
    <cfRule type="cellIs" dxfId="1" priority="1449" operator="equal">
      <formula>"Activa"</formula>
    </cfRule>
  </conditionalFormatting>
  <conditionalFormatting sqref="K827">
    <cfRule type="cellIs" dxfId="1" priority="1450" operator="equal">
      <formula>"$"</formula>
    </cfRule>
  </conditionalFormatting>
  <conditionalFormatting sqref="V827">
    <cfRule type="cellIs" dxfId="1" priority="1451" operator="equal">
      <formula>"Nuevo"</formula>
    </cfRule>
  </conditionalFormatting>
  <conditionalFormatting sqref="W827">
    <cfRule type="cellIs" dxfId="1" priority="1452" operator="equal">
      <formula>"Activa"</formula>
    </cfRule>
  </conditionalFormatting>
  <conditionalFormatting sqref="K828">
    <cfRule type="cellIs" dxfId="1" priority="1453" operator="equal">
      <formula>"$"</formula>
    </cfRule>
  </conditionalFormatting>
  <conditionalFormatting sqref="V828">
    <cfRule type="cellIs" dxfId="1" priority="1454" operator="equal">
      <formula>"Nuevo"</formula>
    </cfRule>
  </conditionalFormatting>
  <conditionalFormatting sqref="W828">
    <cfRule type="cellIs" dxfId="1" priority="1455" operator="equal">
      <formula>"Activa"</formula>
    </cfRule>
  </conditionalFormatting>
  <conditionalFormatting sqref="K829">
    <cfRule type="cellIs" dxfId="1" priority="1456" operator="equal">
      <formula>"$"</formula>
    </cfRule>
  </conditionalFormatting>
  <conditionalFormatting sqref="V829">
    <cfRule type="cellIs" dxfId="1" priority="1457" operator="equal">
      <formula>"Nuevo"</formula>
    </cfRule>
  </conditionalFormatting>
  <conditionalFormatting sqref="W829">
    <cfRule type="cellIs" dxfId="1" priority="1458" operator="equal">
      <formula>"Activa"</formula>
    </cfRule>
  </conditionalFormatting>
  <conditionalFormatting sqref="K830">
    <cfRule type="cellIs" dxfId="1" priority="1459" operator="equal">
      <formula>"$"</formula>
    </cfRule>
  </conditionalFormatting>
  <conditionalFormatting sqref="V830">
    <cfRule type="cellIs" dxfId="1" priority="1460" operator="equal">
      <formula>"Nuevo"</formula>
    </cfRule>
  </conditionalFormatting>
  <conditionalFormatting sqref="W830">
    <cfRule type="cellIs" dxfId="1" priority="1461" operator="equal">
      <formula>"Activa"</formula>
    </cfRule>
  </conditionalFormatting>
  <conditionalFormatting sqref="K831">
    <cfRule type="cellIs" dxfId="1" priority="1462" operator="equal">
      <formula>"$"</formula>
    </cfRule>
  </conditionalFormatting>
  <conditionalFormatting sqref="V831">
    <cfRule type="cellIs" dxfId="1" priority="1463" operator="equal">
      <formula>"Nuevo"</formula>
    </cfRule>
  </conditionalFormatting>
  <conditionalFormatting sqref="W831">
    <cfRule type="cellIs" dxfId="1" priority="1464" operator="equal">
      <formula>"Activa"</formula>
    </cfRule>
  </conditionalFormatting>
  <conditionalFormatting sqref="K832">
    <cfRule type="cellIs" dxfId="1" priority="1465" operator="equal">
      <formula>"$"</formula>
    </cfRule>
  </conditionalFormatting>
  <conditionalFormatting sqref="V832">
    <cfRule type="cellIs" dxfId="1" priority="1466" operator="equal">
      <formula>"Nuevo"</formula>
    </cfRule>
  </conditionalFormatting>
  <conditionalFormatting sqref="W832">
    <cfRule type="cellIs" dxfId="1" priority="1467" operator="equal">
      <formula>"Activa"</formula>
    </cfRule>
  </conditionalFormatting>
  <conditionalFormatting sqref="K833">
    <cfRule type="cellIs" dxfId="1" priority="1468" operator="equal">
      <formula>"$"</formula>
    </cfRule>
  </conditionalFormatting>
  <conditionalFormatting sqref="V833">
    <cfRule type="cellIs" dxfId="1" priority="1469" operator="equal">
      <formula>"Nuevo"</formula>
    </cfRule>
  </conditionalFormatting>
  <conditionalFormatting sqref="W833">
    <cfRule type="cellIs" dxfId="1" priority="1470" operator="equal">
      <formula>"Activa"</formula>
    </cfRule>
  </conditionalFormatting>
  <conditionalFormatting sqref="K834">
    <cfRule type="cellIs" dxfId="1" priority="1471" operator="equal">
      <formula>"$"</formula>
    </cfRule>
  </conditionalFormatting>
  <conditionalFormatting sqref="V834">
    <cfRule type="cellIs" dxfId="1" priority="1472" operator="equal">
      <formula>"Nuevo"</formula>
    </cfRule>
  </conditionalFormatting>
  <conditionalFormatting sqref="W834">
    <cfRule type="cellIs" dxfId="1" priority="1473" operator="equal">
      <formula>"Activa"</formula>
    </cfRule>
  </conditionalFormatting>
  <conditionalFormatting sqref="K835">
    <cfRule type="cellIs" dxfId="1" priority="1474" operator="equal">
      <formula>"$"</formula>
    </cfRule>
  </conditionalFormatting>
  <conditionalFormatting sqref="V835">
    <cfRule type="cellIs" dxfId="1" priority="1475" operator="equal">
      <formula>"Nuevo"</formula>
    </cfRule>
  </conditionalFormatting>
  <conditionalFormatting sqref="W835">
    <cfRule type="cellIs" dxfId="1" priority="1476" operator="equal">
      <formula>"Activa"</formula>
    </cfRule>
  </conditionalFormatting>
  <conditionalFormatting sqref="K836">
    <cfRule type="cellIs" dxfId="1" priority="1477" operator="equal">
      <formula>"$"</formula>
    </cfRule>
  </conditionalFormatting>
  <conditionalFormatting sqref="V836">
    <cfRule type="cellIs" dxfId="1" priority="1478" operator="equal">
      <formula>"Nuevo"</formula>
    </cfRule>
  </conditionalFormatting>
  <conditionalFormatting sqref="W836">
    <cfRule type="cellIs" dxfId="1" priority="1479" operator="equal">
      <formula>"Activa"</formula>
    </cfRule>
  </conditionalFormatting>
  <conditionalFormatting sqref="K837">
    <cfRule type="cellIs" dxfId="1" priority="1480" operator="equal">
      <formula>"$"</formula>
    </cfRule>
  </conditionalFormatting>
  <conditionalFormatting sqref="V837">
    <cfRule type="cellIs" dxfId="1" priority="1481" operator="equal">
      <formula>"Nuevo"</formula>
    </cfRule>
  </conditionalFormatting>
  <conditionalFormatting sqref="W837">
    <cfRule type="cellIs" dxfId="1" priority="1482" operator="equal">
      <formula>"Activa"</formula>
    </cfRule>
  </conditionalFormatting>
  <conditionalFormatting sqref="K838">
    <cfRule type="cellIs" dxfId="1" priority="1483" operator="equal">
      <formula>"$"</formula>
    </cfRule>
  </conditionalFormatting>
  <conditionalFormatting sqref="V838">
    <cfRule type="cellIs" dxfId="1" priority="1484" operator="equal">
      <formula>"Nuevo"</formula>
    </cfRule>
  </conditionalFormatting>
  <conditionalFormatting sqref="W838">
    <cfRule type="cellIs" dxfId="1" priority="1485" operator="equal">
      <formula>"Activa"</formula>
    </cfRule>
  </conditionalFormatting>
  <conditionalFormatting sqref="K839">
    <cfRule type="cellIs" dxfId="1" priority="1486" operator="equal">
      <formula>"$"</formula>
    </cfRule>
  </conditionalFormatting>
  <conditionalFormatting sqref="V839">
    <cfRule type="cellIs" dxfId="1" priority="1487" operator="equal">
      <formula>"Nuevo"</formula>
    </cfRule>
  </conditionalFormatting>
  <conditionalFormatting sqref="W839">
    <cfRule type="cellIs" dxfId="1" priority="1488" operator="equal">
      <formula>"Activa"</formula>
    </cfRule>
  </conditionalFormatting>
  <conditionalFormatting sqref="K840">
    <cfRule type="cellIs" dxfId="1" priority="1489" operator="equal">
      <formula>"$"</formula>
    </cfRule>
  </conditionalFormatting>
  <conditionalFormatting sqref="V840">
    <cfRule type="cellIs" dxfId="1" priority="1490" operator="equal">
      <formula>"Nuevo"</formula>
    </cfRule>
  </conditionalFormatting>
  <conditionalFormatting sqref="W840">
    <cfRule type="cellIs" dxfId="1" priority="1491" operator="equal">
      <formula>"Activa"</formula>
    </cfRule>
  </conditionalFormatting>
  <conditionalFormatting sqref="K841">
    <cfRule type="cellIs" dxfId="1" priority="1492" operator="equal">
      <formula>"$"</formula>
    </cfRule>
  </conditionalFormatting>
  <conditionalFormatting sqref="V841">
    <cfRule type="cellIs" dxfId="1" priority="1493" operator="equal">
      <formula>"Nuevo"</formula>
    </cfRule>
  </conditionalFormatting>
  <conditionalFormatting sqref="W841">
    <cfRule type="cellIs" dxfId="1" priority="1494" operator="equal">
      <formula>"Activa"</formula>
    </cfRule>
  </conditionalFormatting>
  <conditionalFormatting sqref="K842">
    <cfRule type="cellIs" dxfId="1" priority="1495" operator="equal">
      <formula>"$"</formula>
    </cfRule>
  </conditionalFormatting>
  <conditionalFormatting sqref="V842">
    <cfRule type="cellIs" dxfId="1" priority="1496" operator="equal">
      <formula>"Nuevo"</formula>
    </cfRule>
  </conditionalFormatting>
  <conditionalFormatting sqref="W842">
    <cfRule type="cellIs" dxfId="1" priority="1497" operator="equal">
      <formula>"Activa"</formula>
    </cfRule>
  </conditionalFormatting>
  <conditionalFormatting sqref="K843">
    <cfRule type="cellIs" dxfId="1" priority="1498" operator="equal">
      <formula>"$"</formula>
    </cfRule>
  </conditionalFormatting>
  <conditionalFormatting sqref="V843">
    <cfRule type="cellIs" dxfId="1" priority="1499" operator="equal">
      <formula>"Nuevo"</formula>
    </cfRule>
  </conditionalFormatting>
  <conditionalFormatting sqref="W843">
    <cfRule type="cellIs" dxfId="1" priority="1500" operator="equal">
      <formula>"Activa"</formula>
    </cfRule>
  </conditionalFormatting>
  <conditionalFormatting sqref="K844">
    <cfRule type="cellIs" dxfId="1" priority="1501" operator="equal">
      <formula>"$"</formula>
    </cfRule>
  </conditionalFormatting>
  <conditionalFormatting sqref="V844">
    <cfRule type="cellIs" dxfId="1" priority="1502" operator="equal">
      <formula>"Nuevo"</formula>
    </cfRule>
  </conditionalFormatting>
  <conditionalFormatting sqref="W844">
    <cfRule type="cellIs" dxfId="1" priority="1503" operator="equal">
      <formula>"Activa"</formula>
    </cfRule>
  </conditionalFormatting>
  <conditionalFormatting sqref="K845">
    <cfRule type="cellIs" dxfId="1" priority="1504" operator="equal">
      <formula>"$"</formula>
    </cfRule>
  </conditionalFormatting>
  <conditionalFormatting sqref="V845">
    <cfRule type="cellIs" dxfId="1" priority="1505" operator="equal">
      <formula>"Nuevo"</formula>
    </cfRule>
  </conditionalFormatting>
  <conditionalFormatting sqref="W845">
    <cfRule type="cellIs" dxfId="1" priority="1506" operator="equal">
      <formula>"Activa"</formula>
    </cfRule>
  </conditionalFormatting>
  <conditionalFormatting sqref="K846">
    <cfRule type="cellIs" dxfId="1" priority="1507" operator="equal">
      <formula>"$"</formula>
    </cfRule>
  </conditionalFormatting>
  <conditionalFormatting sqref="V846">
    <cfRule type="cellIs" dxfId="1" priority="1508" operator="equal">
      <formula>"Nuevo"</formula>
    </cfRule>
  </conditionalFormatting>
  <conditionalFormatting sqref="W846">
    <cfRule type="cellIs" dxfId="1" priority="1509" operator="equal">
      <formula>"Activa"</formula>
    </cfRule>
  </conditionalFormatting>
  <conditionalFormatting sqref="K847">
    <cfRule type="cellIs" dxfId="1" priority="1510" operator="equal">
      <formula>"$"</formula>
    </cfRule>
  </conditionalFormatting>
  <conditionalFormatting sqref="V847">
    <cfRule type="cellIs" dxfId="1" priority="1511" operator="equal">
      <formula>"Nuevo"</formula>
    </cfRule>
  </conditionalFormatting>
  <conditionalFormatting sqref="W847">
    <cfRule type="cellIs" dxfId="1" priority="1512" operator="equal">
      <formula>"Activa"</formula>
    </cfRule>
  </conditionalFormatting>
  <conditionalFormatting sqref="K848">
    <cfRule type="cellIs" dxfId="1" priority="1513" operator="equal">
      <formula>"$"</formula>
    </cfRule>
  </conditionalFormatting>
  <conditionalFormatting sqref="V848">
    <cfRule type="cellIs" dxfId="1" priority="1514" operator="equal">
      <formula>"Nuevo"</formula>
    </cfRule>
  </conditionalFormatting>
  <conditionalFormatting sqref="W848">
    <cfRule type="cellIs" dxfId="1" priority="1515" operator="equal">
      <formula>"Activa"</formula>
    </cfRule>
  </conditionalFormatting>
  <conditionalFormatting sqref="K849">
    <cfRule type="cellIs" dxfId="1" priority="1516" operator="equal">
      <formula>"$"</formula>
    </cfRule>
  </conditionalFormatting>
  <conditionalFormatting sqref="V849">
    <cfRule type="cellIs" dxfId="1" priority="1517" operator="equal">
      <formula>"Nuevo"</formula>
    </cfRule>
  </conditionalFormatting>
  <conditionalFormatting sqref="W849">
    <cfRule type="cellIs" dxfId="1" priority="1518" operator="equal">
      <formula>"Activa"</formula>
    </cfRule>
  </conditionalFormatting>
  <conditionalFormatting sqref="K850">
    <cfRule type="cellIs" dxfId="1" priority="1519" operator="equal">
      <formula>"$"</formula>
    </cfRule>
  </conditionalFormatting>
  <conditionalFormatting sqref="V850">
    <cfRule type="cellIs" dxfId="1" priority="1520" operator="equal">
      <formula>"Nuevo"</formula>
    </cfRule>
  </conditionalFormatting>
  <conditionalFormatting sqref="W850">
    <cfRule type="cellIs" dxfId="1" priority="1521" operator="equal">
      <formula>"Activa"</formula>
    </cfRule>
  </conditionalFormatting>
  <conditionalFormatting sqref="K851">
    <cfRule type="cellIs" dxfId="1" priority="1522" operator="equal">
      <formula>"$"</formula>
    </cfRule>
  </conditionalFormatting>
  <conditionalFormatting sqref="V851">
    <cfRule type="cellIs" dxfId="1" priority="1523" operator="equal">
      <formula>"Nuevo"</formula>
    </cfRule>
  </conditionalFormatting>
  <conditionalFormatting sqref="W851">
    <cfRule type="cellIs" dxfId="1" priority="1524" operator="equal">
      <formula>"Activa"</formula>
    </cfRule>
  </conditionalFormatting>
  <conditionalFormatting sqref="K852">
    <cfRule type="cellIs" dxfId="1" priority="1525" operator="equal">
      <formula>"$"</formula>
    </cfRule>
  </conditionalFormatting>
  <conditionalFormatting sqref="V852">
    <cfRule type="cellIs" dxfId="1" priority="1526" operator="equal">
      <formula>"Nuevo"</formula>
    </cfRule>
  </conditionalFormatting>
  <conditionalFormatting sqref="W852">
    <cfRule type="cellIs" dxfId="1" priority="1527" operator="equal">
      <formula>"Activa"</formula>
    </cfRule>
  </conditionalFormatting>
  <conditionalFormatting sqref="K853">
    <cfRule type="cellIs" dxfId="1" priority="1528" operator="equal">
      <formula>"$"</formula>
    </cfRule>
  </conditionalFormatting>
  <conditionalFormatting sqref="V853">
    <cfRule type="cellIs" dxfId="1" priority="1529" operator="equal">
      <formula>"Nuevo"</formula>
    </cfRule>
  </conditionalFormatting>
  <conditionalFormatting sqref="W853">
    <cfRule type="cellIs" dxfId="1" priority="1530" operator="equal">
      <formula>"Activa"</formula>
    </cfRule>
  </conditionalFormatting>
  <conditionalFormatting sqref="K854">
    <cfRule type="cellIs" dxfId="1" priority="1531" operator="equal">
      <formula>"$"</formula>
    </cfRule>
  </conditionalFormatting>
  <conditionalFormatting sqref="V854">
    <cfRule type="cellIs" dxfId="1" priority="1532" operator="equal">
      <formula>"Nuevo"</formula>
    </cfRule>
  </conditionalFormatting>
  <conditionalFormatting sqref="W854">
    <cfRule type="cellIs" dxfId="1" priority="1533" operator="equal">
      <formula>"Activa"</formula>
    </cfRule>
  </conditionalFormatting>
  <conditionalFormatting sqref="K855">
    <cfRule type="cellIs" dxfId="1" priority="1534" operator="equal">
      <formula>"$"</formula>
    </cfRule>
  </conditionalFormatting>
  <conditionalFormatting sqref="V855">
    <cfRule type="cellIs" dxfId="1" priority="1535" operator="equal">
      <formula>"Nuevo"</formula>
    </cfRule>
  </conditionalFormatting>
  <conditionalFormatting sqref="W855">
    <cfRule type="cellIs" dxfId="1" priority="1536" operator="equal">
      <formula>"Activa"</formula>
    </cfRule>
  </conditionalFormatting>
  <conditionalFormatting sqref="K856">
    <cfRule type="cellIs" dxfId="1" priority="1537" operator="equal">
      <formula>"$"</formula>
    </cfRule>
  </conditionalFormatting>
  <conditionalFormatting sqref="V856">
    <cfRule type="cellIs" dxfId="1" priority="1538" operator="equal">
      <formula>"Nuevo"</formula>
    </cfRule>
  </conditionalFormatting>
  <conditionalFormatting sqref="W856">
    <cfRule type="cellIs" dxfId="1" priority="1539" operator="equal">
      <formula>"Activa"</formula>
    </cfRule>
  </conditionalFormatting>
  <conditionalFormatting sqref="K857">
    <cfRule type="cellIs" dxfId="1" priority="1540" operator="equal">
      <formula>"$"</formula>
    </cfRule>
  </conditionalFormatting>
  <conditionalFormatting sqref="V857">
    <cfRule type="cellIs" dxfId="1" priority="1541" operator="equal">
      <formula>"Nuevo"</formula>
    </cfRule>
  </conditionalFormatting>
  <conditionalFormatting sqref="W857">
    <cfRule type="cellIs" dxfId="1" priority="1542" operator="equal">
      <formula>"Activa"</formula>
    </cfRule>
  </conditionalFormatting>
  <conditionalFormatting sqref="K858">
    <cfRule type="cellIs" dxfId="1" priority="1543" operator="equal">
      <formula>"$"</formula>
    </cfRule>
  </conditionalFormatting>
  <conditionalFormatting sqref="V858">
    <cfRule type="cellIs" dxfId="1" priority="1544" operator="equal">
      <formula>"Nuevo"</formula>
    </cfRule>
  </conditionalFormatting>
  <conditionalFormatting sqref="W858">
    <cfRule type="cellIs" dxfId="1" priority="1545" operator="equal">
      <formula>"Activa"</formula>
    </cfRule>
  </conditionalFormatting>
  <conditionalFormatting sqref="K859">
    <cfRule type="cellIs" dxfId="1" priority="1546" operator="equal">
      <formula>"$"</formula>
    </cfRule>
  </conditionalFormatting>
  <conditionalFormatting sqref="V859">
    <cfRule type="cellIs" dxfId="1" priority="1547" operator="equal">
      <formula>"Nuevo"</formula>
    </cfRule>
  </conditionalFormatting>
  <conditionalFormatting sqref="W859">
    <cfRule type="cellIs" dxfId="1" priority="1548" operator="equal">
      <formula>"Activa"</formula>
    </cfRule>
  </conditionalFormatting>
  <conditionalFormatting sqref="K860">
    <cfRule type="cellIs" dxfId="1" priority="1549" operator="equal">
      <formula>"$"</formula>
    </cfRule>
  </conditionalFormatting>
  <conditionalFormatting sqref="V860">
    <cfRule type="cellIs" dxfId="1" priority="1550" operator="equal">
      <formula>"Nuevo"</formula>
    </cfRule>
  </conditionalFormatting>
  <conditionalFormatting sqref="W860">
    <cfRule type="cellIs" dxfId="1" priority="1551" operator="equal">
      <formula>"Activa"</formula>
    </cfRule>
  </conditionalFormatting>
  <conditionalFormatting sqref="K861">
    <cfRule type="cellIs" dxfId="1" priority="1552" operator="equal">
      <formula>"$"</formula>
    </cfRule>
  </conditionalFormatting>
  <conditionalFormatting sqref="V861">
    <cfRule type="cellIs" dxfId="1" priority="1553" operator="equal">
      <formula>"Nuevo"</formula>
    </cfRule>
  </conditionalFormatting>
  <conditionalFormatting sqref="W861">
    <cfRule type="cellIs" dxfId="1" priority="1554" operator="equal">
      <formula>"Activa"</formula>
    </cfRule>
  </conditionalFormatting>
  <conditionalFormatting sqref="K862">
    <cfRule type="cellIs" dxfId="1" priority="1555" operator="equal">
      <formula>"$"</formula>
    </cfRule>
  </conditionalFormatting>
  <conditionalFormatting sqref="V862">
    <cfRule type="cellIs" dxfId="1" priority="1556" operator="equal">
      <formula>"Nuevo"</formula>
    </cfRule>
  </conditionalFormatting>
  <conditionalFormatting sqref="W862">
    <cfRule type="cellIs" dxfId="1" priority="1557" operator="equal">
      <formula>"Activa"</formula>
    </cfRule>
  </conditionalFormatting>
  <conditionalFormatting sqref="K863">
    <cfRule type="cellIs" dxfId="1" priority="1558" operator="equal">
      <formula>"$"</formula>
    </cfRule>
  </conditionalFormatting>
  <conditionalFormatting sqref="V863">
    <cfRule type="cellIs" dxfId="1" priority="1559" operator="equal">
      <formula>"Nuevo"</formula>
    </cfRule>
  </conditionalFormatting>
  <conditionalFormatting sqref="W863">
    <cfRule type="cellIs" dxfId="1" priority="1560" operator="equal">
      <formula>"Activa"</formula>
    </cfRule>
  </conditionalFormatting>
  <conditionalFormatting sqref="K864">
    <cfRule type="cellIs" dxfId="1" priority="1561" operator="equal">
      <formula>"$"</formula>
    </cfRule>
  </conditionalFormatting>
  <conditionalFormatting sqref="V864">
    <cfRule type="cellIs" dxfId="1" priority="1562" operator="equal">
      <formula>"Nuevo"</formula>
    </cfRule>
  </conditionalFormatting>
  <conditionalFormatting sqref="W864">
    <cfRule type="cellIs" dxfId="1" priority="1563" operator="equal">
      <formula>"Activa"</formula>
    </cfRule>
  </conditionalFormatting>
  <conditionalFormatting sqref="K865">
    <cfRule type="cellIs" dxfId="1" priority="1564" operator="equal">
      <formula>"$"</formula>
    </cfRule>
  </conditionalFormatting>
  <conditionalFormatting sqref="V865">
    <cfRule type="cellIs" dxfId="1" priority="1565" operator="equal">
      <formula>"Nuevo"</formula>
    </cfRule>
  </conditionalFormatting>
  <conditionalFormatting sqref="W865">
    <cfRule type="cellIs" dxfId="1" priority="1566" operator="equal">
      <formula>"Activa"</formula>
    </cfRule>
  </conditionalFormatting>
  <conditionalFormatting sqref="K866">
    <cfRule type="cellIs" dxfId="1" priority="1567" operator="equal">
      <formula>"$"</formula>
    </cfRule>
  </conditionalFormatting>
  <conditionalFormatting sqref="V866">
    <cfRule type="cellIs" dxfId="1" priority="1568" operator="equal">
      <formula>"Nuevo"</formula>
    </cfRule>
  </conditionalFormatting>
  <conditionalFormatting sqref="W866">
    <cfRule type="cellIs" dxfId="1" priority="1569" operator="equal">
      <formula>"Activa"</formula>
    </cfRule>
  </conditionalFormatting>
  <conditionalFormatting sqref="K867">
    <cfRule type="cellIs" dxfId="1" priority="1570" operator="equal">
      <formula>"$"</formula>
    </cfRule>
  </conditionalFormatting>
  <conditionalFormatting sqref="V867">
    <cfRule type="cellIs" dxfId="1" priority="1571" operator="equal">
      <formula>"Nuevo"</formula>
    </cfRule>
  </conditionalFormatting>
  <conditionalFormatting sqref="W867">
    <cfRule type="cellIs" dxfId="1" priority="1572" operator="equal">
      <formula>"Activa"</formula>
    </cfRule>
  </conditionalFormatting>
  <conditionalFormatting sqref="K868">
    <cfRule type="cellIs" dxfId="1" priority="1573" operator="equal">
      <formula>"$"</formula>
    </cfRule>
  </conditionalFormatting>
  <conditionalFormatting sqref="V868">
    <cfRule type="cellIs" dxfId="1" priority="1574" operator="equal">
      <formula>"Nuevo"</formula>
    </cfRule>
  </conditionalFormatting>
  <conditionalFormatting sqref="W868">
    <cfRule type="cellIs" dxfId="1" priority="1575" operator="equal">
      <formula>"Activa"</formula>
    </cfRule>
  </conditionalFormatting>
  <conditionalFormatting sqref="K869">
    <cfRule type="cellIs" dxfId="1" priority="1576" operator="equal">
      <formula>"$"</formula>
    </cfRule>
  </conditionalFormatting>
  <conditionalFormatting sqref="V869">
    <cfRule type="cellIs" dxfId="1" priority="1577" operator="equal">
      <formula>"Nuevo"</formula>
    </cfRule>
  </conditionalFormatting>
  <conditionalFormatting sqref="W869">
    <cfRule type="cellIs" dxfId="1" priority="1578" operator="equal">
      <formula>"Activa"</formula>
    </cfRule>
  </conditionalFormatting>
  <conditionalFormatting sqref="K870">
    <cfRule type="cellIs" dxfId="1" priority="1579" operator="equal">
      <formula>"$"</formula>
    </cfRule>
  </conditionalFormatting>
  <conditionalFormatting sqref="V870">
    <cfRule type="cellIs" dxfId="1" priority="1580" operator="equal">
      <formula>"Nuevo"</formula>
    </cfRule>
  </conditionalFormatting>
  <conditionalFormatting sqref="W870">
    <cfRule type="cellIs" dxfId="1" priority="1581" operator="equal">
      <formula>"Activa"</formula>
    </cfRule>
  </conditionalFormatting>
  <conditionalFormatting sqref="K871">
    <cfRule type="cellIs" dxfId="1" priority="1582" operator="equal">
      <formula>"$"</formula>
    </cfRule>
  </conditionalFormatting>
  <conditionalFormatting sqref="V871">
    <cfRule type="cellIs" dxfId="1" priority="1583" operator="equal">
      <formula>"Nuevo"</formula>
    </cfRule>
  </conditionalFormatting>
  <conditionalFormatting sqref="W871">
    <cfRule type="cellIs" dxfId="1" priority="1584" operator="equal">
      <formula>"Activa"</formula>
    </cfRule>
  </conditionalFormatting>
  <conditionalFormatting sqref="K872">
    <cfRule type="cellIs" dxfId="1" priority="1585" operator="equal">
      <formula>"$"</formula>
    </cfRule>
  </conditionalFormatting>
  <conditionalFormatting sqref="V872">
    <cfRule type="cellIs" dxfId="1" priority="1586" operator="equal">
      <formula>"Nuevo"</formula>
    </cfRule>
  </conditionalFormatting>
  <conditionalFormatting sqref="W872">
    <cfRule type="cellIs" dxfId="1" priority="1587" operator="equal">
      <formula>"Activa"</formula>
    </cfRule>
  </conditionalFormatting>
  <conditionalFormatting sqref="K873">
    <cfRule type="cellIs" dxfId="1" priority="1588" operator="equal">
      <formula>"$"</formula>
    </cfRule>
  </conditionalFormatting>
  <conditionalFormatting sqref="V873">
    <cfRule type="cellIs" dxfId="1" priority="1589" operator="equal">
      <formula>"Nuevo"</formula>
    </cfRule>
  </conditionalFormatting>
  <conditionalFormatting sqref="W873">
    <cfRule type="cellIs" dxfId="1" priority="1590" operator="equal">
      <formula>"Activa"</formula>
    </cfRule>
  </conditionalFormatting>
  <conditionalFormatting sqref="K874">
    <cfRule type="cellIs" dxfId="1" priority="1591" operator="equal">
      <formula>"$"</formula>
    </cfRule>
  </conditionalFormatting>
  <conditionalFormatting sqref="V874">
    <cfRule type="cellIs" dxfId="1" priority="1592" operator="equal">
      <formula>"Nuevo"</formula>
    </cfRule>
  </conditionalFormatting>
  <conditionalFormatting sqref="W874">
    <cfRule type="cellIs" dxfId="1" priority="1593" operator="equal">
      <formula>"Activa"</formula>
    </cfRule>
  </conditionalFormatting>
  <conditionalFormatting sqref="K875">
    <cfRule type="cellIs" dxfId="1" priority="1594" operator="equal">
      <formula>"$"</formula>
    </cfRule>
  </conditionalFormatting>
  <conditionalFormatting sqref="V875">
    <cfRule type="cellIs" dxfId="1" priority="1595" operator="equal">
      <formula>"Nuevo"</formula>
    </cfRule>
  </conditionalFormatting>
  <conditionalFormatting sqref="W875">
    <cfRule type="cellIs" dxfId="1" priority="1596" operator="equal">
      <formula>"Activa"</formula>
    </cfRule>
  </conditionalFormatting>
  <conditionalFormatting sqref="K876">
    <cfRule type="cellIs" dxfId="1" priority="1597" operator="equal">
      <formula>"$"</formula>
    </cfRule>
  </conditionalFormatting>
  <conditionalFormatting sqref="V876">
    <cfRule type="cellIs" dxfId="1" priority="1598" operator="equal">
      <formula>"Nuevo"</formula>
    </cfRule>
  </conditionalFormatting>
  <conditionalFormatting sqref="W876">
    <cfRule type="cellIs" dxfId="1" priority="1599" operator="equal">
      <formula>"Activa"</formula>
    </cfRule>
  </conditionalFormatting>
  <conditionalFormatting sqref="K877">
    <cfRule type="cellIs" dxfId="1" priority="1600" operator="equal">
      <formula>"$"</formula>
    </cfRule>
  </conditionalFormatting>
  <conditionalFormatting sqref="V877">
    <cfRule type="cellIs" dxfId="1" priority="1601" operator="equal">
      <formula>"Nuevo"</formula>
    </cfRule>
  </conditionalFormatting>
  <conditionalFormatting sqref="W877">
    <cfRule type="cellIs" dxfId="1" priority="1602" operator="equal">
      <formula>"Activa"</formula>
    </cfRule>
  </conditionalFormatting>
  <conditionalFormatting sqref="K878">
    <cfRule type="cellIs" dxfId="1" priority="1603" operator="equal">
      <formula>"$"</formula>
    </cfRule>
  </conditionalFormatting>
  <conditionalFormatting sqref="V878">
    <cfRule type="cellIs" dxfId="1" priority="1604" operator="equal">
      <formula>"Nuevo"</formula>
    </cfRule>
  </conditionalFormatting>
  <conditionalFormatting sqref="W878">
    <cfRule type="cellIs" dxfId="1" priority="1605" operator="equal">
      <formula>"Activa"</formula>
    </cfRule>
  </conditionalFormatting>
  <conditionalFormatting sqref="K879">
    <cfRule type="cellIs" dxfId="1" priority="1606" operator="equal">
      <formula>"$"</formula>
    </cfRule>
  </conditionalFormatting>
  <conditionalFormatting sqref="V879">
    <cfRule type="cellIs" dxfId="1" priority="1607" operator="equal">
      <formula>"Nuevo"</formula>
    </cfRule>
  </conditionalFormatting>
  <conditionalFormatting sqref="W879">
    <cfRule type="cellIs" dxfId="1" priority="1608" operator="equal">
      <formula>"Activa"</formula>
    </cfRule>
  </conditionalFormatting>
  <conditionalFormatting sqref="K880">
    <cfRule type="cellIs" dxfId="1" priority="1609" operator="equal">
      <formula>"$"</formula>
    </cfRule>
  </conditionalFormatting>
  <conditionalFormatting sqref="V880">
    <cfRule type="cellIs" dxfId="1" priority="1610" operator="equal">
      <formula>"Nuevo"</formula>
    </cfRule>
  </conditionalFormatting>
  <conditionalFormatting sqref="W880">
    <cfRule type="cellIs" dxfId="1" priority="1611" operator="equal">
      <formula>"Activa"</formula>
    </cfRule>
  </conditionalFormatting>
  <conditionalFormatting sqref="K881">
    <cfRule type="cellIs" dxfId="1" priority="1612" operator="equal">
      <formula>"$"</formula>
    </cfRule>
  </conditionalFormatting>
  <conditionalFormatting sqref="V881">
    <cfRule type="cellIs" dxfId="1" priority="1613" operator="equal">
      <formula>"Nuevo"</formula>
    </cfRule>
  </conditionalFormatting>
  <conditionalFormatting sqref="W881">
    <cfRule type="cellIs" dxfId="1" priority="1614" operator="equal">
      <formula>"Activa"</formula>
    </cfRule>
  </conditionalFormatting>
  <conditionalFormatting sqref="K882">
    <cfRule type="cellIs" dxfId="1" priority="1615" operator="equal">
      <formula>"$"</formula>
    </cfRule>
  </conditionalFormatting>
  <conditionalFormatting sqref="V882">
    <cfRule type="cellIs" dxfId="1" priority="1616" operator="equal">
      <formula>"Nuevo"</formula>
    </cfRule>
  </conditionalFormatting>
  <conditionalFormatting sqref="W882">
    <cfRule type="cellIs" dxfId="1" priority="1617" operator="equal">
      <formula>"Activa"</formula>
    </cfRule>
  </conditionalFormatting>
  <conditionalFormatting sqref="K883">
    <cfRule type="cellIs" dxfId="1" priority="1618" operator="equal">
      <formula>"$"</formula>
    </cfRule>
  </conditionalFormatting>
  <conditionalFormatting sqref="V883">
    <cfRule type="cellIs" dxfId="1" priority="1619" operator="equal">
      <formula>"Nuevo"</formula>
    </cfRule>
  </conditionalFormatting>
  <conditionalFormatting sqref="W883">
    <cfRule type="cellIs" dxfId="1" priority="1620" operator="equal">
      <formula>"Activa"</formula>
    </cfRule>
  </conditionalFormatting>
  <conditionalFormatting sqref="K884">
    <cfRule type="cellIs" dxfId="1" priority="1621" operator="equal">
      <formula>"$"</formula>
    </cfRule>
  </conditionalFormatting>
  <conditionalFormatting sqref="V884">
    <cfRule type="cellIs" dxfId="1" priority="1622" operator="equal">
      <formula>"Nuevo"</formula>
    </cfRule>
  </conditionalFormatting>
  <conditionalFormatting sqref="W884">
    <cfRule type="cellIs" dxfId="1" priority="1623" operator="equal">
      <formula>"Activa"</formula>
    </cfRule>
  </conditionalFormatting>
  <conditionalFormatting sqref="K885">
    <cfRule type="cellIs" dxfId="1" priority="1624" operator="equal">
      <formula>"$"</formula>
    </cfRule>
  </conditionalFormatting>
  <conditionalFormatting sqref="V885">
    <cfRule type="cellIs" dxfId="1" priority="1625" operator="equal">
      <formula>"Nuevo"</formula>
    </cfRule>
  </conditionalFormatting>
  <conditionalFormatting sqref="W885">
    <cfRule type="cellIs" dxfId="1" priority="1626" operator="equal">
      <formula>"Activa"</formula>
    </cfRule>
  </conditionalFormatting>
  <conditionalFormatting sqref="K886">
    <cfRule type="cellIs" dxfId="1" priority="1627" operator="equal">
      <formula>"$"</formula>
    </cfRule>
  </conditionalFormatting>
  <conditionalFormatting sqref="V886">
    <cfRule type="cellIs" dxfId="1" priority="1628" operator="equal">
      <formula>"Nuevo"</formula>
    </cfRule>
  </conditionalFormatting>
  <conditionalFormatting sqref="W886">
    <cfRule type="cellIs" dxfId="1" priority="1629" operator="equal">
      <formula>"Activa"</formula>
    </cfRule>
  </conditionalFormatting>
  <conditionalFormatting sqref="K887">
    <cfRule type="cellIs" dxfId="1" priority="1630" operator="equal">
      <formula>"$"</formula>
    </cfRule>
  </conditionalFormatting>
  <conditionalFormatting sqref="V887">
    <cfRule type="cellIs" dxfId="1" priority="1631" operator="equal">
      <formula>"Nuevo"</formula>
    </cfRule>
  </conditionalFormatting>
  <conditionalFormatting sqref="W887">
    <cfRule type="cellIs" dxfId="1" priority="1632" operator="equal">
      <formula>"Activa"</formula>
    </cfRule>
  </conditionalFormatting>
  <conditionalFormatting sqref="K888">
    <cfRule type="cellIs" dxfId="1" priority="1633" operator="equal">
      <formula>"$"</formula>
    </cfRule>
  </conditionalFormatting>
  <conditionalFormatting sqref="V888">
    <cfRule type="cellIs" dxfId="1" priority="1634" operator="equal">
      <formula>"Nuevo"</formula>
    </cfRule>
  </conditionalFormatting>
  <conditionalFormatting sqref="W888">
    <cfRule type="cellIs" dxfId="1" priority="1635" operator="equal">
      <formula>"Activa"</formula>
    </cfRule>
  </conditionalFormatting>
  <conditionalFormatting sqref="K889">
    <cfRule type="cellIs" dxfId="1" priority="1636" operator="equal">
      <formula>"$"</formula>
    </cfRule>
  </conditionalFormatting>
  <conditionalFormatting sqref="V889">
    <cfRule type="cellIs" dxfId="1" priority="1637" operator="equal">
      <formula>"Nuevo"</formula>
    </cfRule>
  </conditionalFormatting>
  <conditionalFormatting sqref="W889">
    <cfRule type="cellIs" dxfId="1" priority="1638" operator="equal">
      <formula>"Activa"</formula>
    </cfRule>
  </conditionalFormatting>
  <conditionalFormatting sqref="K890">
    <cfRule type="cellIs" dxfId="1" priority="1639" operator="equal">
      <formula>"$"</formula>
    </cfRule>
  </conditionalFormatting>
  <conditionalFormatting sqref="V890">
    <cfRule type="cellIs" dxfId="1" priority="1640" operator="equal">
      <formula>"Nuevo"</formula>
    </cfRule>
  </conditionalFormatting>
  <conditionalFormatting sqref="W890">
    <cfRule type="cellIs" dxfId="1" priority="1641" operator="equal">
      <formula>"Activa"</formula>
    </cfRule>
  </conditionalFormatting>
  <conditionalFormatting sqref="K891">
    <cfRule type="cellIs" dxfId="1" priority="1642" operator="equal">
      <formula>"$"</formula>
    </cfRule>
  </conditionalFormatting>
  <conditionalFormatting sqref="V891">
    <cfRule type="cellIs" dxfId="1" priority="1643" operator="equal">
      <formula>"Nuevo"</formula>
    </cfRule>
  </conditionalFormatting>
  <conditionalFormatting sqref="W891">
    <cfRule type="cellIs" dxfId="1" priority="1644" operator="equal">
      <formula>"Activa"</formula>
    </cfRule>
  </conditionalFormatting>
  <conditionalFormatting sqref="K892">
    <cfRule type="cellIs" dxfId="1" priority="1645" operator="equal">
      <formula>"$"</formula>
    </cfRule>
  </conditionalFormatting>
  <conditionalFormatting sqref="V892">
    <cfRule type="cellIs" dxfId="1" priority="1646" operator="equal">
      <formula>"Nuevo"</formula>
    </cfRule>
  </conditionalFormatting>
  <conditionalFormatting sqref="W892">
    <cfRule type="cellIs" dxfId="1" priority="1647" operator="equal">
      <formula>"Activa"</formula>
    </cfRule>
  </conditionalFormatting>
  <conditionalFormatting sqref="K893">
    <cfRule type="cellIs" dxfId="1" priority="1648" operator="equal">
      <formula>"$"</formula>
    </cfRule>
  </conditionalFormatting>
  <conditionalFormatting sqref="V893">
    <cfRule type="cellIs" dxfId="1" priority="1649" operator="equal">
      <formula>"Nuevo"</formula>
    </cfRule>
  </conditionalFormatting>
  <conditionalFormatting sqref="W893">
    <cfRule type="cellIs" dxfId="1" priority="1650" operator="equal">
      <formula>"Activa"</formula>
    </cfRule>
  </conditionalFormatting>
  <conditionalFormatting sqref="K894">
    <cfRule type="cellIs" dxfId="1" priority="1651" operator="equal">
      <formula>"$"</formula>
    </cfRule>
  </conditionalFormatting>
  <conditionalFormatting sqref="V894">
    <cfRule type="cellIs" dxfId="1" priority="1652" operator="equal">
      <formula>"Nuevo"</formula>
    </cfRule>
  </conditionalFormatting>
  <conditionalFormatting sqref="W894">
    <cfRule type="cellIs" dxfId="1" priority="1653" operator="equal">
      <formula>"Activa"</formula>
    </cfRule>
  </conditionalFormatting>
  <conditionalFormatting sqref="K895">
    <cfRule type="cellIs" dxfId="1" priority="1654" operator="equal">
      <formula>"$"</formula>
    </cfRule>
  </conditionalFormatting>
  <conditionalFormatting sqref="V895">
    <cfRule type="cellIs" dxfId="1" priority="1655" operator="equal">
      <formula>"Nuevo"</formula>
    </cfRule>
  </conditionalFormatting>
  <conditionalFormatting sqref="W895">
    <cfRule type="cellIs" dxfId="1" priority="1656" operator="equal">
      <formula>"Activa"</formula>
    </cfRule>
  </conditionalFormatting>
  <conditionalFormatting sqref="K896">
    <cfRule type="cellIs" dxfId="1" priority="1657" operator="equal">
      <formula>"$"</formula>
    </cfRule>
  </conditionalFormatting>
  <conditionalFormatting sqref="V896">
    <cfRule type="cellIs" dxfId="1" priority="1658" operator="equal">
      <formula>"Nuevo"</formula>
    </cfRule>
  </conditionalFormatting>
  <conditionalFormatting sqref="W896">
    <cfRule type="cellIs" dxfId="1" priority="1659" operator="equal">
      <formula>"Activa"</formula>
    </cfRule>
  </conditionalFormatting>
  <conditionalFormatting sqref="K897">
    <cfRule type="cellIs" dxfId="1" priority="1660" operator="equal">
      <formula>"$"</formula>
    </cfRule>
  </conditionalFormatting>
  <conditionalFormatting sqref="V897">
    <cfRule type="cellIs" dxfId="1" priority="1661" operator="equal">
      <formula>"Nuevo"</formula>
    </cfRule>
  </conditionalFormatting>
  <conditionalFormatting sqref="W897">
    <cfRule type="cellIs" dxfId="1" priority="1662" operator="equal">
      <formula>"Activa"</formula>
    </cfRule>
  </conditionalFormatting>
  <conditionalFormatting sqref="K898">
    <cfRule type="cellIs" dxfId="1" priority="1663" operator="equal">
      <formula>"$"</formula>
    </cfRule>
  </conditionalFormatting>
  <conditionalFormatting sqref="V898">
    <cfRule type="cellIs" dxfId="1" priority="1664" operator="equal">
      <formula>"Nuevo"</formula>
    </cfRule>
  </conditionalFormatting>
  <conditionalFormatting sqref="W898">
    <cfRule type="cellIs" dxfId="1" priority="1665" operator="equal">
      <formula>"Activa"</formula>
    </cfRule>
  </conditionalFormatting>
  <conditionalFormatting sqref="K899">
    <cfRule type="cellIs" dxfId="1" priority="1666" operator="equal">
      <formula>"$"</formula>
    </cfRule>
  </conditionalFormatting>
  <conditionalFormatting sqref="V899">
    <cfRule type="cellIs" dxfId="1" priority="1667" operator="equal">
      <formula>"Nuevo"</formula>
    </cfRule>
  </conditionalFormatting>
  <conditionalFormatting sqref="W899">
    <cfRule type="cellIs" dxfId="1" priority="1668" operator="equal">
      <formula>"Activa"</formula>
    </cfRule>
  </conditionalFormatting>
  <conditionalFormatting sqref="K900">
    <cfRule type="cellIs" dxfId="1" priority="1669" operator="equal">
      <formula>"$"</formula>
    </cfRule>
  </conditionalFormatting>
  <conditionalFormatting sqref="V900">
    <cfRule type="cellIs" dxfId="1" priority="1670" operator="equal">
      <formula>"Nuevo"</formula>
    </cfRule>
  </conditionalFormatting>
  <conditionalFormatting sqref="W900">
    <cfRule type="cellIs" dxfId="1" priority="1671" operator="equal">
      <formula>"Activa"</formula>
    </cfRule>
  </conditionalFormatting>
  <conditionalFormatting sqref="K901">
    <cfRule type="cellIs" dxfId="1" priority="1672" operator="equal">
      <formula>"$"</formula>
    </cfRule>
  </conditionalFormatting>
  <conditionalFormatting sqref="V901">
    <cfRule type="cellIs" dxfId="1" priority="1673" operator="equal">
      <formula>"Nuevo"</formula>
    </cfRule>
  </conditionalFormatting>
  <conditionalFormatting sqref="W901">
    <cfRule type="cellIs" dxfId="1" priority="1674" operator="equal">
      <formula>"Activa"</formula>
    </cfRule>
  </conditionalFormatting>
  <conditionalFormatting sqref="K902">
    <cfRule type="cellIs" dxfId="1" priority="1675" operator="equal">
      <formula>"$"</formula>
    </cfRule>
  </conditionalFormatting>
  <conditionalFormatting sqref="V902">
    <cfRule type="cellIs" dxfId="1" priority="1676" operator="equal">
      <formula>"Nuevo"</formula>
    </cfRule>
  </conditionalFormatting>
  <conditionalFormatting sqref="W902">
    <cfRule type="cellIs" dxfId="1" priority="1677" operator="equal">
      <formula>"Activa"</formula>
    </cfRule>
  </conditionalFormatting>
  <conditionalFormatting sqref="K903">
    <cfRule type="cellIs" dxfId="1" priority="1678" operator="equal">
      <formula>"$"</formula>
    </cfRule>
  </conditionalFormatting>
  <conditionalFormatting sqref="V903">
    <cfRule type="cellIs" dxfId="1" priority="1679" operator="equal">
      <formula>"Nuevo"</formula>
    </cfRule>
  </conditionalFormatting>
  <conditionalFormatting sqref="W903">
    <cfRule type="cellIs" dxfId="1" priority="1680" operator="equal">
      <formula>"Activa"</formula>
    </cfRule>
  </conditionalFormatting>
  <conditionalFormatting sqref="K904">
    <cfRule type="cellIs" dxfId="1" priority="1681" operator="equal">
      <formula>"$"</formula>
    </cfRule>
  </conditionalFormatting>
  <conditionalFormatting sqref="V904">
    <cfRule type="cellIs" dxfId="1" priority="1682" operator="equal">
      <formula>"Nuevo"</formula>
    </cfRule>
  </conditionalFormatting>
  <conditionalFormatting sqref="W904">
    <cfRule type="cellIs" dxfId="1" priority="1683" operator="equal">
      <formula>"Activa"</formula>
    </cfRule>
  </conditionalFormatting>
  <conditionalFormatting sqref="K905">
    <cfRule type="cellIs" dxfId="1" priority="1684" operator="equal">
      <formula>"$"</formula>
    </cfRule>
  </conditionalFormatting>
  <conditionalFormatting sqref="V905">
    <cfRule type="cellIs" dxfId="1" priority="1685" operator="equal">
      <formula>"Nuevo"</formula>
    </cfRule>
  </conditionalFormatting>
  <conditionalFormatting sqref="W905">
    <cfRule type="cellIs" dxfId="1" priority="1686" operator="equal">
      <formula>"Activa"</formula>
    </cfRule>
  </conditionalFormatting>
  <conditionalFormatting sqref="K906">
    <cfRule type="cellIs" dxfId="1" priority="1687" operator="equal">
      <formula>"$"</formula>
    </cfRule>
  </conditionalFormatting>
  <conditionalFormatting sqref="V906">
    <cfRule type="cellIs" dxfId="1" priority="1688" operator="equal">
      <formula>"Nuevo"</formula>
    </cfRule>
  </conditionalFormatting>
  <conditionalFormatting sqref="W906">
    <cfRule type="cellIs" dxfId="1" priority="1689" operator="equal">
      <formula>"Activa"</formula>
    </cfRule>
  </conditionalFormatting>
  <conditionalFormatting sqref="K907">
    <cfRule type="cellIs" dxfId="1" priority="1690" operator="equal">
      <formula>"$"</formula>
    </cfRule>
  </conditionalFormatting>
  <conditionalFormatting sqref="V907">
    <cfRule type="cellIs" dxfId="1" priority="1691" operator="equal">
      <formula>"Nuevo"</formula>
    </cfRule>
  </conditionalFormatting>
  <conditionalFormatting sqref="W907">
    <cfRule type="cellIs" dxfId="1" priority="1692" operator="equal">
      <formula>"Activa"</formula>
    </cfRule>
  </conditionalFormatting>
  <conditionalFormatting sqref="K908">
    <cfRule type="cellIs" dxfId="1" priority="1693" operator="equal">
      <formula>"$"</formula>
    </cfRule>
  </conditionalFormatting>
  <conditionalFormatting sqref="V908">
    <cfRule type="cellIs" dxfId="1" priority="1694" operator="equal">
      <formula>"Nuevo"</formula>
    </cfRule>
  </conditionalFormatting>
  <conditionalFormatting sqref="W908">
    <cfRule type="cellIs" dxfId="1" priority="1695" operator="equal">
      <formula>"Activa"</formula>
    </cfRule>
  </conditionalFormatting>
  <conditionalFormatting sqref="K909">
    <cfRule type="cellIs" dxfId="1" priority="1696" operator="equal">
      <formula>"$"</formula>
    </cfRule>
  </conditionalFormatting>
  <conditionalFormatting sqref="V909">
    <cfRule type="cellIs" dxfId="1" priority="1697" operator="equal">
      <formula>"Nuevo"</formula>
    </cfRule>
  </conditionalFormatting>
  <conditionalFormatting sqref="W909">
    <cfRule type="cellIs" dxfId="1" priority="1698" operator="equal">
      <formula>"Activa"</formula>
    </cfRule>
  </conditionalFormatting>
  <conditionalFormatting sqref="K910">
    <cfRule type="cellIs" dxfId="1" priority="1699" operator="equal">
      <formula>"$"</formula>
    </cfRule>
  </conditionalFormatting>
  <conditionalFormatting sqref="V910">
    <cfRule type="cellIs" dxfId="1" priority="1700" operator="equal">
      <formula>"Nuevo"</formula>
    </cfRule>
  </conditionalFormatting>
  <conditionalFormatting sqref="W910">
    <cfRule type="cellIs" dxfId="1" priority="1701" operator="equal">
      <formula>"Activa"</formula>
    </cfRule>
  </conditionalFormatting>
  <conditionalFormatting sqref="K911">
    <cfRule type="cellIs" dxfId="1" priority="1702" operator="equal">
      <formula>"$"</formula>
    </cfRule>
  </conditionalFormatting>
  <conditionalFormatting sqref="V911">
    <cfRule type="cellIs" dxfId="1" priority="1703" operator="equal">
      <formula>"Nuevo"</formula>
    </cfRule>
  </conditionalFormatting>
  <conditionalFormatting sqref="W911">
    <cfRule type="cellIs" dxfId="1" priority="1704" operator="equal">
      <formula>"Activa"</formula>
    </cfRule>
  </conditionalFormatting>
  <conditionalFormatting sqref="K912">
    <cfRule type="cellIs" dxfId="1" priority="1705" operator="equal">
      <formula>"$"</formula>
    </cfRule>
  </conditionalFormatting>
  <conditionalFormatting sqref="V912">
    <cfRule type="cellIs" dxfId="1" priority="1706" operator="equal">
      <formula>"Nuevo"</formula>
    </cfRule>
  </conditionalFormatting>
  <conditionalFormatting sqref="W912">
    <cfRule type="cellIs" dxfId="1" priority="1707" operator="equal">
      <formula>"Activa"</formula>
    </cfRule>
  </conditionalFormatting>
  <conditionalFormatting sqref="K913">
    <cfRule type="cellIs" dxfId="1" priority="1708" operator="equal">
      <formula>"$"</formula>
    </cfRule>
  </conditionalFormatting>
  <conditionalFormatting sqref="V913">
    <cfRule type="cellIs" dxfId="1" priority="1709" operator="equal">
      <formula>"Nuevo"</formula>
    </cfRule>
  </conditionalFormatting>
  <conditionalFormatting sqref="W913">
    <cfRule type="cellIs" dxfId="1" priority="1710" operator="equal">
      <formula>"Activa"</formula>
    </cfRule>
  </conditionalFormatting>
  <conditionalFormatting sqref="K914">
    <cfRule type="cellIs" dxfId="1" priority="1711" operator="equal">
      <formula>"$"</formula>
    </cfRule>
  </conditionalFormatting>
  <conditionalFormatting sqref="V914">
    <cfRule type="cellIs" dxfId="1" priority="1712" operator="equal">
      <formula>"Nuevo"</formula>
    </cfRule>
  </conditionalFormatting>
  <conditionalFormatting sqref="W914">
    <cfRule type="cellIs" dxfId="1" priority="1713" operator="equal">
      <formula>"Activa"</formula>
    </cfRule>
  </conditionalFormatting>
  <conditionalFormatting sqref="K915">
    <cfRule type="cellIs" dxfId="1" priority="1714" operator="equal">
      <formula>"$"</formula>
    </cfRule>
  </conditionalFormatting>
  <conditionalFormatting sqref="V915">
    <cfRule type="cellIs" dxfId="1" priority="1715" operator="equal">
      <formula>"Nuevo"</formula>
    </cfRule>
  </conditionalFormatting>
  <conditionalFormatting sqref="W915">
    <cfRule type="cellIs" dxfId="1" priority="1716" operator="equal">
      <formula>"Activa"</formula>
    </cfRule>
  </conditionalFormatting>
  <conditionalFormatting sqref="K916">
    <cfRule type="cellIs" dxfId="1" priority="1717" operator="equal">
      <formula>"$"</formula>
    </cfRule>
  </conditionalFormatting>
  <conditionalFormatting sqref="V916">
    <cfRule type="cellIs" dxfId="1" priority="1718" operator="equal">
      <formula>"Nuevo"</formula>
    </cfRule>
  </conditionalFormatting>
  <conditionalFormatting sqref="W916">
    <cfRule type="cellIs" dxfId="1" priority="1719" operator="equal">
      <formula>"Activa"</formula>
    </cfRule>
  </conditionalFormatting>
  <conditionalFormatting sqref="K917">
    <cfRule type="cellIs" dxfId="1" priority="1720" operator="equal">
      <formula>"$"</formula>
    </cfRule>
  </conditionalFormatting>
  <conditionalFormatting sqref="V917">
    <cfRule type="cellIs" dxfId="1" priority="1721" operator="equal">
      <formula>"Nuevo"</formula>
    </cfRule>
  </conditionalFormatting>
  <conditionalFormatting sqref="W917">
    <cfRule type="cellIs" dxfId="1" priority="1722" operator="equal">
      <formula>"Activa"</formula>
    </cfRule>
  </conditionalFormatting>
  <conditionalFormatting sqref="K918">
    <cfRule type="cellIs" dxfId="1" priority="1723" operator="equal">
      <formula>"$"</formula>
    </cfRule>
  </conditionalFormatting>
  <conditionalFormatting sqref="V918">
    <cfRule type="cellIs" dxfId="1" priority="1724" operator="equal">
      <formula>"Nuevo"</formula>
    </cfRule>
  </conditionalFormatting>
  <conditionalFormatting sqref="W918">
    <cfRule type="cellIs" dxfId="1" priority="1725" operator="equal">
      <formula>"Activa"</formula>
    </cfRule>
  </conditionalFormatting>
  <conditionalFormatting sqref="K919">
    <cfRule type="cellIs" dxfId="1" priority="1726" operator="equal">
      <formula>"$"</formula>
    </cfRule>
  </conditionalFormatting>
  <conditionalFormatting sqref="V919">
    <cfRule type="cellIs" dxfId="1" priority="1727" operator="equal">
      <formula>"Nuevo"</formula>
    </cfRule>
  </conditionalFormatting>
  <conditionalFormatting sqref="W919">
    <cfRule type="cellIs" dxfId="1" priority="1728" operator="equal">
      <formula>"Activa"</formula>
    </cfRule>
  </conditionalFormatting>
  <conditionalFormatting sqref="K920">
    <cfRule type="cellIs" dxfId="1" priority="1729" operator="equal">
      <formula>"$"</formula>
    </cfRule>
  </conditionalFormatting>
  <conditionalFormatting sqref="V920">
    <cfRule type="cellIs" dxfId="1" priority="1730" operator="equal">
      <formula>"Nuevo"</formula>
    </cfRule>
  </conditionalFormatting>
  <conditionalFormatting sqref="W920">
    <cfRule type="cellIs" dxfId="1" priority="1731" operator="equal">
      <formula>"Activa"</formula>
    </cfRule>
  </conditionalFormatting>
  <conditionalFormatting sqref="K921">
    <cfRule type="cellIs" dxfId="1" priority="1732" operator="equal">
      <formula>"$"</formula>
    </cfRule>
  </conditionalFormatting>
  <conditionalFormatting sqref="V921">
    <cfRule type="cellIs" dxfId="1" priority="1733" operator="equal">
      <formula>"Nuevo"</formula>
    </cfRule>
  </conditionalFormatting>
  <conditionalFormatting sqref="W921">
    <cfRule type="cellIs" dxfId="1" priority="1734" operator="equal">
      <formula>"Activa"</formula>
    </cfRule>
  </conditionalFormatting>
  <conditionalFormatting sqref="K922">
    <cfRule type="cellIs" dxfId="1" priority="1735" operator="equal">
      <formula>"$"</formula>
    </cfRule>
  </conditionalFormatting>
  <conditionalFormatting sqref="V922">
    <cfRule type="cellIs" dxfId="1" priority="1736" operator="equal">
      <formula>"Nuevo"</formula>
    </cfRule>
  </conditionalFormatting>
  <conditionalFormatting sqref="W922">
    <cfRule type="cellIs" dxfId="1" priority="1737" operator="equal">
      <formula>"Activa"</formula>
    </cfRule>
  </conditionalFormatting>
  <conditionalFormatting sqref="K923">
    <cfRule type="cellIs" dxfId="1" priority="1738" operator="equal">
      <formula>"$"</formula>
    </cfRule>
  </conditionalFormatting>
  <conditionalFormatting sqref="V923">
    <cfRule type="cellIs" dxfId="1" priority="1739" operator="equal">
      <formula>"Nuevo"</formula>
    </cfRule>
  </conditionalFormatting>
  <conditionalFormatting sqref="W923">
    <cfRule type="cellIs" dxfId="1" priority="1740" operator="equal">
      <formula>"Activa"</formula>
    </cfRule>
  </conditionalFormatting>
  <conditionalFormatting sqref="K924">
    <cfRule type="cellIs" dxfId="1" priority="1741" operator="equal">
      <formula>"$"</formula>
    </cfRule>
  </conditionalFormatting>
  <conditionalFormatting sqref="W924">
    <cfRule type="cellIs" dxfId="1" priority="1742" operator="equal">
      <formula>"Activa"</formula>
    </cfRule>
  </conditionalFormatting>
  <conditionalFormatting sqref="K925">
    <cfRule type="cellIs" dxfId="1" priority="1743" operator="equal">
      <formula>"$"</formula>
    </cfRule>
  </conditionalFormatting>
  <conditionalFormatting sqref="W925">
    <cfRule type="cellIs" dxfId="1" priority="1744" operator="equal">
      <formula>"Activa"</formula>
    </cfRule>
  </conditionalFormatting>
  <conditionalFormatting sqref="K926">
    <cfRule type="cellIs" dxfId="1" priority="1745" operator="equal">
      <formula>"$"</formula>
    </cfRule>
  </conditionalFormatting>
  <conditionalFormatting sqref="W926">
    <cfRule type="cellIs" dxfId="1" priority="1746" operator="equal">
      <formula>"Activa"</formula>
    </cfRule>
  </conditionalFormatting>
  <conditionalFormatting sqref="K927">
    <cfRule type="cellIs" dxfId="1" priority="1747" operator="equal">
      <formula>"$"</formula>
    </cfRule>
  </conditionalFormatting>
  <conditionalFormatting sqref="W927">
    <cfRule type="cellIs" dxfId="1" priority="1748" operator="equal">
      <formula>"Activa"</formula>
    </cfRule>
  </conditionalFormatting>
  <conditionalFormatting sqref="K928">
    <cfRule type="cellIs" dxfId="1" priority="1749" operator="equal">
      <formula>"$"</formula>
    </cfRule>
  </conditionalFormatting>
  <conditionalFormatting sqref="W928">
    <cfRule type="cellIs" dxfId="1" priority="1750" operator="equal">
      <formula>"Activa"</formula>
    </cfRule>
  </conditionalFormatting>
  <conditionalFormatting sqref="K929">
    <cfRule type="cellIs" dxfId="1" priority="1751" operator="equal">
      <formula>"$"</formula>
    </cfRule>
  </conditionalFormatting>
  <conditionalFormatting sqref="W929">
    <cfRule type="cellIs" dxfId="1" priority="1752" operator="equal">
      <formula>"Activa"</formula>
    </cfRule>
  </conditionalFormatting>
  <conditionalFormatting sqref="K930">
    <cfRule type="cellIs" dxfId="1" priority="1753" operator="equal">
      <formula>"$"</formula>
    </cfRule>
  </conditionalFormatting>
  <conditionalFormatting sqref="W930">
    <cfRule type="cellIs" dxfId="1" priority="1754" operator="equal">
      <formula>"Activa"</formula>
    </cfRule>
  </conditionalFormatting>
  <conditionalFormatting sqref="K931">
    <cfRule type="cellIs" dxfId="1" priority="1755" operator="equal">
      <formula>"$"</formula>
    </cfRule>
  </conditionalFormatting>
  <conditionalFormatting sqref="W931">
    <cfRule type="cellIs" dxfId="1" priority="1756" operator="equal">
      <formula>"Activa"</formula>
    </cfRule>
  </conditionalFormatting>
  <conditionalFormatting sqref="K932">
    <cfRule type="cellIs" dxfId="1" priority="1757" operator="equal">
      <formula>"$"</formula>
    </cfRule>
  </conditionalFormatting>
  <conditionalFormatting sqref="V932">
    <cfRule type="cellIs" dxfId="1" priority="1758" operator="equal">
      <formula>"Nuevo"</formula>
    </cfRule>
  </conditionalFormatting>
  <conditionalFormatting sqref="W932">
    <cfRule type="cellIs" dxfId="1" priority="1759" operator="equal">
      <formula>"Activa"</formula>
    </cfRule>
  </conditionalFormatting>
  <conditionalFormatting sqref="K933">
    <cfRule type="cellIs" dxfId="1" priority="1760" operator="equal">
      <formula>"$"</formula>
    </cfRule>
  </conditionalFormatting>
  <conditionalFormatting sqref="V933">
    <cfRule type="cellIs" dxfId="1" priority="1761" operator="equal">
      <formula>"Nuevo"</formula>
    </cfRule>
  </conditionalFormatting>
  <conditionalFormatting sqref="W933">
    <cfRule type="cellIs" dxfId="1" priority="1762" operator="equal">
      <formula>"Inactiva"</formula>
    </cfRule>
  </conditionalFormatting>
  <conditionalFormatting sqref="K934">
    <cfRule type="cellIs" dxfId="1" priority="1763" operator="equal">
      <formula>"$"</formula>
    </cfRule>
  </conditionalFormatting>
  <conditionalFormatting sqref="V934">
    <cfRule type="cellIs" dxfId="1" priority="1764" operator="equal">
      <formula>"Nuevo"</formula>
    </cfRule>
  </conditionalFormatting>
  <conditionalFormatting sqref="W934">
    <cfRule type="cellIs" dxfId="1" priority="1765" operator="equal">
      <formula>"Inactiva"</formula>
    </cfRule>
  </conditionalFormatting>
  <conditionalFormatting sqref="K939">
    <cfRule type="cellIs" dxfId="1" priority="1766" operator="equal">
      <formula>"$"</formula>
    </cfRule>
  </conditionalFormatting>
  <conditionalFormatting sqref="V939">
    <cfRule type="cellIs" dxfId="1" priority="1767" operator="equal">
      <formula>"Nuevo"</formula>
    </cfRule>
  </conditionalFormatting>
  <conditionalFormatting sqref="W939">
    <cfRule type="cellIs" dxfId="1" priority="1768" operator="equal">
      <formula>"Inactiva"</formula>
    </cfRule>
  </conditionalFormatting>
  <conditionalFormatting sqref="K940">
    <cfRule type="cellIs" dxfId="1" priority="1769" operator="equal">
      <formula>"$"</formula>
    </cfRule>
  </conditionalFormatting>
  <conditionalFormatting sqref="V940">
    <cfRule type="cellIs" dxfId="1" priority="1770" operator="equal">
      <formula>"Nuevo"</formula>
    </cfRule>
  </conditionalFormatting>
  <conditionalFormatting sqref="W940">
    <cfRule type="cellIs" dxfId="1" priority="1771" operator="equal">
      <formula>"Inactiva"</formula>
    </cfRule>
  </conditionalFormatting>
  <conditionalFormatting sqref="K943">
    <cfRule type="cellIs" dxfId="1" priority="1772" operator="equal">
      <formula>"$"</formula>
    </cfRule>
  </conditionalFormatting>
  <conditionalFormatting sqref="V943">
    <cfRule type="cellIs" dxfId="1" priority="1773" operator="equal">
      <formula>"Nuevo"</formula>
    </cfRule>
  </conditionalFormatting>
  <conditionalFormatting sqref="W943">
    <cfRule type="cellIs" dxfId="1" priority="1774" operator="equal">
      <formula>"Inactiva"</formula>
    </cfRule>
  </conditionalFormatting>
  <conditionalFormatting sqref="K944">
    <cfRule type="cellIs" dxfId="1" priority="1775" operator="equal">
      <formula>"$"</formula>
    </cfRule>
  </conditionalFormatting>
  <conditionalFormatting sqref="V944">
    <cfRule type="cellIs" dxfId="1" priority="1776" operator="equal">
      <formula>"Nuevo"</formula>
    </cfRule>
  </conditionalFormatting>
  <conditionalFormatting sqref="W944">
    <cfRule type="cellIs" dxfId="1" priority="1777" operator="equal">
      <formula>"Inactiva"</formula>
    </cfRule>
  </conditionalFormatting>
  <conditionalFormatting sqref="K945">
    <cfRule type="cellIs" dxfId="1" priority="1778" operator="equal">
      <formula>"$"</formula>
    </cfRule>
  </conditionalFormatting>
  <conditionalFormatting sqref="V945">
    <cfRule type="cellIs" dxfId="1" priority="1779" operator="equal">
      <formula>"Nuevo"</formula>
    </cfRule>
  </conditionalFormatting>
  <conditionalFormatting sqref="W945">
    <cfRule type="cellIs" dxfId="1" priority="1780" operator="equal">
      <formula>"Inactiva"</formula>
    </cfRule>
  </conditionalFormatting>
  <conditionalFormatting sqref="K946">
    <cfRule type="cellIs" dxfId="1" priority="1781" operator="equal">
      <formula>"$"</formula>
    </cfRule>
  </conditionalFormatting>
  <conditionalFormatting sqref="V946">
    <cfRule type="cellIs" dxfId="1" priority="1782" operator="equal">
      <formula>"Nuevo"</formula>
    </cfRule>
  </conditionalFormatting>
  <conditionalFormatting sqref="W946">
    <cfRule type="cellIs" dxfId="1" priority="1783" operator="equal">
      <formula>"Inactiva"</formula>
    </cfRule>
  </conditionalFormatting>
  <conditionalFormatting sqref="K947">
    <cfRule type="cellIs" dxfId="1" priority="1784" operator="equal">
      <formula>"$"</formula>
    </cfRule>
  </conditionalFormatting>
  <conditionalFormatting sqref="V947">
    <cfRule type="cellIs" dxfId="1" priority="1785" operator="equal">
      <formula>"Nuevo"</formula>
    </cfRule>
  </conditionalFormatting>
  <conditionalFormatting sqref="W947">
    <cfRule type="cellIs" dxfId="1" priority="1786" operator="equal">
      <formula>"Inactiva"</formula>
    </cfRule>
  </conditionalFormatting>
  <conditionalFormatting sqref="K948">
    <cfRule type="cellIs" dxfId="1" priority="1787" operator="equal">
      <formula>"$"</formula>
    </cfRule>
  </conditionalFormatting>
  <conditionalFormatting sqref="V948">
    <cfRule type="cellIs" dxfId="1" priority="1788" operator="equal">
      <formula>"Nuevo"</formula>
    </cfRule>
  </conditionalFormatting>
  <conditionalFormatting sqref="W948">
    <cfRule type="cellIs" dxfId="1" priority="1789" operator="equal">
      <formula>"Inactiva"</formula>
    </cfRule>
  </conditionalFormatting>
  <conditionalFormatting sqref="K949">
    <cfRule type="cellIs" dxfId="1" priority="1790" operator="equal">
      <formula>"$"</formula>
    </cfRule>
  </conditionalFormatting>
  <conditionalFormatting sqref="V949">
    <cfRule type="cellIs" dxfId="1" priority="1791" operator="equal">
      <formula>"Nuevo"</formula>
    </cfRule>
  </conditionalFormatting>
  <conditionalFormatting sqref="W949">
    <cfRule type="cellIs" dxfId="1" priority="1792" operator="equal">
      <formula>"Inactiva"</formula>
    </cfRule>
  </conditionalFormatting>
  <conditionalFormatting sqref="K950">
    <cfRule type="cellIs" dxfId="1" priority="1793" operator="equal">
      <formula>"$"</formula>
    </cfRule>
  </conditionalFormatting>
  <conditionalFormatting sqref="V950">
    <cfRule type="cellIs" dxfId="1" priority="1794" operator="equal">
      <formula>"Nuevo"</formula>
    </cfRule>
  </conditionalFormatting>
  <conditionalFormatting sqref="W950">
    <cfRule type="cellIs" dxfId="1" priority="1795" operator="equal">
      <formula>"Inactiva"</formula>
    </cfRule>
  </conditionalFormatting>
  <conditionalFormatting sqref="K951">
    <cfRule type="cellIs" dxfId="1" priority="1796" operator="equal">
      <formula>"$"</formula>
    </cfRule>
  </conditionalFormatting>
  <conditionalFormatting sqref="V951">
    <cfRule type="cellIs" dxfId="1" priority="1797" operator="equal">
      <formula>"Nuevo"</formula>
    </cfRule>
  </conditionalFormatting>
  <conditionalFormatting sqref="W951">
    <cfRule type="cellIs" dxfId="1" priority="1798" operator="equal">
      <formula>"Inactiva"</formula>
    </cfRule>
  </conditionalFormatting>
  <conditionalFormatting sqref="K952">
    <cfRule type="cellIs" dxfId="1" priority="1799" operator="equal">
      <formula>"$"</formula>
    </cfRule>
  </conditionalFormatting>
  <conditionalFormatting sqref="V952">
    <cfRule type="cellIs" dxfId="1" priority="1800" operator="equal">
      <formula>"Nuevo"</formula>
    </cfRule>
  </conditionalFormatting>
  <conditionalFormatting sqref="W952">
    <cfRule type="cellIs" dxfId="1" priority="1801" operator="equal">
      <formula>"Inactiva"</formula>
    </cfRule>
  </conditionalFormatting>
  <conditionalFormatting sqref="K953">
    <cfRule type="cellIs" dxfId="1" priority="1802" operator="equal">
      <formula>"$"</formula>
    </cfRule>
  </conditionalFormatting>
  <conditionalFormatting sqref="V953">
    <cfRule type="cellIs" dxfId="1" priority="1803" operator="equal">
      <formula>"Nuevo"</formula>
    </cfRule>
  </conditionalFormatting>
  <conditionalFormatting sqref="W953">
    <cfRule type="cellIs" dxfId="1" priority="1804" operator="equal">
      <formula>"Inactiva"</formula>
    </cfRule>
  </conditionalFormatting>
  <conditionalFormatting sqref="K954">
    <cfRule type="cellIs" dxfId="1" priority="1805" operator="equal">
      <formula>"$"</formula>
    </cfRule>
  </conditionalFormatting>
  <conditionalFormatting sqref="V954">
    <cfRule type="cellIs" dxfId="1" priority="1806" operator="equal">
      <formula>"Nuevo"</formula>
    </cfRule>
  </conditionalFormatting>
  <conditionalFormatting sqref="W954">
    <cfRule type="cellIs" dxfId="1" priority="1807" operator="equal">
      <formula>"Inactiva"</formula>
    </cfRule>
  </conditionalFormatting>
  <conditionalFormatting sqref="K955">
    <cfRule type="cellIs" dxfId="1" priority="1808" operator="equal">
      <formula>"$"</formula>
    </cfRule>
  </conditionalFormatting>
  <conditionalFormatting sqref="V955">
    <cfRule type="cellIs" dxfId="1" priority="1809" operator="equal">
      <formula>"Nuevo"</formula>
    </cfRule>
  </conditionalFormatting>
  <conditionalFormatting sqref="W955">
    <cfRule type="cellIs" dxfId="1" priority="1810" operator="equal">
      <formula>"Inactiva"</formula>
    </cfRule>
  </conditionalFormatting>
  <conditionalFormatting sqref="K956">
    <cfRule type="cellIs" dxfId="1" priority="1811" operator="equal">
      <formula>"$"</formula>
    </cfRule>
  </conditionalFormatting>
  <conditionalFormatting sqref="V956">
    <cfRule type="cellIs" dxfId="1" priority="1812" operator="equal">
      <formula>"Nuevo"</formula>
    </cfRule>
  </conditionalFormatting>
  <conditionalFormatting sqref="W956">
    <cfRule type="cellIs" dxfId="1" priority="1813" operator="equal">
      <formula>"Inactiva"</formula>
    </cfRule>
  </conditionalFormatting>
  <conditionalFormatting sqref="K957">
    <cfRule type="cellIs" dxfId="1" priority="1814" operator="equal">
      <formula>"$"</formula>
    </cfRule>
  </conditionalFormatting>
  <conditionalFormatting sqref="V957">
    <cfRule type="cellIs" dxfId="1" priority="1815" operator="equal">
      <formula>"Nuevo"</formula>
    </cfRule>
  </conditionalFormatting>
  <conditionalFormatting sqref="W957">
    <cfRule type="cellIs" dxfId="1" priority="1816" operator="equal">
      <formula>"Inactiva"</formula>
    </cfRule>
  </conditionalFormatting>
  <conditionalFormatting sqref="K958">
    <cfRule type="cellIs" dxfId="1" priority="1817" operator="equal">
      <formula>"$"</formula>
    </cfRule>
  </conditionalFormatting>
  <conditionalFormatting sqref="V958">
    <cfRule type="cellIs" dxfId="1" priority="1818" operator="equal">
      <formula>"Nuevo"</formula>
    </cfRule>
  </conditionalFormatting>
  <conditionalFormatting sqref="W958">
    <cfRule type="cellIs" dxfId="1" priority="1819" operator="equal">
      <formula>"Inactiva"</formula>
    </cfRule>
  </conditionalFormatting>
  <conditionalFormatting sqref="K959">
    <cfRule type="cellIs" dxfId="1" priority="1820" operator="equal">
      <formula>"$"</formula>
    </cfRule>
  </conditionalFormatting>
  <conditionalFormatting sqref="V959">
    <cfRule type="cellIs" dxfId="1" priority="1821" operator="equal">
      <formula>"Nuevo"</formula>
    </cfRule>
  </conditionalFormatting>
  <conditionalFormatting sqref="W959">
    <cfRule type="cellIs" dxfId="1" priority="1822" operator="equal">
      <formula>"Inactiva"</formula>
    </cfRule>
  </conditionalFormatting>
  <conditionalFormatting sqref="K960">
    <cfRule type="cellIs" dxfId="1" priority="1823" operator="equal">
      <formula>"$"</formula>
    </cfRule>
  </conditionalFormatting>
  <conditionalFormatting sqref="V960">
    <cfRule type="cellIs" dxfId="1" priority="1824" operator="equal">
      <formula>"Nuevo"</formula>
    </cfRule>
  </conditionalFormatting>
  <conditionalFormatting sqref="W960">
    <cfRule type="cellIs" dxfId="1" priority="1825" operator="equal">
      <formula>"Inactiva"</formula>
    </cfRule>
  </conditionalFormatting>
  <conditionalFormatting sqref="K961">
    <cfRule type="cellIs" dxfId="1" priority="1826" operator="equal">
      <formula>"$"</formula>
    </cfRule>
  </conditionalFormatting>
  <conditionalFormatting sqref="V961">
    <cfRule type="cellIs" dxfId="1" priority="1827" operator="equal">
      <formula>"Nuevo"</formula>
    </cfRule>
  </conditionalFormatting>
  <conditionalFormatting sqref="W961">
    <cfRule type="cellIs" dxfId="1" priority="1828" operator="equal">
      <formula>"Inactiva"</formula>
    </cfRule>
  </conditionalFormatting>
  <conditionalFormatting sqref="K962">
    <cfRule type="cellIs" dxfId="1" priority="1829" operator="equal">
      <formula>"$"</formula>
    </cfRule>
  </conditionalFormatting>
  <conditionalFormatting sqref="V962">
    <cfRule type="cellIs" dxfId="1" priority="1830" operator="equal">
      <formula>"Nuevo"</formula>
    </cfRule>
  </conditionalFormatting>
  <conditionalFormatting sqref="W962">
    <cfRule type="cellIs" dxfId="1" priority="1831" operator="equal">
      <formula>"Inactiva"</formula>
    </cfRule>
  </conditionalFormatting>
  <conditionalFormatting sqref="K963">
    <cfRule type="cellIs" dxfId="1" priority="1832" operator="equal">
      <formula>"$"</formula>
    </cfRule>
  </conditionalFormatting>
  <conditionalFormatting sqref="V963">
    <cfRule type="cellIs" dxfId="1" priority="1833" operator="equal">
      <formula>"Nuevo"</formula>
    </cfRule>
  </conditionalFormatting>
  <conditionalFormatting sqref="W963">
    <cfRule type="cellIs" dxfId="1" priority="1834" operator="equal">
      <formula>"Inactiva"</formula>
    </cfRule>
  </conditionalFormatting>
  <conditionalFormatting sqref="K964">
    <cfRule type="cellIs" dxfId="1" priority="1835" operator="equal">
      <formula>"$"</formula>
    </cfRule>
  </conditionalFormatting>
  <conditionalFormatting sqref="V964">
    <cfRule type="cellIs" dxfId="1" priority="1836" operator="equal">
      <formula>"Nuevo"</formula>
    </cfRule>
  </conditionalFormatting>
  <conditionalFormatting sqref="W964">
    <cfRule type="cellIs" dxfId="1" priority="1837" operator="equal">
      <formula>"Inactiva"</formula>
    </cfRule>
  </conditionalFormatting>
  <conditionalFormatting sqref="K965">
    <cfRule type="cellIs" dxfId="1" priority="1838" operator="equal">
      <formula>"$"</formula>
    </cfRule>
  </conditionalFormatting>
  <conditionalFormatting sqref="V965">
    <cfRule type="cellIs" dxfId="1" priority="1839" operator="equal">
      <formula>"Nuevo"</formula>
    </cfRule>
  </conditionalFormatting>
  <conditionalFormatting sqref="W965">
    <cfRule type="cellIs" dxfId="1" priority="1840" operator="equal">
      <formula>"Inactiva"</formula>
    </cfRule>
  </conditionalFormatting>
  <conditionalFormatting sqref="K966">
    <cfRule type="cellIs" dxfId="1" priority="1841" operator="equal">
      <formula>"$"</formula>
    </cfRule>
  </conditionalFormatting>
  <conditionalFormatting sqref="V966">
    <cfRule type="cellIs" dxfId="1" priority="1842" operator="equal">
      <formula>"Nuevo"</formula>
    </cfRule>
  </conditionalFormatting>
  <conditionalFormatting sqref="W966">
    <cfRule type="cellIs" dxfId="1" priority="1843" operator="equal">
      <formula>"Inactiva"</formula>
    </cfRule>
  </conditionalFormatting>
  <conditionalFormatting sqref="K967">
    <cfRule type="cellIs" dxfId="1" priority="1844" operator="equal">
      <formula>"$"</formula>
    </cfRule>
  </conditionalFormatting>
  <conditionalFormatting sqref="V967">
    <cfRule type="cellIs" dxfId="1" priority="1845" operator="equal">
      <formula>"Nuevo"</formula>
    </cfRule>
  </conditionalFormatting>
  <conditionalFormatting sqref="W967">
    <cfRule type="cellIs" dxfId="1" priority="1846" operator="equal">
      <formula>"Inactiva"</formula>
    </cfRule>
  </conditionalFormatting>
  <conditionalFormatting sqref="K968">
    <cfRule type="cellIs" dxfId="1" priority="1847" operator="equal">
      <formula>"$"</formula>
    </cfRule>
  </conditionalFormatting>
  <conditionalFormatting sqref="V968">
    <cfRule type="cellIs" dxfId="1" priority="1848" operator="equal">
      <formula>"Nuevo"</formula>
    </cfRule>
  </conditionalFormatting>
  <conditionalFormatting sqref="W968">
    <cfRule type="cellIs" dxfId="1" priority="1849" operator="equal">
      <formula>"Inactiva"</formula>
    </cfRule>
  </conditionalFormatting>
  <conditionalFormatting sqref="K969">
    <cfRule type="cellIs" dxfId="1" priority="1850" operator="equal">
      <formula>"$"</formula>
    </cfRule>
  </conditionalFormatting>
  <conditionalFormatting sqref="V969">
    <cfRule type="cellIs" dxfId="1" priority="1851" operator="equal">
      <formula>"Nuevo"</formula>
    </cfRule>
  </conditionalFormatting>
  <conditionalFormatting sqref="W969">
    <cfRule type="cellIs" dxfId="1" priority="1852" operator="equal">
      <formula>"Inactiva"</formula>
    </cfRule>
  </conditionalFormatting>
  <conditionalFormatting sqref="K970">
    <cfRule type="cellIs" dxfId="1" priority="1853" operator="equal">
      <formula>"$"</formula>
    </cfRule>
  </conditionalFormatting>
  <conditionalFormatting sqref="V970">
    <cfRule type="cellIs" dxfId="1" priority="1854" operator="equal">
      <formula>"Nuevo"</formula>
    </cfRule>
  </conditionalFormatting>
  <conditionalFormatting sqref="W970">
    <cfRule type="cellIs" dxfId="1" priority="1855" operator="equal">
      <formula>"Inactiva"</formula>
    </cfRule>
  </conditionalFormatting>
  <conditionalFormatting sqref="K971">
    <cfRule type="cellIs" dxfId="1" priority="1856" operator="equal">
      <formula>"$"</formula>
    </cfRule>
  </conditionalFormatting>
  <conditionalFormatting sqref="V971">
    <cfRule type="cellIs" dxfId="1" priority="1857" operator="equal">
      <formula>"Nuevo"</formula>
    </cfRule>
  </conditionalFormatting>
  <conditionalFormatting sqref="W971">
    <cfRule type="cellIs" dxfId="1" priority="1858" operator="equal">
      <formula>"Inactiva"</formula>
    </cfRule>
  </conditionalFormatting>
  <conditionalFormatting sqref="K972">
    <cfRule type="cellIs" dxfId="1" priority="1859" operator="equal">
      <formula>"$"</formula>
    </cfRule>
  </conditionalFormatting>
  <conditionalFormatting sqref="V972">
    <cfRule type="cellIs" dxfId="1" priority="1860" operator="equal">
      <formula>"Nuevo"</formula>
    </cfRule>
  </conditionalFormatting>
  <conditionalFormatting sqref="W972">
    <cfRule type="cellIs" dxfId="1" priority="1861" operator="equal">
      <formula>"Inactiva"</formula>
    </cfRule>
  </conditionalFormatting>
  <conditionalFormatting sqref="K973">
    <cfRule type="cellIs" dxfId="1" priority="1862" operator="equal">
      <formula>"$"</formula>
    </cfRule>
  </conditionalFormatting>
  <conditionalFormatting sqref="V973">
    <cfRule type="cellIs" dxfId="1" priority="1863" operator="equal">
      <formula>"Nuevo"</formula>
    </cfRule>
  </conditionalFormatting>
  <conditionalFormatting sqref="W973">
    <cfRule type="cellIs" dxfId="1" priority="1864" operator="equal">
      <formula>"Inactiva"</formula>
    </cfRule>
  </conditionalFormatting>
  <conditionalFormatting sqref="K974">
    <cfRule type="cellIs" dxfId="1" priority="1865" operator="equal">
      <formula>"$"</formula>
    </cfRule>
  </conditionalFormatting>
  <conditionalFormatting sqref="V974">
    <cfRule type="cellIs" dxfId="1" priority="1866" operator="equal">
      <formula>"Nuevo"</formula>
    </cfRule>
  </conditionalFormatting>
  <conditionalFormatting sqref="W974">
    <cfRule type="cellIs" dxfId="1" priority="1867" operator="equal">
      <formula>"Inactiva"</formula>
    </cfRule>
  </conditionalFormatting>
  <conditionalFormatting sqref="K975">
    <cfRule type="cellIs" dxfId="1" priority="1868" operator="equal">
      <formula>"$"</formula>
    </cfRule>
  </conditionalFormatting>
  <conditionalFormatting sqref="V975">
    <cfRule type="cellIs" dxfId="1" priority="1869" operator="equal">
      <formula>"Nuevo"</formula>
    </cfRule>
  </conditionalFormatting>
  <conditionalFormatting sqref="W975">
    <cfRule type="cellIs" dxfId="1" priority="1870" operator="equal">
      <formula>"Inactiva"</formula>
    </cfRule>
  </conditionalFormatting>
  <conditionalFormatting sqref="K976">
    <cfRule type="cellIs" dxfId="1" priority="1871" operator="equal">
      <formula>"$"</formula>
    </cfRule>
  </conditionalFormatting>
  <conditionalFormatting sqref="V976">
    <cfRule type="cellIs" dxfId="1" priority="1872" operator="equal">
      <formula>"Nuevo"</formula>
    </cfRule>
  </conditionalFormatting>
  <conditionalFormatting sqref="W976">
    <cfRule type="cellIs" dxfId="1" priority="1873" operator="equal">
      <formula>"Inactiva"</formula>
    </cfRule>
  </conditionalFormatting>
  <conditionalFormatting sqref="K977">
    <cfRule type="cellIs" dxfId="1" priority="1874" operator="equal">
      <formula>"$"</formula>
    </cfRule>
  </conditionalFormatting>
  <conditionalFormatting sqref="V977">
    <cfRule type="cellIs" dxfId="1" priority="1875" operator="equal">
      <formula>"Nuevo"</formula>
    </cfRule>
  </conditionalFormatting>
  <conditionalFormatting sqref="W977">
    <cfRule type="cellIs" dxfId="1" priority="1876" operator="equal">
      <formula>"Inactiva"</formula>
    </cfRule>
  </conditionalFormatting>
  <conditionalFormatting sqref="K978">
    <cfRule type="cellIs" dxfId="1" priority="1877" operator="equal">
      <formula>"$"</formula>
    </cfRule>
  </conditionalFormatting>
  <conditionalFormatting sqref="V978">
    <cfRule type="cellIs" dxfId="1" priority="1878" operator="equal">
      <formula>"Nuevo"</formula>
    </cfRule>
  </conditionalFormatting>
  <conditionalFormatting sqref="W978">
    <cfRule type="cellIs" dxfId="1" priority="1879" operator="equal">
      <formula>"Inactiva"</formula>
    </cfRule>
  </conditionalFormatting>
  <conditionalFormatting sqref="K979">
    <cfRule type="cellIs" dxfId="1" priority="1880" operator="equal">
      <formula>"$"</formula>
    </cfRule>
  </conditionalFormatting>
  <conditionalFormatting sqref="V979">
    <cfRule type="cellIs" dxfId="1" priority="1881" operator="equal">
      <formula>"Nuevo"</formula>
    </cfRule>
  </conditionalFormatting>
  <conditionalFormatting sqref="W979">
    <cfRule type="cellIs" dxfId="1" priority="1882" operator="equal">
      <formula>"Inactiva"</formula>
    </cfRule>
  </conditionalFormatting>
  <conditionalFormatting sqref="K980">
    <cfRule type="cellIs" dxfId="1" priority="1883" operator="equal">
      <formula>"$"</formula>
    </cfRule>
  </conditionalFormatting>
  <conditionalFormatting sqref="V980">
    <cfRule type="cellIs" dxfId="1" priority="1884" operator="equal">
      <formula>"Nuevo"</formula>
    </cfRule>
  </conditionalFormatting>
  <conditionalFormatting sqref="W980">
    <cfRule type="cellIs" dxfId="1" priority="1885" operator="equal">
      <formula>"Inactiva"</formula>
    </cfRule>
  </conditionalFormatting>
  <conditionalFormatting sqref="K981">
    <cfRule type="cellIs" dxfId="1" priority="1886" operator="equal">
      <formula>"$"</formula>
    </cfRule>
  </conditionalFormatting>
  <conditionalFormatting sqref="V981">
    <cfRule type="cellIs" dxfId="1" priority="1887" operator="equal">
      <formula>"Nuevo"</formula>
    </cfRule>
  </conditionalFormatting>
  <conditionalFormatting sqref="W981">
    <cfRule type="cellIs" dxfId="1" priority="1888" operator="equal">
      <formula>"Inactiva"</formula>
    </cfRule>
  </conditionalFormatting>
  <conditionalFormatting sqref="K982">
    <cfRule type="cellIs" dxfId="1" priority="1889" operator="equal">
      <formula>"$"</formula>
    </cfRule>
  </conditionalFormatting>
  <conditionalFormatting sqref="V982">
    <cfRule type="cellIs" dxfId="1" priority="1890" operator="equal">
      <formula>"Nuevo"</formula>
    </cfRule>
  </conditionalFormatting>
  <conditionalFormatting sqref="W982">
    <cfRule type="cellIs" dxfId="1" priority="1891" operator="equal">
      <formula>"Inactiva"</formula>
    </cfRule>
  </conditionalFormatting>
  <conditionalFormatting sqref="K983">
    <cfRule type="cellIs" dxfId="1" priority="1892" operator="equal">
      <formula>"$"</formula>
    </cfRule>
  </conditionalFormatting>
  <conditionalFormatting sqref="V983">
    <cfRule type="cellIs" dxfId="1" priority="1893" operator="equal">
      <formula>"Nuevo"</formula>
    </cfRule>
  </conditionalFormatting>
  <conditionalFormatting sqref="W983">
    <cfRule type="cellIs" dxfId="1" priority="1894" operator="equal">
      <formula>"Inactiva"</formula>
    </cfRule>
  </conditionalFormatting>
  <conditionalFormatting sqref="K984">
    <cfRule type="cellIs" dxfId="1" priority="1895" operator="equal">
      <formula>"$"</formula>
    </cfRule>
  </conditionalFormatting>
  <conditionalFormatting sqref="V984">
    <cfRule type="cellIs" dxfId="1" priority="1896" operator="equal">
      <formula>"Nuevo"</formula>
    </cfRule>
  </conditionalFormatting>
  <conditionalFormatting sqref="W984">
    <cfRule type="cellIs" dxfId="1" priority="1897" operator="equal">
      <formula>"Inactiva"</formula>
    </cfRule>
  </conditionalFormatting>
  <conditionalFormatting sqref="K985">
    <cfRule type="cellIs" dxfId="1" priority="1898" operator="equal">
      <formula>"$"</formula>
    </cfRule>
  </conditionalFormatting>
  <conditionalFormatting sqref="V985">
    <cfRule type="cellIs" dxfId="1" priority="1899" operator="equal">
      <formula>"Nuevo"</formula>
    </cfRule>
  </conditionalFormatting>
  <conditionalFormatting sqref="W985">
    <cfRule type="cellIs" dxfId="1" priority="1900" operator="equal">
      <formula>"Inactiva"</formula>
    </cfRule>
  </conditionalFormatting>
  <conditionalFormatting sqref="K986">
    <cfRule type="cellIs" dxfId="1" priority="1901" operator="equal">
      <formula>"$"</formula>
    </cfRule>
  </conditionalFormatting>
  <conditionalFormatting sqref="V986">
    <cfRule type="cellIs" dxfId="1" priority="1902" operator="equal">
      <formula>"Nuevo"</formula>
    </cfRule>
  </conditionalFormatting>
  <conditionalFormatting sqref="W986">
    <cfRule type="cellIs" dxfId="1" priority="1903" operator="equal">
      <formula>"Inactiva"</formula>
    </cfRule>
  </conditionalFormatting>
  <conditionalFormatting sqref="K987">
    <cfRule type="cellIs" dxfId="1" priority="1904" operator="equal">
      <formula>"$"</formula>
    </cfRule>
  </conditionalFormatting>
  <conditionalFormatting sqref="V987">
    <cfRule type="cellIs" dxfId="1" priority="1905" operator="equal">
      <formula>"Nuevo"</formula>
    </cfRule>
  </conditionalFormatting>
  <conditionalFormatting sqref="W987">
    <cfRule type="cellIs" dxfId="1" priority="1906" operator="equal">
      <formula>"Inactiva"</formula>
    </cfRule>
  </conditionalFormatting>
  <conditionalFormatting sqref="K988">
    <cfRule type="cellIs" dxfId="1" priority="1907" operator="equal">
      <formula>"$"</formula>
    </cfRule>
  </conditionalFormatting>
  <conditionalFormatting sqref="V988">
    <cfRule type="cellIs" dxfId="1" priority="1908" operator="equal">
      <formula>"Nuevo"</formula>
    </cfRule>
  </conditionalFormatting>
  <conditionalFormatting sqref="W988">
    <cfRule type="cellIs" dxfId="1" priority="1909" operator="equal">
      <formula>"Inactiva"</formula>
    </cfRule>
  </conditionalFormatting>
  <conditionalFormatting sqref="K989">
    <cfRule type="cellIs" dxfId="1" priority="1910" operator="equal">
      <formula>"$"</formula>
    </cfRule>
  </conditionalFormatting>
  <conditionalFormatting sqref="V989">
    <cfRule type="cellIs" dxfId="1" priority="1911" operator="equal">
      <formula>"Nuevo"</formula>
    </cfRule>
  </conditionalFormatting>
  <conditionalFormatting sqref="W989">
    <cfRule type="cellIs" dxfId="1" priority="1912" operator="equal">
      <formula>"Inactiva"</formula>
    </cfRule>
  </conditionalFormatting>
  <conditionalFormatting sqref="K990">
    <cfRule type="cellIs" dxfId="1" priority="1913" operator="equal">
      <formula>"$"</formula>
    </cfRule>
  </conditionalFormatting>
  <conditionalFormatting sqref="V990">
    <cfRule type="cellIs" dxfId="1" priority="1914" operator="equal">
      <formula>"Nuevo"</formula>
    </cfRule>
  </conditionalFormatting>
  <conditionalFormatting sqref="W990">
    <cfRule type="cellIs" dxfId="1" priority="1915" operator="equal">
      <formula>"Inactiva"</formula>
    </cfRule>
  </conditionalFormatting>
  <conditionalFormatting sqref="K994">
    <cfRule type="cellIs" dxfId="1" priority="1916" operator="equal">
      <formula>"$"</formula>
    </cfRule>
  </conditionalFormatting>
  <conditionalFormatting sqref="V994">
    <cfRule type="cellIs" dxfId="1" priority="1917" operator="equal">
      <formula>"Nuevo"</formula>
    </cfRule>
  </conditionalFormatting>
  <conditionalFormatting sqref="W994">
    <cfRule type="cellIs" dxfId="1" priority="1918" operator="equal">
      <formula>"Inactiva"</formula>
    </cfRule>
  </conditionalFormatting>
  <conditionalFormatting sqref="K995">
    <cfRule type="cellIs" dxfId="1" priority="1919" operator="equal">
      <formula>"$"</formula>
    </cfRule>
  </conditionalFormatting>
  <conditionalFormatting sqref="V995">
    <cfRule type="cellIs" dxfId="1" priority="1920" operator="equal">
      <formula>"Nuevo"</formula>
    </cfRule>
  </conditionalFormatting>
  <conditionalFormatting sqref="W995">
    <cfRule type="cellIs" dxfId="1" priority="1921" operator="equal">
      <formula>"Inactiva"</formula>
    </cfRule>
  </conditionalFormatting>
  <conditionalFormatting sqref="K996">
    <cfRule type="cellIs" dxfId="1" priority="1922" operator="equal">
      <formula>"$"</formula>
    </cfRule>
  </conditionalFormatting>
  <conditionalFormatting sqref="V996">
    <cfRule type="cellIs" dxfId="1" priority="1923" operator="equal">
      <formula>"Nuevo"</formula>
    </cfRule>
  </conditionalFormatting>
  <conditionalFormatting sqref="W996">
    <cfRule type="cellIs" dxfId="1" priority="1924" operator="equal">
      <formula>"Inactiva"</formula>
    </cfRule>
  </conditionalFormatting>
  <conditionalFormatting sqref="K997">
    <cfRule type="cellIs" dxfId="1" priority="1925" operator="equal">
      <formula>"$"</formula>
    </cfRule>
  </conditionalFormatting>
  <conditionalFormatting sqref="V997">
    <cfRule type="cellIs" dxfId="1" priority="1926" operator="equal">
      <formula>"Nuevo"</formula>
    </cfRule>
  </conditionalFormatting>
  <conditionalFormatting sqref="W997">
    <cfRule type="cellIs" dxfId="1" priority="1927" operator="equal">
      <formula>"Inactiva"</formula>
    </cfRule>
  </conditionalFormatting>
  <conditionalFormatting sqref="K998">
    <cfRule type="cellIs" dxfId="1" priority="1928" operator="equal">
      <formula>"$"</formula>
    </cfRule>
  </conditionalFormatting>
  <conditionalFormatting sqref="V998">
    <cfRule type="cellIs" dxfId="1" priority="1929" operator="equal">
      <formula>"Nuevo"</formula>
    </cfRule>
  </conditionalFormatting>
  <conditionalFormatting sqref="W998">
    <cfRule type="cellIs" dxfId="1" priority="1930" operator="equal">
      <formula>"Inactiva"</formula>
    </cfRule>
  </conditionalFormatting>
  <conditionalFormatting sqref="K999">
    <cfRule type="cellIs" dxfId="1" priority="1931" operator="equal">
      <formula>"$"</formula>
    </cfRule>
  </conditionalFormatting>
  <conditionalFormatting sqref="V999">
    <cfRule type="cellIs" dxfId="1" priority="1932" operator="equal">
      <formula>"Nuevo"</formula>
    </cfRule>
  </conditionalFormatting>
  <conditionalFormatting sqref="W999">
    <cfRule type="cellIs" dxfId="1" priority="1933" operator="equal">
      <formula>"Inactiva"</formula>
    </cfRule>
  </conditionalFormatting>
  <conditionalFormatting sqref="K1000">
    <cfRule type="cellIs" dxfId="1" priority="1934" operator="equal">
      <formula>"$"</formula>
    </cfRule>
  </conditionalFormatting>
  <conditionalFormatting sqref="V1000">
    <cfRule type="cellIs" dxfId="1" priority="1935" operator="equal">
      <formula>"Nuevo"</formula>
    </cfRule>
  </conditionalFormatting>
  <conditionalFormatting sqref="W1000">
    <cfRule type="cellIs" dxfId="1" priority="1936" operator="equal">
      <formula>"Inactiva"</formula>
    </cfRule>
  </conditionalFormatting>
  <conditionalFormatting sqref="K1001">
    <cfRule type="cellIs" dxfId="1" priority="1937" operator="equal">
      <formula>"$"</formula>
    </cfRule>
  </conditionalFormatting>
  <conditionalFormatting sqref="V1001">
    <cfRule type="cellIs" dxfId="1" priority="1938" operator="equal">
      <formula>"Nuevo"</formula>
    </cfRule>
  </conditionalFormatting>
  <conditionalFormatting sqref="W1001">
    <cfRule type="cellIs" dxfId="1" priority="1939" operator="equal">
      <formula>"Inactiva"</formula>
    </cfRule>
  </conditionalFormatting>
  <conditionalFormatting sqref="K1002">
    <cfRule type="cellIs" dxfId="1" priority="1940" operator="equal">
      <formula>"$"</formula>
    </cfRule>
  </conditionalFormatting>
  <conditionalFormatting sqref="V1002">
    <cfRule type="cellIs" dxfId="1" priority="1941" operator="equal">
      <formula>"Nuevo"</formula>
    </cfRule>
  </conditionalFormatting>
  <conditionalFormatting sqref="W1002">
    <cfRule type="cellIs" dxfId="1" priority="1942" operator="equal">
      <formula>"Inactiva"</formula>
    </cfRule>
  </conditionalFormatting>
  <conditionalFormatting sqref="K1003">
    <cfRule type="cellIs" dxfId="1" priority="1943" operator="equal">
      <formula>"$"</formula>
    </cfRule>
  </conditionalFormatting>
  <conditionalFormatting sqref="V1003">
    <cfRule type="cellIs" dxfId="1" priority="1944" operator="equal">
      <formula>"Nuevo"</formula>
    </cfRule>
  </conditionalFormatting>
  <conditionalFormatting sqref="W1003">
    <cfRule type="cellIs" dxfId="1" priority="1945" operator="equal">
      <formula>"Inactiva"</formula>
    </cfRule>
  </conditionalFormatting>
  <conditionalFormatting sqref="K1004">
    <cfRule type="cellIs" dxfId="1" priority="1946" operator="equal">
      <formula>"$"</formula>
    </cfRule>
  </conditionalFormatting>
  <conditionalFormatting sqref="V1004">
    <cfRule type="cellIs" dxfId="1" priority="1947" operator="equal">
      <formula>"Nuevo"</formula>
    </cfRule>
  </conditionalFormatting>
  <conditionalFormatting sqref="W1004">
    <cfRule type="cellIs" dxfId="1" priority="1948" operator="equal">
      <formula>"Inactiva"</formula>
    </cfRule>
  </conditionalFormatting>
  <conditionalFormatting sqref="K1005">
    <cfRule type="cellIs" dxfId="1" priority="1949" operator="equal">
      <formula>"$"</formula>
    </cfRule>
  </conditionalFormatting>
  <conditionalFormatting sqref="V1005">
    <cfRule type="cellIs" dxfId="1" priority="1950" operator="equal">
      <formula>"Nuevo"</formula>
    </cfRule>
  </conditionalFormatting>
  <conditionalFormatting sqref="W1005">
    <cfRule type="cellIs" dxfId="1" priority="1951" operator="equal">
      <formula>"Inactiva"</formula>
    </cfRule>
  </conditionalFormatting>
  <conditionalFormatting sqref="K1006">
    <cfRule type="cellIs" dxfId="1" priority="1952" operator="equal">
      <formula>"$"</formula>
    </cfRule>
  </conditionalFormatting>
  <conditionalFormatting sqref="V1006">
    <cfRule type="cellIs" dxfId="1" priority="1953" operator="equal">
      <formula>"Nuevo"</formula>
    </cfRule>
  </conditionalFormatting>
  <conditionalFormatting sqref="W1006">
    <cfRule type="cellIs" dxfId="1" priority="1954" operator="equal">
      <formula>"Inactiva"</formula>
    </cfRule>
  </conditionalFormatting>
  <conditionalFormatting sqref="K1007">
    <cfRule type="cellIs" dxfId="1" priority="1955" operator="equal">
      <formula>"$"</formula>
    </cfRule>
  </conditionalFormatting>
  <conditionalFormatting sqref="V1007">
    <cfRule type="cellIs" dxfId="1" priority="1956" operator="equal">
      <formula>"Nuevo"</formula>
    </cfRule>
  </conditionalFormatting>
  <conditionalFormatting sqref="W1007">
    <cfRule type="cellIs" dxfId="1" priority="1957" operator="equal">
      <formula>"Inactiva"</formula>
    </cfRule>
  </conditionalFormatting>
  <conditionalFormatting sqref="K1008">
    <cfRule type="cellIs" dxfId="1" priority="1958" operator="equal">
      <formula>"$"</formula>
    </cfRule>
  </conditionalFormatting>
  <conditionalFormatting sqref="V1008">
    <cfRule type="cellIs" dxfId="1" priority="1959" operator="equal">
      <formula>"Nuevo"</formula>
    </cfRule>
  </conditionalFormatting>
  <conditionalFormatting sqref="W1008">
    <cfRule type="cellIs" dxfId="1" priority="1960" operator="equal">
      <formula>"Inactiva"</formula>
    </cfRule>
  </conditionalFormatting>
  <conditionalFormatting sqref="K1013">
    <cfRule type="cellIs" dxfId="1" priority="1961" operator="equal">
      <formula>"$"</formula>
    </cfRule>
  </conditionalFormatting>
  <conditionalFormatting sqref="V1013">
    <cfRule type="cellIs" dxfId="1" priority="1962" operator="equal">
      <formula>"Nuevo"</formula>
    </cfRule>
  </conditionalFormatting>
  <conditionalFormatting sqref="W1013">
    <cfRule type="cellIs" dxfId="1" priority="1963" operator="equal">
      <formula>"Inactiva"</formula>
    </cfRule>
  </conditionalFormatting>
  <conditionalFormatting sqref="K1014">
    <cfRule type="cellIs" dxfId="1" priority="1964" operator="equal">
      <formula>"$"</formula>
    </cfRule>
  </conditionalFormatting>
  <conditionalFormatting sqref="V1014">
    <cfRule type="cellIs" dxfId="1" priority="1965" operator="equal">
      <formula>"Nuevo"</formula>
    </cfRule>
  </conditionalFormatting>
  <conditionalFormatting sqref="W1014">
    <cfRule type="cellIs" dxfId="1" priority="1966" operator="equal">
      <formula>"Inactiva"</formula>
    </cfRule>
  </conditionalFormatting>
  <conditionalFormatting sqref="K1015">
    <cfRule type="cellIs" dxfId="1" priority="1967" operator="equal">
      <formula>"$"</formula>
    </cfRule>
  </conditionalFormatting>
  <conditionalFormatting sqref="V1015">
    <cfRule type="cellIs" dxfId="1" priority="1968" operator="equal">
      <formula>"Nuevo"</formula>
    </cfRule>
  </conditionalFormatting>
  <conditionalFormatting sqref="W1015">
    <cfRule type="cellIs" dxfId="1" priority="1969" operator="equal">
      <formula>"Inactiva"</formula>
    </cfRule>
  </conditionalFormatting>
  <conditionalFormatting sqref="K1016">
    <cfRule type="cellIs" dxfId="1" priority="1970" operator="equal">
      <formula>"$"</formula>
    </cfRule>
  </conditionalFormatting>
  <conditionalFormatting sqref="V1016">
    <cfRule type="cellIs" dxfId="1" priority="1971" operator="equal">
      <formula>"Nuevo"</formula>
    </cfRule>
  </conditionalFormatting>
  <conditionalFormatting sqref="W1016">
    <cfRule type="cellIs" dxfId="1" priority="1972" operator="equal">
      <formula>"Inactiva"</formula>
    </cfRule>
  </conditionalFormatting>
  <conditionalFormatting sqref="K1017">
    <cfRule type="cellIs" dxfId="1" priority="1973" operator="equal">
      <formula>"$"</formula>
    </cfRule>
  </conditionalFormatting>
  <conditionalFormatting sqref="V1017">
    <cfRule type="cellIs" dxfId="1" priority="1974" operator="equal">
      <formula>"Nuevo"</formula>
    </cfRule>
  </conditionalFormatting>
  <conditionalFormatting sqref="W1017">
    <cfRule type="cellIs" dxfId="1" priority="1975" operator="equal">
      <formula>"Inactiva"</formula>
    </cfRule>
  </conditionalFormatting>
  <conditionalFormatting sqref="K1018">
    <cfRule type="cellIs" dxfId="1" priority="1976" operator="equal">
      <formula>"$"</formula>
    </cfRule>
  </conditionalFormatting>
  <conditionalFormatting sqref="V1018">
    <cfRule type="cellIs" dxfId="1" priority="1977" operator="equal">
      <formula>"Nuevo"</formula>
    </cfRule>
  </conditionalFormatting>
  <conditionalFormatting sqref="W1018">
    <cfRule type="cellIs" dxfId="1" priority="1978" operator="equal">
      <formula>"Inactiva"</formula>
    </cfRule>
  </conditionalFormatting>
  <conditionalFormatting sqref="K1019">
    <cfRule type="cellIs" dxfId="1" priority="1979" operator="equal">
      <formula>"$"</formula>
    </cfRule>
  </conditionalFormatting>
  <conditionalFormatting sqref="V1019">
    <cfRule type="cellIs" dxfId="1" priority="1980" operator="equal">
      <formula>"Nuevo"</formula>
    </cfRule>
  </conditionalFormatting>
  <conditionalFormatting sqref="W1019">
    <cfRule type="cellIs" dxfId="1" priority="1981" operator="equal">
      <formula>"Inactiva"</formula>
    </cfRule>
  </conditionalFormatting>
  <conditionalFormatting sqref="K1020">
    <cfRule type="cellIs" dxfId="1" priority="1982" operator="equal">
      <formula>"$"</formula>
    </cfRule>
  </conditionalFormatting>
  <conditionalFormatting sqref="V1020">
    <cfRule type="cellIs" dxfId="1" priority="1983" operator="equal">
      <formula>"Nuevo"</formula>
    </cfRule>
  </conditionalFormatting>
  <conditionalFormatting sqref="W1020">
    <cfRule type="cellIs" dxfId="1" priority="1984" operator="equal">
      <formula>"Inactiva"</formula>
    </cfRule>
  </conditionalFormatting>
  <conditionalFormatting sqref="K1021">
    <cfRule type="cellIs" dxfId="1" priority="1985" operator="equal">
      <formula>"$"</formula>
    </cfRule>
  </conditionalFormatting>
  <conditionalFormatting sqref="V1021">
    <cfRule type="cellIs" dxfId="1" priority="1986" operator="equal">
      <formula>"Nuevo"</formula>
    </cfRule>
  </conditionalFormatting>
  <conditionalFormatting sqref="W1021">
    <cfRule type="cellIs" dxfId="1" priority="1987" operator="equal">
      <formula>"Inactiva"</formula>
    </cfRule>
  </conditionalFormatting>
  <conditionalFormatting sqref="K1022">
    <cfRule type="cellIs" dxfId="1" priority="1988" operator="equal">
      <formula>"$"</formula>
    </cfRule>
  </conditionalFormatting>
  <conditionalFormatting sqref="V1022">
    <cfRule type="cellIs" dxfId="1" priority="1989" operator="equal">
      <formula>"Nuevo"</formula>
    </cfRule>
  </conditionalFormatting>
  <conditionalFormatting sqref="W1022">
    <cfRule type="cellIs" dxfId="1" priority="1990" operator="equal">
      <formula>"Inactiva"</formula>
    </cfRule>
  </conditionalFormatting>
  <conditionalFormatting sqref="K1023">
    <cfRule type="cellIs" dxfId="1" priority="1991" operator="equal">
      <formula>"$"</formula>
    </cfRule>
  </conditionalFormatting>
  <conditionalFormatting sqref="V1023">
    <cfRule type="cellIs" dxfId="1" priority="1992" operator="equal">
      <formula>"Nuevo"</formula>
    </cfRule>
  </conditionalFormatting>
  <conditionalFormatting sqref="W1023">
    <cfRule type="cellIs" dxfId="1" priority="1993" operator="equal">
      <formula>"Inactiva"</formula>
    </cfRule>
  </conditionalFormatting>
  <conditionalFormatting sqref="K1027">
    <cfRule type="cellIs" dxfId="1" priority="1994" operator="equal">
      <formula>"$"</formula>
    </cfRule>
  </conditionalFormatting>
  <conditionalFormatting sqref="W1027">
    <cfRule type="cellIs" dxfId="1" priority="1995" operator="equal">
      <formula>"Inactiva"</formula>
    </cfRule>
  </conditionalFormatting>
  <conditionalFormatting sqref="K1028">
    <cfRule type="cellIs" dxfId="1" priority="1996" operator="equal">
      <formula>"$"</formula>
    </cfRule>
  </conditionalFormatting>
  <conditionalFormatting sqref="W1028">
    <cfRule type="cellIs" dxfId="1" priority="1997" operator="equal">
      <formula>"Inactiva"</formula>
    </cfRule>
  </conditionalFormatting>
  <conditionalFormatting sqref="K1029">
    <cfRule type="cellIs" dxfId="1" priority="1998" operator="equal">
      <formula>"$"</formula>
    </cfRule>
  </conditionalFormatting>
  <conditionalFormatting sqref="W1029">
    <cfRule type="cellIs" dxfId="1" priority="1999" operator="equal">
      <formula>"Inactiva"</formula>
    </cfRule>
  </conditionalFormatting>
  <conditionalFormatting sqref="K1030">
    <cfRule type="cellIs" dxfId="1" priority="2000" operator="equal">
      <formula>"$"</formula>
    </cfRule>
  </conditionalFormatting>
  <conditionalFormatting sqref="W1030">
    <cfRule type="cellIs" dxfId="1" priority="2001" operator="equal">
      <formula>"Inactiva"</formula>
    </cfRule>
  </conditionalFormatting>
  <conditionalFormatting sqref="K1031">
    <cfRule type="cellIs" dxfId="1" priority="2002" operator="equal">
      <formula>"$"</formula>
    </cfRule>
  </conditionalFormatting>
  <conditionalFormatting sqref="V1031">
    <cfRule type="cellIs" dxfId="1" priority="2003" operator="equal">
      <formula>"Nuevo"</formula>
    </cfRule>
  </conditionalFormatting>
  <conditionalFormatting sqref="W1031">
    <cfRule type="cellIs" dxfId="1" priority="2004" operator="equal">
      <formula>"Inactiva"</formula>
    </cfRule>
  </conditionalFormatting>
  <conditionalFormatting sqref="K1032">
    <cfRule type="cellIs" dxfId="1" priority="2005" operator="equal">
      <formula>"$"</formula>
    </cfRule>
  </conditionalFormatting>
  <conditionalFormatting sqref="V1032">
    <cfRule type="cellIs" dxfId="1" priority="2006" operator="equal">
      <formula>"Nuevo"</formula>
    </cfRule>
  </conditionalFormatting>
  <conditionalFormatting sqref="W1032">
    <cfRule type="cellIs" dxfId="1" priority="2007" operator="equal">
      <formula>"Inactiva"</formula>
    </cfRule>
  </conditionalFormatting>
  <conditionalFormatting sqref="K1033">
    <cfRule type="cellIs" dxfId="1" priority="2008" operator="equal">
      <formula>"$"</formula>
    </cfRule>
  </conditionalFormatting>
  <conditionalFormatting sqref="V1033">
    <cfRule type="cellIs" dxfId="1" priority="2009" operator="equal">
      <formula>"Nuevo"</formula>
    </cfRule>
  </conditionalFormatting>
  <conditionalFormatting sqref="W1033">
    <cfRule type="cellIs" dxfId="1" priority="2010" operator="equal">
      <formula>"Inactiva"</formula>
    </cfRule>
  </conditionalFormatting>
  <conditionalFormatting sqref="K1034">
    <cfRule type="cellIs" dxfId="1" priority="2011" operator="equal">
      <formula>"$"</formula>
    </cfRule>
  </conditionalFormatting>
  <conditionalFormatting sqref="V1034">
    <cfRule type="cellIs" dxfId="1" priority="2012" operator="equal">
      <formula>"Nuevo"</formula>
    </cfRule>
  </conditionalFormatting>
  <conditionalFormatting sqref="W1034">
    <cfRule type="cellIs" dxfId="1" priority="2013" operator="equal">
      <formula>"Inactiva"</formula>
    </cfRule>
  </conditionalFormatting>
  <conditionalFormatting sqref="K1035">
    <cfRule type="cellIs" dxfId="1" priority="2014" operator="equal">
      <formula>"$"</formula>
    </cfRule>
  </conditionalFormatting>
  <conditionalFormatting sqref="V1035">
    <cfRule type="cellIs" dxfId="1" priority="2015" operator="equal">
      <formula>"Nuevo"</formula>
    </cfRule>
  </conditionalFormatting>
  <conditionalFormatting sqref="W1035">
    <cfRule type="cellIs" dxfId="1" priority="2016" operator="equal">
      <formula>"Inactiva"</formula>
    </cfRule>
  </conditionalFormatting>
  <conditionalFormatting sqref="K1036">
    <cfRule type="cellIs" dxfId="1" priority="2017" operator="equal">
      <formula>"$"</formula>
    </cfRule>
  </conditionalFormatting>
  <conditionalFormatting sqref="V1036">
    <cfRule type="cellIs" dxfId="1" priority="2018" operator="equal">
      <formula>"Nuevo"</formula>
    </cfRule>
  </conditionalFormatting>
  <conditionalFormatting sqref="W1036">
    <cfRule type="cellIs" dxfId="1" priority="2019" operator="equal">
      <formula>"Inactiva"</formula>
    </cfRule>
  </conditionalFormatting>
  <conditionalFormatting sqref="K1037">
    <cfRule type="cellIs" dxfId="1" priority="2020" operator="equal">
      <formula>"$"</formula>
    </cfRule>
  </conditionalFormatting>
  <conditionalFormatting sqref="V1037">
    <cfRule type="cellIs" dxfId="1" priority="2021" operator="equal">
      <formula>"Nuevo"</formula>
    </cfRule>
  </conditionalFormatting>
  <conditionalFormatting sqref="W1037">
    <cfRule type="cellIs" dxfId="1" priority="2022" operator="equal">
      <formula>"Inactiva"</formula>
    </cfRule>
  </conditionalFormatting>
  <conditionalFormatting sqref="K1038">
    <cfRule type="cellIs" dxfId="1" priority="2023" operator="equal">
      <formula>"$"</formula>
    </cfRule>
  </conditionalFormatting>
  <conditionalFormatting sqref="V1038">
    <cfRule type="cellIs" dxfId="1" priority="2024" operator="equal">
      <formula>"Nuevo"</formula>
    </cfRule>
  </conditionalFormatting>
  <conditionalFormatting sqref="W1038">
    <cfRule type="cellIs" dxfId="1" priority="2025" operator="equal">
      <formula>"Inactiva"</formula>
    </cfRule>
  </conditionalFormatting>
  <conditionalFormatting sqref="K1039">
    <cfRule type="cellIs" dxfId="1" priority="2026" operator="equal">
      <formula>"$"</formula>
    </cfRule>
  </conditionalFormatting>
  <conditionalFormatting sqref="V1039">
    <cfRule type="cellIs" dxfId="1" priority="2027" operator="equal">
      <formula>"Nuevo"</formula>
    </cfRule>
  </conditionalFormatting>
  <conditionalFormatting sqref="W1039">
    <cfRule type="cellIs" dxfId="1" priority="2028" operator="equal">
      <formula>"Inactiva"</formula>
    </cfRule>
  </conditionalFormatting>
  <conditionalFormatting sqref="K1040">
    <cfRule type="cellIs" dxfId="1" priority="2029" operator="equal">
      <formula>"$"</formula>
    </cfRule>
  </conditionalFormatting>
  <conditionalFormatting sqref="V1040">
    <cfRule type="cellIs" dxfId="1" priority="2030" operator="equal">
      <formula>"Nuevo"</formula>
    </cfRule>
  </conditionalFormatting>
  <conditionalFormatting sqref="W1040">
    <cfRule type="cellIs" dxfId="1" priority="2031" operator="equal">
      <formula>"Inactiva"</formula>
    </cfRule>
  </conditionalFormatting>
  <conditionalFormatting sqref="K1041">
    <cfRule type="cellIs" dxfId="1" priority="2032" operator="equal">
      <formula>"$"</formula>
    </cfRule>
  </conditionalFormatting>
  <conditionalFormatting sqref="V1041">
    <cfRule type="cellIs" dxfId="1" priority="2033" operator="equal">
      <formula>"Nuevo"</formula>
    </cfRule>
  </conditionalFormatting>
  <conditionalFormatting sqref="W1041">
    <cfRule type="cellIs" dxfId="1" priority="2034" operator="equal">
      <formula>"Inactiva"</formula>
    </cfRule>
  </conditionalFormatting>
  <conditionalFormatting sqref="K1042">
    <cfRule type="cellIs" dxfId="1" priority="2035" operator="equal">
      <formula>"$"</formula>
    </cfRule>
  </conditionalFormatting>
  <conditionalFormatting sqref="V1042">
    <cfRule type="cellIs" dxfId="1" priority="2036" operator="equal">
      <formula>"Nuevo"</formula>
    </cfRule>
  </conditionalFormatting>
  <conditionalFormatting sqref="W1042">
    <cfRule type="cellIs" dxfId="1" priority="2037" operator="equal">
      <formula>"Inactiva"</formula>
    </cfRule>
  </conditionalFormatting>
  <conditionalFormatting sqref="K1043">
    <cfRule type="cellIs" dxfId="1" priority="2038" operator="equal">
      <formula>"$"</formula>
    </cfRule>
  </conditionalFormatting>
  <conditionalFormatting sqref="V1043">
    <cfRule type="cellIs" dxfId="1" priority="2039" operator="equal">
      <formula>"Nuevo"</formula>
    </cfRule>
  </conditionalFormatting>
  <conditionalFormatting sqref="W1043">
    <cfRule type="cellIs" dxfId="1" priority="2040" operator="equal">
      <formula>"Inactiva"</formula>
    </cfRule>
  </conditionalFormatting>
  <conditionalFormatting sqref="K1044">
    <cfRule type="cellIs" dxfId="1" priority="2041" operator="equal">
      <formula>"$"</formula>
    </cfRule>
  </conditionalFormatting>
  <conditionalFormatting sqref="V1044">
    <cfRule type="cellIs" dxfId="1" priority="2042" operator="equal">
      <formula>"Nuevo"</formula>
    </cfRule>
  </conditionalFormatting>
  <conditionalFormatting sqref="W1044">
    <cfRule type="cellIs" dxfId="1" priority="2043" operator="equal">
      <formula>"Inactiva"</formula>
    </cfRule>
  </conditionalFormatting>
  <conditionalFormatting sqref="K1045">
    <cfRule type="cellIs" dxfId="1" priority="2044" operator="equal">
      <formula>"$"</formula>
    </cfRule>
  </conditionalFormatting>
  <conditionalFormatting sqref="V1045">
    <cfRule type="cellIs" dxfId="1" priority="2045" operator="equal">
      <formula>"Nuevo"</formula>
    </cfRule>
  </conditionalFormatting>
  <conditionalFormatting sqref="W1045">
    <cfRule type="cellIs" dxfId="1" priority="2046" operator="equal">
      <formula>"Inactiva"</formula>
    </cfRule>
  </conditionalFormatting>
  <conditionalFormatting sqref="K1046">
    <cfRule type="cellIs" dxfId="1" priority="2047" operator="equal">
      <formula>"$"</formula>
    </cfRule>
  </conditionalFormatting>
  <conditionalFormatting sqref="V1046">
    <cfRule type="cellIs" dxfId="1" priority="2048" operator="equal">
      <formula>"Nuevo"</formula>
    </cfRule>
  </conditionalFormatting>
  <conditionalFormatting sqref="W1046">
    <cfRule type="cellIs" dxfId="1" priority="2049" operator="equal">
      <formula>"Inactiva"</formula>
    </cfRule>
  </conditionalFormatting>
  <conditionalFormatting sqref="K1047">
    <cfRule type="cellIs" dxfId="1" priority="2050" operator="equal">
      <formula>"$"</formula>
    </cfRule>
  </conditionalFormatting>
  <conditionalFormatting sqref="V1047">
    <cfRule type="cellIs" dxfId="1" priority="2051" operator="equal">
      <formula>"Nuevo"</formula>
    </cfRule>
  </conditionalFormatting>
  <conditionalFormatting sqref="W1047">
    <cfRule type="cellIs" dxfId="1" priority="2052" operator="equal">
      <formula>"Inactiva"</formula>
    </cfRule>
  </conditionalFormatting>
  <conditionalFormatting sqref="K1048">
    <cfRule type="cellIs" dxfId="1" priority="2053" operator="equal">
      <formula>"$"</formula>
    </cfRule>
  </conditionalFormatting>
  <conditionalFormatting sqref="V1048">
    <cfRule type="cellIs" dxfId="1" priority="2054" operator="equal">
      <formula>"Nuevo"</formula>
    </cfRule>
  </conditionalFormatting>
  <conditionalFormatting sqref="W1048">
    <cfRule type="cellIs" dxfId="1" priority="2055" operator="equal">
      <formula>"Inactiva"</formula>
    </cfRule>
  </conditionalFormatting>
  <conditionalFormatting sqref="K1049">
    <cfRule type="cellIs" dxfId="1" priority="2056" operator="equal">
      <formula>"$"</formula>
    </cfRule>
  </conditionalFormatting>
  <conditionalFormatting sqref="V1049">
    <cfRule type="cellIs" dxfId="1" priority="2057" operator="equal">
      <formula>"Nuevo"</formula>
    </cfRule>
  </conditionalFormatting>
  <conditionalFormatting sqref="W1049">
    <cfRule type="cellIs" dxfId="1" priority="2058" operator="equal">
      <formula>"Inactiva"</formula>
    </cfRule>
  </conditionalFormatting>
  <conditionalFormatting sqref="K1050">
    <cfRule type="cellIs" dxfId="1" priority="2059" operator="equal">
      <formula>"$"</formula>
    </cfRule>
  </conditionalFormatting>
  <conditionalFormatting sqref="V1050">
    <cfRule type="cellIs" dxfId="1" priority="2060" operator="equal">
      <formula>"Nuevo"</formula>
    </cfRule>
  </conditionalFormatting>
  <conditionalFormatting sqref="W1050">
    <cfRule type="cellIs" dxfId="1" priority="2061" operator="equal">
      <formula>"Inactiva"</formula>
    </cfRule>
  </conditionalFormatting>
  <conditionalFormatting sqref="K1051">
    <cfRule type="cellIs" dxfId="1" priority="2062" operator="equal">
      <formula>"$"</formula>
    </cfRule>
  </conditionalFormatting>
  <conditionalFormatting sqref="V1051">
    <cfRule type="cellIs" dxfId="1" priority="2063" operator="equal">
      <formula>"Nuevo"</formula>
    </cfRule>
  </conditionalFormatting>
  <conditionalFormatting sqref="W1051">
    <cfRule type="cellIs" dxfId="1" priority="2064" operator="equal">
      <formula>"Inactiva"</formula>
    </cfRule>
  </conditionalFormatting>
  <conditionalFormatting sqref="K1052">
    <cfRule type="cellIs" dxfId="1" priority="2065" operator="equal">
      <formula>"$"</formula>
    </cfRule>
  </conditionalFormatting>
  <conditionalFormatting sqref="V1052">
    <cfRule type="cellIs" dxfId="1" priority="2066" operator="equal">
      <formula>"Nuevo"</formula>
    </cfRule>
  </conditionalFormatting>
  <conditionalFormatting sqref="W1052">
    <cfRule type="cellIs" dxfId="1" priority="2067" operator="equal">
      <formula>"Inactiva"</formula>
    </cfRule>
  </conditionalFormatting>
  <conditionalFormatting sqref="K1053">
    <cfRule type="cellIs" dxfId="1" priority="2068" operator="equal">
      <formula>"$"</formula>
    </cfRule>
  </conditionalFormatting>
  <conditionalFormatting sqref="V1053">
    <cfRule type="cellIs" dxfId="1" priority="2069" operator="equal">
      <formula>"Nuevo"</formula>
    </cfRule>
  </conditionalFormatting>
  <conditionalFormatting sqref="W1053">
    <cfRule type="cellIs" dxfId="1" priority="2070" operator="equal">
      <formula>"Inactiva"</formula>
    </cfRule>
  </conditionalFormatting>
  <conditionalFormatting sqref="K1054">
    <cfRule type="cellIs" dxfId="1" priority="2071" operator="equal">
      <formula>"$"</formula>
    </cfRule>
  </conditionalFormatting>
  <conditionalFormatting sqref="V1054">
    <cfRule type="cellIs" dxfId="1" priority="2072" operator="equal">
      <formula>"Nuevo"</formula>
    </cfRule>
  </conditionalFormatting>
  <conditionalFormatting sqref="W1054">
    <cfRule type="cellIs" dxfId="1" priority="2073" operator="equal">
      <formula>"Inactiva"</formula>
    </cfRule>
  </conditionalFormatting>
  <conditionalFormatting sqref="K1055">
    <cfRule type="cellIs" dxfId="1" priority="2074" operator="equal">
      <formula>"$"</formula>
    </cfRule>
  </conditionalFormatting>
  <conditionalFormatting sqref="V1055">
    <cfRule type="cellIs" dxfId="1" priority="2075" operator="equal">
      <formula>"Nuevo"</formula>
    </cfRule>
  </conditionalFormatting>
  <conditionalFormatting sqref="W1055">
    <cfRule type="cellIs" dxfId="1" priority="2076" operator="equal">
      <formula>"Inactiva"</formula>
    </cfRule>
  </conditionalFormatting>
  <conditionalFormatting sqref="K1056">
    <cfRule type="cellIs" dxfId="1" priority="2077" operator="equal">
      <formula>"$"</formula>
    </cfRule>
  </conditionalFormatting>
  <conditionalFormatting sqref="V1056">
    <cfRule type="cellIs" dxfId="1" priority="2078" operator="equal">
      <formula>"Nuevo"</formula>
    </cfRule>
  </conditionalFormatting>
  <conditionalFormatting sqref="W1056">
    <cfRule type="cellIs" dxfId="1" priority="2079" operator="equal">
      <formula>"Inactiva"</formula>
    </cfRule>
  </conditionalFormatting>
  <conditionalFormatting sqref="K1057">
    <cfRule type="cellIs" dxfId="1" priority="2080" operator="equal">
      <formula>"$"</formula>
    </cfRule>
  </conditionalFormatting>
  <conditionalFormatting sqref="V1057">
    <cfRule type="cellIs" dxfId="1" priority="2081" operator="equal">
      <formula>"Nuevo"</formula>
    </cfRule>
  </conditionalFormatting>
  <conditionalFormatting sqref="W1057">
    <cfRule type="cellIs" dxfId="1" priority="2082" operator="equal">
      <formula>"Inactiva"</formula>
    </cfRule>
  </conditionalFormatting>
  <conditionalFormatting sqref="K1058">
    <cfRule type="cellIs" dxfId="1" priority="2083" operator="equal">
      <formula>"$"</formula>
    </cfRule>
  </conditionalFormatting>
  <conditionalFormatting sqref="V1058">
    <cfRule type="cellIs" dxfId="1" priority="2084" operator="equal">
      <formula>"Nuevo"</formula>
    </cfRule>
  </conditionalFormatting>
  <conditionalFormatting sqref="W1058">
    <cfRule type="cellIs" dxfId="1" priority="2085" operator="equal">
      <formula>"Inactiva"</formula>
    </cfRule>
  </conditionalFormatting>
  <conditionalFormatting sqref="K1059">
    <cfRule type="cellIs" dxfId="1" priority="2086" operator="equal">
      <formula>"$"</formula>
    </cfRule>
  </conditionalFormatting>
  <conditionalFormatting sqref="V1059">
    <cfRule type="cellIs" dxfId="1" priority="2087" operator="equal">
      <formula>"Nuevo"</formula>
    </cfRule>
  </conditionalFormatting>
  <conditionalFormatting sqref="W1059">
    <cfRule type="cellIs" dxfId="1" priority="2088" operator="equal">
      <formula>"Inactiva"</formula>
    </cfRule>
  </conditionalFormatting>
  <conditionalFormatting sqref="K1060">
    <cfRule type="cellIs" dxfId="1" priority="2089" operator="equal">
      <formula>"$"</formula>
    </cfRule>
  </conditionalFormatting>
  <conditionalFormatting sqref="V1060">
    <cfRule type="cellIs" dxfId="1" priority="2090" operator="equal">
      <formula>"Nuevo"</formula>
    </cfRule>
  </conditionalFormatting>
  <conditionalFormatting sqref="W1060">
    <cfRule type="cellIs" dxfId="1" priority="2091" operator="equal">
      <formula>"Inactiva"</formula>
    </cfRule>
  </conditionalFormatting>
  <conditionalFormatting sqref="K1061">
    <cfRule type="cellIs" dxfId="1" priority="2092" operator="equal">
      <formula>"$"</formula>
    </cfRule>
  </conditionalFormatting>
  <conditionalFormatting sqref="V1061">
    <cfRule type="cellIs" dxfId="1" priority="2093" operator="equal">
      <formula>"Nuevo"</formula>
    </cfRule>
  </conditionalFormatting>
  <conditionalFormatting sqref="W1061">
    <cfRule type="cellIs" dxfId="1" priority="2094" operator="equal">
      <formula>"Inactiva"</formula>
    </cfRule>
  </conditionalFormatting>
  <conditionalFormatting sqref="K1062">
    <cfRule type="cellIs" dxfId="1" priority="2095" operator="equal">
      <formula>"$"</formula>
    </cfRule>
  </conditionalFormatting>
  <conditionalFormatting sqref="V1062">
    <cfRule type="cellIs" dxfId="1" priority="2096" operator="equal">
      <formula>"Nuevo"</formula>
    </cfRule>
  </conditionalFormatting>
  <conditionalFormatting sqref="W1062">
    <cfRule type="cellIs" dxfId="1" priority="2097" operator="equal">
      <formula>"Inactiva"</formula>
    </cfRule>
  </conditionalFormatting>
  <conditionalFormatting sqref="K1063">
    <cfRule type="cellIs" dxfId="1" priority="2098" operator="equal">
      <formula>"$"</formula>
    </cfRule>
  </conditionalFormatting>
  <conditionalFormatting sqref="V1063">
    <cfRule type="cellIs" dxfId="1" priority="2099" operator="equal">
      <formula>"Nuevo"</formula>
    </cfRule>
  </conditionalFormatting>
  <conditionalFormatting sqref="W1063">
    <cfRule type="cellIs" dxfId="1" priority="2100" operator="equal">
      <formula>"Inactiva"</formula>
    </cfRule>
  </conditionalFormatting>
  <conditionalFormatting sqref="K1064">
    <cfRule type="cellIs" dxfId="1" priority="2101" operator="equal">
      <formula>"$"</formula>
    </cfRule>
  </conditionalFormatting>
  <conditionalFormatting sqref="V1064">
    <cfRule type="cellIs" dxfId="1" priority="2102" operator="equal">
      <formula>"Nuevo"</formula>
    </cfRule>
  </conditionalFormatting>
  <conditionalFormatting sqref="W1064">
    <cfRule type="cellIs" dxfId="1" priority="2103" operator="equal">
      <formula>"Inactiva"</formula>
    </cfRule>
  </conditionalFormatting>
  <conditionalFormatting sqref="K1065">
    <cfRule type="cellIs" dxfId="1" priority="2104" operator="equal">
      <formula>"$"</formula>
    </cfRule>
  </conditionalFormatting>
  <conditionalFormatting sqref="V1065">
    <cfRule type="cellIs" dxfId="1" priority="2105" operator="equal">
      <formula>"Nuevo"</formula>
    </cfRule>
  </conditionalFormatting>
  <conditionalFormatting sqref="W1065">
    <cfRule type="cellIs" dxfId="1" priority="2106" operator="equal">
      <formula>"Inactiva"</formula>
    </cfRule>
  </conditionalFormatting>
  <conditionalFormatting sqref="K1066">
    <cfRule type="cellIs" dxfId="1" priority="2107" operator="equal">
      <formula>"$"</formula>
    </cfRule>
  </conditionalFormatting>
  <conditionalFormatting sqref="V1066">
    <cfRule type="cellIs" dxfId="1" priority="2108" operator="equal">
      <formula>"Nuevo"</formula>
    </cfRule>
  </conditionalFormatting>
  <conditionalFormatting sqref="W1066">
    <cfRule type="cellIs" dxfId="1" priority="2109" operator="equal">
      <formula>"Inactiva"</formula>
    </cfRule>
  </conditionalFormatting>
  <conditionalFormatting sqref="K1067">
    <cfRule type="cellIs" dxfId="1" priority="2110" operator="equal">
      <formula>"$"</formula>
    </cfRule>
  </conditionalFormatting>
  <conditionalFormatting sqref="V1067">
    <cfRule type="cellIs" dxfId="1" priority="2111" operator="equal">
      <formula>"Nuevo"</formula>
    </cfRule>
  </conditionalFormatting>
  <conditionalFormatting sqref="W1067">
    <cfRule type="cellIs" dxfId="1" priority="2112" operator="equal">
      <formula>"Inactiva"</formula>
    </cfRule>
  </conditionalFormatting>
  <conditionalFormatting sqref="K1068">
    <cfRule type="cellIs" dxfId="1" priority="2113" operator="equal">
      <formula>"$"</formula>
    </cfRule>
  </conditionalFormatting>
  <conditionalFormatting sqref="V1068">
    <cfRule type="cellIs" dxfId="1" priority="2114" operator="equal">
      <formula>"Nuevo"</formula>
    </cfRule>
  </conditionalFormatting>
  <conditionalFormatting sqref="W1068">
    <cfRule type="cellIs" dxfId="1" priority="2115" operator="equal">
      <formula>"Inactiva"</formula>
    </cfRule>
  </conditionalFormatting>
  <conditionalFormatting sqref="K1069">
    <cfRule type="cellIs" dxfId="1" priority="2116" operator="equal">
      <formula>"$"</formula>
    </cfRule>
  </conditionalFormatting>
  <conditionalFormatting sqref="V1069">
    <cfRule type="cellIs" dxfId="1" priority="2117" operator="equal">
      <formula>"Nuevo"</formula>
    </cfRule>
  </conditionalFormatting>
  <conditionalFormatting sqref="W1069">
    <cfRule type="cellIs" dxfId="1" priority="2118" operator="equal">
      <formula>"Inactiva"</formula>
    </cfRule>
  </conditionalFormatting>
  <conditionalFormatting sqref="K1070">
    <cfRule type="cellIs" dxfId="1" priority="2119" operator="equal">
      <formula>"$"</formula>
    </cfRule>
  </conditionalFormatting>
  <conditionalFormatting sqref="V1070">
    <cfRule type="cellIs" dxfId="1" priority="2120" operator="equal">
      <formula>"Nuevo"</formula>
    </cfRule>
  </conditionalFormatting>
  <conditionalFormatting sqref="W1070">
    <cfRule type="cellIs" dxfId="1" priority="2121" operator="equal">
      <formula>"Inactiva"</formula>
    </cfRule>
  </conditionalFormatting>
  <conditionalFormatting sqref="K1071">
    <cfRule type="cellIs" dxfId="1" priority="2122" operator="equal">
      <formula>"$"</formula>
    </cfRule>
  </conditionalFormatting>
  <conditionalFormatting sqref="V1071">
    <cfRule type="cellIs" dxfId="1" priority="2123" operator="equal">
      <formula>"Nuevo"</formula>
    </cfRule>
  </conditionalFormatting>
  <conditionalFormatting sqref="W1071">
    <cfRule type="cellIs" dxfId="1" priority="2124" operator="equal">
      <formula>"Inactiva"</formula>
    </cfRule>
  </conditionalFormatting>
  <conditionalFormatting sqref="K1072">
    <cfRule type="cellIs" dxfId="1" priority="2125" operator="equal">
      <formula>"$"</formula>
    </cfRule>
  </conditionalFormatting>
  <conditionalFormatting sqref="V1072">
    <cfRule type="cellIs" dxfId="1" priority="2126" operator="equal">
      <formula>"Nuevo"</formula>
    </cfRule>
  </conditionalFormatting>
  <conditionalFormatting sqref="W1072">
    <cfRule type="cellIs" dxfId="1" priority="2127" operator="equal">
      <formula>"Inactiva"</formula>
    </cfRule>
  </conditionalFormatting>
  <conditionalFormatting sqref="K1073">
    <cfRule type="cellIs" dxfId="1" priority="2128" operator="equal">
      <formula>"$"</formula>
    </cfRule>
  </conditionalFormatting>
  <conditionalFormatting sqref="V1073">
    <cfRule type="cellIs" dxfId="1" priority="2129" operator="equal">
      <formula>"Nuevo"</formula>
    </cfRule>
  </conditionalFormatting>
  <conditionalFormatting sqref="W1073">
    <cfRule type="cellIs" dxfId="1" priority="2130" operator="equal">
      <formula>"Inactiva"</formula>
    </cfRule>
  </conditionalFormatting>
  <conditionalFormatting sqref="K1074">
    <cfRule type="cellIs" dxfId="1" priority="2131" operator="equal">
      <formula>"$"</formula>
    </cfRule>
  </conditionalFormatting>
  <conditionalFormatting sqref="V1074">
    <cfRule type="cellIs" dxfId="1" priority="2132" operator="equal">
      <formula>"Nuevo"</formula>
    </cfRule>
  </conditionalFormatting>
  <conditionalFormatting sqref="W1074">
    <cfRule type="cellIs" dxfId="1" priority="2133" operator="equal">
      <formula>"Inactiva"</formula>
    </cfRule>
  </conditionalFormatting>
  <conditionalFormatting sqref="K1075">
    <cfRule type="cellIs" dxfId="1" priority="2134" operator="equal">
      <formula>"$"</formula>
    </cfRule>
  </conditionalFormatting>
  <conditionalFormatting sqref="V1075">
    <cfRule type="cellIs" dxfId="1" priority="2135" operator="equal">
      <formula>"Nuevo"</formula>
    </cfRule>
  </conditionalFormatting>
  <conditionalFormatting sqref="W1075">
    <cfRule type="cellIs" dxfId="1" priority="2136" operator="equal">
      <formula>"Inactiva"</formula>
    </cfRule>
  </conditionalFormatting>
  <conditionalFormatting sqref="K1080">
    <cfRule type="cellIs" dxfId="1" priority="2137" operator="equal">
      <formula>"$"</formula>
    </cfRule>
  </conditionalFormatting>
  <conditionalFormatting sqref="V1080">
    <cfRule type="cellIs" dxfId="1" priority="2138" operator="equal">
      <formula>"Nuevo"</formula>
    </cfRule>
  </conditionalFormatting>
  <conditionalFormatting sqref="W1080">
    <cfRule type="cellIs" dxfId="1" priority="2139" operator="equal">
      <formula>"Inactiva"</formula>
    </cfRule>
  </conditionalFormatting>
  <conditionalFormatting sqref="K1081">
    <cfRule type="cellIs" dxfId="1" priority="2140" operator="equal">
      <formula>"$"</formula>
    </cfRule>
  </conditionalFormatting>
  <conditionalFormatting sqref="V1081">
    <cfRule type="cellIs" dxfId="1" priority="2141" operator="equal">
      <formula>"Nuevo"</formula>
    </cfRule>
  </conditionalFormatting>
  <conditionalFormatting sqref="W1081">
    <cfRule type="cellIs" dxfId="1" priority="2142" operator="equal">
      <formula>"Inactiva"</formula>
    </cfRule>
  </conditionalFormatting>
  <conditionalFormatting sqref="K1082">
    <cfRule type="cellIs" dxfId="1" priority="2143" operator="equal">
      <formula>"$"</formula>
    </cfRule>
  </conditionalFormatting>
  <conditionalFormatting sqref="V1082">
    <cfRule type="cellIs" dxfId="1" priority="2144" operator="equal">
      <formula>"Nuevo"</formula>
    </cfRule>
  </conditionalFormatting>
  <conditionalFormatting sqref="W1082">
    <cfRule type="cellIs" dxfId="1" priority="2145" operator="equal">
      <formula>"Inactiva"</formula>
    </cfRule>
  </conditionalFormatting>
  <conditionalFormatting sqref="K1083">
    <cfRule type="cellIs" dxfId="1" priority="2146" operator="equal">
      <formula>"$"</formula>
    </cfRule>
  </conditionalFormatting>
  <conditionalFormatting sqref="V1083">
    <cfRule type="cellIs" dxfId="1" priority="2147" operator="equal">
      <formula>"Nuevo"</formula>
    </cfRule>
  </conditionalFormatting>
  <conditionalFormatting sqref="W1083">
    <cfRule type="cellIs" dxfId="1" priority="2148" operator="equal">
      <formula>"Inactiva"</formula>
    </cfRule>
  </conditionalFormatting>
  <conditionalFormatting sqref="K1084">
    <cfRule type="cellIs" dxfId="1" priority="2149" operator="equal">
      <formula>"$"</formula>
    </cfRule>
  </conditionalFormatting>
  <conditionalFormatting sqref="V1084">
    <cfRule type="cellIs" dxfId="1" priority="2150" operator="equal">
      <formula>"Nuevo"</formula>
    </cfRule>
  </conditionalFormatting>
  <conditionalFormatting sqref="W1084">
    <cfRule type="cellIs" dxfId="1" priority="2151" operator="equal">
      <formula>"Inactiva"</formula>
    </cfRule>
  </conditionalFormatting>
  <conditionalFormatting sqref="K1085">
    <cfRule type="cellIs" dxfId="1" priority="2152" operator="equal">
      <formula>"$"</formula>
    </cfRule>
  </conditionalFormatting>
  <conditionalFormatting sqref="V1085">
    <cfRule type="cellIs" dxfId="1" priority="2153" operator="equal">
      <formula>"Nuevo"</formula>
    </cfRule>
  </conditionalFormatting>
  <conditionalFormatting sqref="W1085">
    <cfRule type="cellIs" dxfId="1" priority="2154" operator="equal">
      <formula>"Inactiva"</formula>
    </cfRule>
  </conditionalFormatting>
  <conditionalFormatting sqref="K1086">
    <cfRule type="cellIs" dxfId="1" priority="2155" operator="equal">
      <formula>"$"</formula>
    </cfRule>
  </conditionalFormatting>
  <conditionalFormatting sqref="V1086">
    <cfRule type="cellIs" dxfId="1" priority="2156" operator="equal">
      <formula>"Nuevo"</formula>
    </cfRule>
  </conditionalFormatting>
  <conditionalFormatting sqref="W1086">
    <cfRule type="cellIs" dxfId="1" priority="2157" operator="equal">
      <formula>"Inactiva"</formula>
    </cfRule>
  </conditionalFormatting>
  <conditionalFormatting sqref="K1087">
    <cfRule type="cellIs" dxfId="1" priority="2158" operator="equal">
      <formula>"$"</formula>
    </cfRule>
  </conditionalFormatting>
  <conditionalFormatting sqref="V1087">
    <cfRule type="cellIs" dxfId="1" priority="2159" operator="equal">
      <formula>"Nuevo"</formula>
    </cfRule>
  </conditionalFormatting>
  <conditionalFormatting sqref="W1087">
    <cfRule type="cellIs" dxfId="1" priority="2160" operator="equal">
      <formula>"Inactiva"</formula>
    </cfRule>
  </conditionalFormatting>
  <conditionalFormatting sqref="K1088">
    <cfRule type="cellIs" dxfId="1" priority="2161" operator="equal">
      <formula>"$"</formula>
    </cfRule>
  </conditionalFormatting>
  <conditionalFormatting sqref="V1088">
    <cfRule type="cellIs" dxfId="1" priority="2162" operator="equal">
      <formula>"Nuevo"</formula>
    </cfRule>
  </conditionalFormatting>
  <conditionalFormatting sqref="W1088">
    <cfRule type="cellIs" dxfId="1" priority="2163" operator="equal">
      <formula>"Inactiva"</formula>
    </cfRule>
  </conditionalFormatting>
  <conditionalFormatting sqref="K1089">
    <cfRule type="cellIs" dxfId="1" priority="2164" operator="equal">
      <formula>"$"</formula>
    </cfRule>
  </conditionalFormatting>
  <conditionalFormatting sqref="V1089">
    <cfRule type="cellIs" dxfId="1" priority="2165" operator="equal">
      <formula>"Nuevo"</formula>
    </cfRule>
  </conditionalFormatting>
  <conditionalFormatting sqref="W1089">
    <cfRule type="cellIs" dxfId="1" priority="2166" operator="equal">
      <formula>"Inactiva"</formula>
    </cfRule>
  </conditionalFormatting>
  <conditionalFormatting sqref="K1090">
    <cfRule type="cellIs" dxfId="1" priority="2167" operator="equal">
      <formula>"$"</formula>
    </cfRule>
  </conditionalFormatting>
  <conditionalFormatting sqref="V1090">
    <cfRule type="cellIs" dxfId="1" priority="2168" operator="equal">
      <formula>"Nuevo"</formula>
    </cfRule>
  </conditionalFormatting>
  <conditionalFormatting sqref="W1090">
    <cfRule type="cellIs" dxfId="1" priority="2169" operator="equal">
      <formula>"Inactiva"</formula>
    </cfRule>
  </conditionalFormatting>
  <conditionalFormatting sqref="K1091">
    <cfRule type="cellIs" dxfId="1" priority="2170" operator="equal">
      <formula>"$"</formula>
    </cfRule>
  </conditionalFormatting>
  <conditionalFormatting sqref="V1091">
    <cfRule type="cellIs" dxfId="1" priority="2171" operator="equal">
      <formula>"Nuevo"</formula>
    </cfRule>
  </conditionalFormatting>
  <conditionalFormatting sqref="W1091">
    <cfRule type="cellIs" dxfId="1" priority="2172" operator="equal">
      <formula>"Inactiva"</formula>
    </cfRule>
  </conditionalFormatting>
  <conditionalFormatting sqref="K1092">
    <cfRule type="cellIs" dxfId="1" priority="2173" operator="equal">
      <formula>"$"</formula>
    </cfRule>
  </conditionalFormatting>
  <conditionalFormatting sqref="V1092">
    <cfRule type="cellIs" dxfId="1" priority="2174" operator="equal">
      <formula>"Nuevo"</formula>
    </cfRule>
  </conditionalFormatting>
  <conditionalFormatting sqref="W1092">
    <cfRule type="cellIs" dxfId="1" priority="2175" operator="equal">
      <formula>"Inactiva"</formula>
    </cfRule>
  </conditionalFormatting>
  <conditionalFormatting sqref="K1093">
    <cfRule type="cellIs" dxfId="1" priority="2176" operator="equal">
      <formula>"$"</formula>
    </cfRule>
  </conditionalFormatting>
  <conditionalFormatting sqref="V1093">
    <cfRule type="cellIs" dxfId="1" priority="2177" operator="equal">
      <formula>"Nuevo"</formula>
    </cfRule>
  </conditionalFormatting>
  <conditionalFormatting sqref="W1093">
    <cfRule type="cellIs" dxfId="1" priority="2178" operator="equal">
      <formula>"Inactiva"</formula>
    </cfRule>
  </conditionalFormatting>
  <conditionalFormatting sqref="K1094">
    <cfRule type="cellIs" dxfId="1" priority="2179" operator="equal">
      <formula>"$"</formula>
    </cfRule>
  </conditionalFormatting>
  <conditionalFormatting sqref="V1094">
    <cfRule type="cellIs" dxfId="1" priority="2180" operator="equal">
      <formula>"Nuevo"</formula>
    </cfRule>
  </conditionalFormatting>
  <conditionalFormatting sqref="W1094">
    <cfRule type="cellIs" dxfId="1" priority="2181" operator="equal">
      <formula>"Inactiva"</formula>
    </cfRule>
  </conditionalFormatting>
  <conditionalFormatting sqref="K1095">
    <cfRule type="cellIs" dxfId="1" priority="2182" operator="equal">
      <formula>"$"</formula>
    </cfRule>
  </conditionalFormatting>
  <conditionalFormatting sqref="V1095">
    <cfRule type="cellIs" dxfId="1" priority="2183" operator="equal">
      <formula>"Nuevo"</formula>
    </cfRule>
  </conditionalFormatting>
  <conditionalFormatting sqref="W1095">
    <cfRule type="cellIs" dxfId="1" priority="2184" operator="equal">
      <formula>"Inactiva"</formula>
    </cfRule>
  </conditionalFormatting>
  <conditionalFormatting sqref="K1096">
    <cfRule type="cellIs" dxfId="1" priority="2185" operator="equal">
      <formula>"$"</formula>
    </cfRule>
  </conditionalFormatting>
  <conditionalFormatting sqref="V1096">
    <cfRule type="cellIs" dxfId="1" priority="2186" operator="equal">
      <formula>"Nuevo"</formula>
    </cfRule>
  </conditionalFormatting>
  <conditionalFormatting sqref="W1096">
    <cfRule type="cellIs" dxfId="1" priority="2187" operator="equal">
      <formula>"Inactiva"</formula>
    </cfRule>
  </conditionalFormatting>
  <conditionalFormatting sqref="K1100">
    <cfRule type="cellIs" dxfId="1" priority="2188" operator="equal">
      <formula>"$"</formula>
    </cfRule>
  </conditionalFormatting>
  <conditionalFormatting sqref="V1100">
    <cfRule type="cellIs" dxfId="1" priority="2189" operator="equal">
      <formula>"Nuevo"</formula>
    </cfRule>
  </conditionalFormatting>
  <conditionalFormatting sqref="W1100">
    <cfRule type="cellIs" dxfId="1" priority="2190" operator="equal">
      <formula>"Inactiva"</formula>
    </cfRule>
  </conditionalFormatting>
  <conditionalFormatting sqref="K1101">
    <cfRule type="cellIs" dxfId="1" priority="2191" operator="equal">
      <formula>"$"</formula>
    </cfRule>
  </conditionalFormatting>
  <conditionalFormatting sqref="V1101">
    <cfRule type="cellIs" dxfId="1" priority="2192" operator="equal">
      <formula>"Nuevo"</formula>
    </cfRule>
  </conditionalFormatting>
  <conditionalFormatting sqref="W1101">
    <cfRule type="cellIs" dxfId="1" priority="2193" operator="equal">
      <formula>"Inactiva"</formula>
    </cfRule>
  </conditionalFormatting>
  <conditionalFormatting sqref="K1102">
    <cfRule type="cellIs" dxfId="1" priority="2194" operator="equal">
      <formula>"$"</formula>
    </cfRule>
  </conditionalFormatting>
  <conditionalFormatting sqref="V1102">
    <cfRule type="cellIs" dxfId="1" priority="2195" operator="equal">
      <formula>"Nuevo"</formula>
    </cfRule>
  </conditionalFormatting>
  <conditionalFormatting sqref="W1102">
    <cfRule type="cellIs" dxfId="1" priority="2196" operator="equal">
      <formula>"Inactiva"</formula>
    </cfRule>
  </conditionalFormatting>
  <conditionalFormatting sqref="K1103">
    <cfRule type="cellIs" dxfId="1" priority="2197" operator="equal">
      <formula>"$"</formula>
    </cfRule>
  </conditionalFormatting>
  <conditionalFormatting sqref="V1103">
    <cfRule type="cellIs" dxfId="1" priority="2198" operator="equal">
      <formula>"Nuevo"</formula>
    </cfRule>
  </conditionalFormatting>
  <conditionalFormatting sqref="W1103">
    <cfRule type="cellIs" dxfId="1" priority="2199" operator="equal">
      <formula>"Inactiva"</formula>
    </cfRule>
  </conditionalFormatting>
  <conditionalFormatting sqref="K1104">
    <cfRule type="cellIs" dxfId="1" priority="2200" operator="equal">
      <formula>"$"</formula>
    </cfRule>
  </conditionalFormatting>
  <conditionalFormatting sqref="V1104">
    <cfRule type="cellIs" dxfId="1" priority="2201" operator="equal">
      <formula>"Nuevo"</formula>
    </cfRule>
  </conditionalFormatting>
  <conditionalFormatting sqref="W1104">
    <cfRule type="cellIs" dxfId="1" priority="2202" operator="equal">
      <formula>"Inactiva"</formula>
    </cfRule>
  </conditionalFormatting>
  <conditionalFormatting sqref="K1105">
    <cfRule type="cellIs" dxfId="1" priority="2203" operator="equal">
      <formula>"$"</formula>
    </cfRule>
  </conditionalFormatting>
  <conditionalFormatting sqref="V1105">
    <cfRule type="cellIs" dxfId="1" priority="2204" operator="equal">
      <formula>"Nuevo"</formula>
    </cfRule>
  </conditionalFormatting>
  <conditionalFormatting sqref="W1105">
    <cfRule type="cellIs" dxfId="1" priority="2205" operator="equal">
      <formula>"Inactiva"</formula>
    </cfRule>
  </conditionalFormatting>
  <conditionalFormatting sqref="K1106">
    <cfRule type="cellIs" dxfId="1" priority="2206" operator="equal">
      <formula>"$"</formula>
    </cfRule>
  </conditionalFormatting>
  <conditionalFormatting sqref="V1106">
    <cfRule type="cellIs" dxfId="1" priority="2207" operator="equal">
      <formula>"Nuevo"</formula>
    </cfRule>
  </conditionalFormatting>
  <conditionalFormatting sqref="W1106">
    <cfRule type="cellIs" dxfId="1" priority="2208" operator="equal">
      <formula>"Inactiva"</formula>
    </cfRule>
  </conditionalFormatting>
  <conditionalFormatting sqref="K1107">
    <cfRule type="cellIs" dxfId="1" priority="2209" operator="equal">
      <formula>"$"</formula>
    </cfRule>
  </conditionalFormatting>
  <conditionalFormatting sqref="V1107">
    <cfRule type="cellIs" dxfId="1" priority="2210" operator="equal">
      <formula>"Nuevo"</formula>
    </cfRule>
  </conditionalFormatting>
  <conditionalFormatting sqref="W1107">
    <cfRule type="cellIs" dxfId="1" priority="2211" operator="equal">
      <formula>"Inactiva"</formula>
    </cfRule>
  </conditionalFormatting>
  <conditionalFormatting sqref="K1108">
    <cfRule type="cellIs" dxfId="1" priority="2212" operator="equal">
      <formula>"$"</formula>
    </cfRule>
  </conditionalFormatting>
  <conditionalFormatting sqref="V1108">
    <cfRule type="cellIs" dxfId="1" priority="2213" operator="equal">
      <formula>"Nuevo"</formula>
    </cfRule>
  </conditionalFormatting>
  <conditionalFormatting sqref="W1108">
    <cfRule type="cellIs" dxfId="1" priority="2214" operator="equal">
      <formula>"Inactiva"</formula>
    </cfRule>
  </conditionalFormatting>
  <conditionalFormatting sqref="K1109">
    <cfRule type="cellIs" dxfId="1" priority="2215" operator="equal">
      <formula>"$"</formula>
    </cfRule>
  </conditionalFormatting>
  <conditionalFormatting sqref="V1109">
    <cfRule type="cellIs" dxfId="1" priority="2216" operator="equal">
      <formula>"Nuevo"</formula>
    </cfRule>
  </conditionalFormatting>
  <conditionalFormatting sqref="W1109">
    <cfRule type="cellIs" dxfId="1" priority="2217" operator="equal">
      <formula>"Inactiva"</formula>
    </cfRule>
  </conditionalFormatting>
  <conditionalFormatting sqref="K1110">
    <cfRule type="cellIs" dxfId="1" priority="2218" operator="equal">
      <formula>"$"</formula>
    </cfRule>
  </conditionalFormatting>
  <conditionalFormatting sqref="V1110">
    <cfRule type="cellIs" dxfId="1" priority="2219" operator="equal">
      <formula>"Nuevo"</formula>
    </cfRule>
  </conditionalFormatting>
  <conditionalFormatting sqref="W1110">
    <cfRule type="cellIs" dxfId="1" priority="2220" operator="equal">
      <formula>"Inactiva"</formula>
    </cfRule>
  </conditionalFormatting>
  <conditionalFormatting sqref="K1111">
    <cfRule type="cellIs" dxfId="1" priority="2221" operator="equal">
      <formula>"$"</formula>
    </cfRule>
  </conditionalFormatting>
  <conditionalFormatting sqref="V1111">
    <cfRule type="cellIs" dxfId="1" priority="2222" operator="equal">
      <formula>"Nuevo"</formula>
    </cfRule>
  </conditionalFormatting>
  <conditionalFormatting sqref="W1111">
    <cfRule type="cellIs" dxfId="1" priority="2223" operator="equal">
      <formula>"Inactiva"</formula>
    </cfRule>
  </conditionalFormatting>
  <conditionalFormatting sqref="K1112">
    <cfRule type="cellIs" dxfId="1" priority="2224" operator="equal">
      <formula>"$"</formula>
    </cfRule>
  </conditionalFormatting>
  <conditionalFormatting sqref="V1112">
    <cfRule type="cellIs" dxfId="1" priority="2225" operator="equal">
      <formula>"Nuevo"</formula>
    </cfRule>
  </conditionalFormatting>
  <conditionalFormatting sqref="W1112">
    <cfRule type="cellIs" dxfId="1" priority="2226" operator="equal">
      <formula>"Inactiva"</formula>
    </cfRule>
  </conditionalFormatting>
  <conditionalFormatting sqref="K1113">
    <cfRule type="cellIs" dxfId="1" priority="2227" operator="equal">
      <formula>"$"</formula>
    </cfRule>
  </conditionalFormatting>
  <conditionalFormatting sqref="V1113">
    <cfRule type="cellIs" dxfId="1" priority="2228" operator="equal">
      <formula>"Nuevo"</formula>
    </cfRule>
  </conditionalFormatting>
  <conditionalFormatting sqref="W1113">
    <cfRule type="cellIs" dxfId="1" priority="2229" operator="equal">
      <formula>"Inactiva"</formula>
    </cfRule>
  </conditionalFormatting>
  <conditionalFormatting sqref="K1114">
    <cfRule type="cellIs" dxfId="1" priority="2230" operator="equal">
      <formula>"$"</formula>
    </cfRule>
  </conditionalFormatting>
  <conditionalFormatting sqref="V1114">
    <cfRule type="cellIs" dxfId="1" priority="2231" operator="equal">
      <formula>"Nuevo"</formula>
    </cfRule>
  </conditionalFormatting>
  <conditionalFormatting sqref="W1114">
    <cfRule type="cellIs" dxfId="1" priority="2232" operator="equal">
      <formula>"Inactiva"</formula>
    </cfRule>
  </conditionalFormatting>
  <conditionalFormatting sqref="K1115">
    <cfRule type="cellIs" dxfId="1" priority="2233" operator="equal">
      <formula>"$"</formula>
    </cfRule>
  </conditionalFormatting>
  <conditionalFormatting sqref="V1115">
    <cfRule type="cellIs" dxfId="1" priority="2234" operator="equal">
      <formula>"Nuevo"</formula>
    </cfRule>
  </conditionalFormatting>
  <conditionalFormatting sqref="W1115">
    <cfRule type="cellIs" dxfId="1" priority="2235" operator="equal">
      <formula>"Inactiva"</formula>
    </cfRule>
  </conditionalFormatting>
  <conditionalFormatting sqref="K1116">
    <cfRule type="cellIs" dxfId="1" priority="2236" operator="equal">
      <formula>"$"</formula>
    </cfRule>
  </conditionalFormatting>
  <conditionalFormatting sqref="V1116">
    <cfRule type="cellIs" dxfId="1" priority="2237" operator="equal">
      <formula>"Nuevo"</formula>
    </cfRule>
  </conditionalFormatting>
  <conditionalFormatting sqref="W1116">
    <cfRule type="cellIs" dxfId="1" priority="2238" operator="equal">
      <formula>"Inactiva"</formula>
    </cfRule>
  </conditionalFormatting>
  <conditionalFormatting sqref="K1117">
    <cfRule type="cellIs" dxfId="1" priority="2239" operator="equal">
      <formula>"$"</formula>
    </cfRule>
  </conditionalFormatting>
  <conditionalFormatting sqref="V1117">
    <cfRule type="cellIs" dxfId="1" priority="2240" operator="equal">
      <formula>"Nuevo"</formula>
    </cfRule>
  </conditionalFormatting>
  <conditionalFormatting sqref="W1117">
    <cfRule type="cellIs" dxfId="1" priority="2241" operator="equal">
      <formula>"Inactiva"</formula>
    </cfRule>
  </conditionalFormatting>
  <conditionalFormatting sqref="K1118">
    <cfRule type="cellIs" dxfId="1" priority="2242" operator="equal">
      <formula>"$"</formula>
    </cfRule>
  </conditionalFormatting>
  <conditionalFormatting sqref="V1118">
    <cfRule type="cellIs" dxfId="1" priority="2243" operator="equal">
      <formula>"Nuevo"</formula>
    </cfRule>
  </conditionalFormatting>
  <conditionalFormatting sqref="W1118">
    <cfRule type="cellIs" dxfId="1" priority="2244" operator="equal">
      <formula>"Inactiva"</formula>
    </cfRule>
  </conditionalFormatting>
  <conditionalFormatting sqref="K1119">
    <cfRule type="cellIs" dxfId="1" priority="2245" operator="equal">
      <formula>"$"</formula>
    </cfRule>
  </conditionalFormatting>
  <conditionalFormatting sqref="V1119">
    <cfRule type="cellIs" dxfId="1" priority="2246" operator="equal">
      <formula>"Nuevo"</formula>
    </cfRule>
  </conditionalFormatting>
  <conditionalFormatting sqref="W1119">
    <cfRule type="cellIs" dxfId="1" priority="2247" operator="equal">
      <formula>"Inactiva"</formula>
    </cfRule>
  </conditionalFormatting>
  <conditionalFormatting sqref="K1120">
    <cfRule type="cellIs" dxfId="1" priority="2248" operator="equal">
      <formula>"$"</formula>
    </cfRule>
  </conditionalFormatting>
  <conditionalFormatting sqref="V1120">
    <cfRule type="cellIs" dxfId="1" priority="2249" operator="equal">
      <formula>"Nuevo"</formula>
    </cfRule>
  </conditionalFormatting>
  <conditionalFormatting sqref="W1120">
    <cfRule type="cellIs" dxfId="1" priority="2250" operator="equal">
      <formula>"Inactiva"</formula>
    </cfRule>
  </conditionalFormatting>
  <conditionalFormatting sqref="K1121">
    <cfRule type="cellIs" dxfId="1" priority="2251" operator="equal">
      <formula>"$"</formula>
    </cfRule>
  </conditionalFormatting>
  <conditionalFormatting sqref="V1121">
    <cfRule type="cellIs" dxfId="1" priority="2252" operator="equal">
      <formula>"Nuevo"</formula>
    </cfRule>
  </conditionalFormatting>
  <conditionalFormatting sqref="W1121">
    <cfRule type="cellIs" dxfId="1" priority="2253" operator="equal">
      <formula>"Inactiva"</formula>
    </cfRule>
  </conditionalFormatting>
  <conditionalFormatting sqref="K1122">
    <cfRule type="cellIs" dxfId="1" priority="2254" operator="equal">
      <formula>"$"</formula>
    </cfRule>
  </conditionalFormatting>
  <conditionalFormatting sqref="V1122">
    <cfRule type="cellIs" dxfId="1" priority="2255" operator="equal">
      <formula>"Nuevo"</formula>
    </cfRule>
  </conditionalFormatting>
  <conditionalFormatting sqref="W1122">
    <cfRule type="cellIs" dxfId="1" priority="2256" operator="equal">
      <formula>"Inactiva"</formula>
    </cfRule>
  </conditionalFormatting>
  <conditionalFormatting sqref="K1123">
    <cfRule type="cellIs" dxfId="1" priority="2257" operator="equal">
      <formula>"$"</formula>
    </cfRule>
  </conditionalFormatting>
  <conditionalFormatting sqref="V1123">
    <cfRule type="cellIs" dxfId="1" priority="2258" operator="equal">
      <formula>"Nuevo"</formula>
    </cfRule>
  </conditionalFormatting>
  <conditionalFormatting sqref="W1123">
    <cfRule type="cellIs" dxfId="1" priority="2259" operator="equal">
      <formula>"Inactiva"</formula>
    </cfRule>
  </conditionalFormatting>
  <conditionalFormatting sqref="K1124">
    <cfRule type="cellIs" dxfId="1" priority="2260" operator="equal">
      <formula>"$"</formula>
    </cfRule>
  </conditionalFormatting>
  <conditionalFormatting sqref="V1124">
    <cfRule type="cellIs" dxfId="1" priority="2261" operator="equal">
      <formula>"Nuevo"</formula>
    </cfRule>
  </conditionalFormatting>
  <conditionalFormatting sqref="W1124">
    <cfRule type="cellIs" dxfId="1" priority="2262" operator="equal">
      <formula>"Inactiva"</formula>
    </cfRule>
  </conditionalFormatting>
  <conditionalFormatting sqref="K1125">
    <cfRule type="cellIs" dxfId="1" priority="2263" operator="equal">
      <formula>"$"</formula>
    </cfRule>
  </conditionalFormatting>
  <conditionalFormatting sqref="V1125">
    <cfRule type="cellIs" dxfId="1" priority="2264" operator="equal">
      <formula>"Nuevo"</formula>
    </cfRule>
  </conditionalFormatting>
  <conditionalFormatting sqref="W1125">
    <cfRule type="cellIs" dxfId="1" priority="2265" operator="equal">
      <formula>"Inactiva"</formula>
    </cfRule>
  </conditionalFormatting>
  <conditionalFormatting sqref="K1126">
    <cfRule type="cellIs" dxfId="1" priority="2266" operator="equal">
      <formula>"$"</formula>
    </cfRule>
  </conditionalFormatting>
  <conditionalFormatting sqref="V1126">
    <cfRule type="cellIs" dxfId="1" priority="2267" operator="equal">
      <formula>"Nuevo"</formula>
    </cfRule>
  </conditionalFormatting>
  <conditionalFormatting sqref="W1126">
    <cfRule type="cellIs" dxfId="1" priority="2268" operator="equal">
      <formula>"Inactiva"</formula>
    </cfRule>
  </conditionalFormatting>
  <conditionalFormatting sqref="K1127">
    <cfRule type="cellIs" dxfId="1" priority="2269" operator="equal">
      <formula>"$"</formula>
    </cfRule>
  </conditionalFormatting>
  <conditionalFormatting sqref="V1127">
    <cfRule type="cellIs" dxfId="1" priority="2270" operator="equal">
      <formula>"Nuevo"</formula>
    </cfRule>
  </conditionalFormatting>
  <conditionalFormatting sqref="W1127">
    <cfRule type="cellIs" dxfId="1" priority="2271" operator="equal">
      <formula>"Inactiva"</formula>
    </cfRule>
  </conditionalFormatting>
  <conditionalFormatting sqref="K1128">
    <cfRule type="cellIs" dxfId="1" priority="2272" operator="equal">
      <formula>"$"</formula>
    </cfRule>
  </conditionalFormatting>
  <conditionalFormatting sqref="V1128">
    <cfRule type="cellIs" dxfId="1" priority="2273" operator="equal">
      <formula>"Nuevo"</formula>
    </cfRule>
  </conditionalFormatting>
  <conditionalFormatting sqref="W1128">
    <cfRule type="cellIs" dxfId="1" priority="2274" operator="equal">
      <formula>"Inactiva"</formula>
    </cfRule>
  </conditionalFormatting>
  <conditionalFormatting sqref="K1129">
    <cfRule type="cellIs" dxfId="1" priority="2275" operator="equal">
      <formula>"$"</formula>
    </cfRule>
  </conditionalFormatting>
  <conditionalFormatting sqref="V1129">
    <cfRule type="cellIs" dxfId="1" priority="2276" operator="equal">
      <formula>"Nuevo"</formula>
    </cfRule>
  </conditionalFormatting>
  <conditionalFormatting sqref="W1129">
    <cfRule type="cellIs" dxfId="1" priority="2277" operator="equal">
      <formula>"Inactiva"</formula>
    </cfRule>
  </conditionalFormatting>
  <conditionalFormatting sqref="K1130">
    <cfRule type="cellIs" dxfId="1" priority="2278" operator="equal">
      <formula>"$"</formula>
    </cfRule>
  </conditionalFormatting>
  <conditionalFormatting sqref="V1130">
    <cfRule type="cellIs" dxfId="1" priority="2279" operator="equal">
      <formula>"Nuevo"</formula>
    </cfRule>
  </conditionalFormatting>
  <conditionalFormatting sqref="W1130">
    <cfRule type="cellIs" dxfId="1" priority="2280" operator="equal">
      <formula>"Inactiva"</formula>
    </cfRule>
  </conditionalFormatting>
  <conditionalFormatting sqref="K1131">
    <cfRule type="cellIs" dxfId="1" priority="2281" operator="equal">
      <formula>"$"</formula>
    </cfRule>
  </conditionalFormatting>
  <conditionalFormatting sqref="V1131">
    <cfRule type="cellIs" dxfId="1" priority="2282" operator="equal">
      <formula>"Nuevo"</formula>
    </cfRule>
  </conditionalFormatting>
  <conditionalFormatting sqref="W1131">
    <cfRule type="cellIs" dxfId="1" priority="2283" operator="equal">
      <formula>"Inactiva"</formula>
    </cfRule>
  </conditionalFormatting>
  <conditionalFormatting sqref="K1132">
    <cfRule type="cellIs" dxfId="1" priority="2284" operator="equal">
      <formula>"$"</formula>
    </cfRule>
  </conditionalFormatting>
  <conditionalFormatting sqref="V1132">
    <cfRule type="cellIs" dxfId="1" priority="2285" operator="equal">
      <formula>"Nuevo"</formula>
    </cfRule>
  </conditionalFormatting>
  <conditionalFormatting sqref="W1132">
    <cfRule type="cellIs" dxfId="1" priority="2286" operator="equal">
      <formula>"Inactiva"</formula>
    </cfRule>
  </conditionalFormatting>
  <conditionalFormatting sqref="K1133">
    <cfRule type="cellIs" dxfId="1" priority="2287" operator="equal">
      <formula>"$"</formula>
    </cfRule>
  </conditionalFormatting>
  <conditionalFormatting sqref="V1133">
    <cfRule type="cellIs" dxfId="1" priority="2288" operator="equal">
      <formula>"Nuevo"</formula>
    </cfRule>
  </conditionalFormatting>
  <conditionalFormatting sqref="W1133">
    <cfRule type="cellIs" dxfId="1" priority="2289" operator="equal">
      <formula>"Inactiva"</formula>
    </cfRule>
  </conditionalFormatting>
  <conditionalFormatting sqref="K1138">
    <cfRule type="cellIs" dxfId="1" priority="2290" operator="equal">
      <formula>"$"</formula>
    </cfRule>
  </conditionalFormatting>
  <conditionalFormatting sqref="V1138">
    <cfRule type="cellIs" dxfId="1" priority="2291" operator="equal">
      <formula>"Nuevo"</formula>
    </cfRule>
  </conditionalFormatting>
  <conditionalFormatting sqref="W1138">
    <cfRule type="cellIs" dxfId="1" priority="2292" operator="equal">
      <formula>"Inactiva"</formula>
    </cfRule>
  </conditionalFormatting>
  <conditionalFormatting sqref="K1143">
    <cfRule type="cellIs" dxfId="1" priority="2293" operator="equal">
      <formula>"$"</formula>
    </cfRule>
  </conditionalFormatting>
  <conditionalFormatting sqref="V1143">
    <cfRule type="cellIs" dxfId="1" priority="2294" operator="equal">
      <formula>"Nuevo"</formula>
    </cfRule>
  </conditionalFormatting>
  <conditionalFormatting sqref="W1143">
    <cfRule type="cellIs" dxfId="1" priority="2295" operator="equal">
      <formula>"Inactiva"</formula>
    </cfRule>
  </conditionalFormatting>
  <conditionalFormatting sqref="K1144">
    <cfRule type="cellIs" dxfId="1" priority="2296" operator="equal">
      <formula>"$"</formula>
    </cfRule>
  </conditionalFormatting>
  <conditionalFormatting sqref="V1144">
    <cfRule type="cellIs" dxfId="1" priority="2297" operator="equal">
      <formula>"Nuevo"</formula>
    </cfRule>
  </conditionalFormatting>
  <conditionalFormatting sqref="W1144">
    <cfRule type="cellIs" dxfId="1" priority="2298" operator="equal">
      <formula>"Inactiva"</formula>
    </cfRule>
  </conditionalFormatting>
  <conditionalFormatting sqref="K1145">
    <cfRule type="cellIs" dxfId="1" priority="2299" operator="equal">
      <formula>"$"</formula>
    </cfRule>
  </conditionalFormatting>
  <conditionalFormatting sqref="V1145">
    <cfRule type="cellIs" dxfId="1" priority="2300" operator="equal">
      <formula>"Nuevo"</formula>
    </cfRule>
  </conditionalFormatting>
  <conditionalFormatting sqref="W1145">
    <cfRule type="cellIs" dxfId="1" priority="2301" operator="equal">
      <formula>"Inactiva"</formula>
    </cfRule>
  </conditionalFormatting>
  <conditionalFormatting sqref="K1146">
    <cfRule type="cellIs" dxfId="1" priority="2302" operator="equal">
      <formula>"$"</formula>
    </cfRule>
  </conditionalFormatting>
  <conditionalFormatting sqref="V1146">
    <cfRule type="cellIs" dxfId="1" priority="2303" operator="equal">
      <formula>"Nuevo"</formula>
    </cfRule>
  </conditionalFormatting>
  <conditionalFormatting sqref="W1146">
    <cfRule type="cellIs" dxfId="1" priority="2304" operator="equal">
      <formula>"Inactiva"</formula>
    </cfRule>
  </conditionalFormatting>
  <conditionalFormatting sqref="K1147">
    <cfRule type="cellIs" dxfId="1" priority="2305" operator="equal">
      <formula>"$"</formula>
    </cfRule>
  </conditionalFormatting>
  <conditionalFormatting sqref="V1147">
    <cfRule type="cellIs" dxfId="1" priority="2306" operator="equal">
      <formula>"Nuevo"</formula>
    </cfRule>
  </conditionalFormatting>
  <conditionalFormatting sqref="W1147">
    <cfRule type="cellIs" dxfId="1" priority="2307" operator="equal">
      <formula>"Inactiva"</formula>
    </cfRule>
  </conditionalFormatting>
  <conditionalFormatting sqref="K1148">
    <cfRule type="cellIs" dxfId="1" priority="2308" operator="equal">
      <formula>"$"</formula>
    </cfRule>
  </conditionalFormatting>
  <conditionalFormatting sqref="V1148">
    <cfRule type="cellIs" dxfId="1" priority="2309" operator="equal">
      <formula>"Nuevo"</formula>
    </cfRule>
  </conditionalFormatting>
  <conditionalFormatting sqref="W1148">
    <cfRule type="cellIs" dxfId="1" priority="2310" operator="equal">
      <formula>"Inactiva"</formula>
    </cfRule>
  </conditionalFormatting>
  <conditionalFormatting sqref="K1149">
    <cfRule type="cellIs" dxfId="1" priority="2311" operator="equal">
      <formula>"$"</formula>
    </cfRule>
  </conditionalFormatting>
  <conditionalFormatting sqref="W1149">
    <cfRule type="cellIs" dxfId="1" priority="2312" operator="equal">
      <formula>"Inactiva"</formula>
    </cfRule>
  </conditionalFormatting>
  <conditionalFormatting sqref="K1150">
    <cfRule type="cellIs" dxfId="1" priority="2313" operator="equal">
      <formula>"$"</formula>
    </cfRule>
  </conditionalFormatting>
  <conditionalFormatting sqref="W1150">
    <cfRule type="cellIs" dxfId="1" priority="2314" operator="equal">
      <formula>"Inactiva"</formula>
    </cfRule>
  </conditionalFormatting>
  <conditionalFormatting sqref="K1151">
    <cfRule type="cellIs" dxfId="1" priority="2315" operator="equal">
      <formula>"$"</formula>
    </cfRule>
  </conditionalFormatting>
  <conditionalFormatting sqref="V1151">
    <cfRule type="cellIs" dxfId="1" priority="2316" operator="equal">
      <formula>"Nuevo"</formula>
    </cfRule>
  </conditionalFormatting>
  <conditionalFormatting sqref="W1151">
    <cfRule type="cellIs" dxfId="1" priority="2317" operator="equal">
      <formula>"Inactiva"</formula>
    </cfRule>
  </conditionalFormatting>
  <conditionalFormatting sqref="K1152">
    <cfRule type="cellIs" dxfId="1" priority="2318" operator="equal">
      <formula>"$"</formula>
    </cfRule>
  </conditionalFormatting>
  <conditionalFormatting sqref="W1152">
    <cfRule type="cellIs" dxfId="1" priority="2319" operator="equal">
      <formula>"Inactiva"</formula>
    </cfRule>
  </conditionalFormatting>
  <conditionalFormatting sqref="K1153">
    <cfRule type="cellIs" dxfId="1" priority="2320" operator="equal">
      <formula>"$"</formula>
    </cfRule>
  </conditionalFormatting>
  <conditionalFormatting sqref="W1153">
    <cfRule type="cellIs" dxfId="1" priority="2321" operator="equal">
      <formula>"Inactiva"</formula>
    </cfRule>
  </conditionalFormatting>
  <conditionalFormatting sqref="K1154">
    <cfRule type="cellIs" dxfId="1" priority="2322" operator="equal">
      <formula>"$"</formula>
    </cfRule>
  </conditionalFormatting>
  <conditionalFormatting sqref="W1154">
    <cfRule type="cellIs" dxfId="1" priority="2323" operator="equal">
      <formula>"Inactiva"</formula>
    </cfRule>
  </conditionalFormatting>
  <conditionalFormatting sqref="K1155">
    <cfRule type="cellIs" dxfId="1" priority="2324" operator="equal">
      <formula>"$"</formula>
    </cfRule>
  </conditionalFormatting>
  <conditionalFormatting sqref="V1155">
    <cfRule type="cellIs" dxfId="1" priority="2325" operator="equal">
      <formula>"Nuevo"</formula>
    </cfRule>
  </conditionalFormatting>
  <conditionalFormatting sqref="W1155">
    <cfRule type="cellIs" dxfId="1" priority="2326" operator="equal">
      <formula>"Inactiva"</formula>
    </cfRule>
  </conditionalFormatting>
  <conditionalFormatting sqref="K1159">
    <cfRule type="cellIs" dxfId="1" priority="2327" operator="equal">
      <formula>"$"</formula>
    </cfRule>
  </conditionalFormatting>
  <conditionalFormatting sqref="V1159">
    <cfRule type="cellIs" dxfId="1" priority="2328" operator="equal">
      <formula>"Nuevo"</formula>
    </cfRule>
  </conditionalFormatting>
  <conditionalFormatting sqref="W1159">
    <cfRule type="cellIs" dxfId="1" priority="2329" operator="equal">
      <formula>"Inactiva"</formula>
    </cfRule>
  </conditionalFormatting>
  <conditionalFormatting sqref="K1160">
    <cfRule type="cellIs" dxfId="1" priority="2330" operator="equal">
      <formula>"$"</formula>
    </cfRule>
  </conditionalFormatting>
  <conditionalFormatting sqref="V1160">
    <cfRule type="cellIs" dxfId="1" priority="2331" operator="equal">
      <formula>"Nuevo"</formula>
    </cfRule>
  </conditionalFormatting>
  <conditionalFormatting sqref="W1160">
    <cfRule type="cellIs" dxfId="1" priority="2332" operator="equal">
      <formula>"Inactiva"</formula>
    </cfRule>
  </conditionalFormatting>
  <conditionalFormatting sqref="K1161">
    <cfRule type="cellIs" dxfId="1" priority="2333" operator="equal">
      <formula>"$"</formula>
    </cfRule>
  </conditionalFormatting>
  <conditionalFormatting sqref="V1161">
    <cfRule type="cellIs" dxfId="1" priority="2334" operator="equal">
      <formula>"Nuevo"</formula>
    </cfRule>
  </conditionalFormatting>
  <conditionalFormatting sqref="W1161">
    <cfRule type="cellIs" dxfId="1" priority="2335" operator="equal">
      <formula>"Inactiva"</formula>
    </cfRule>
  </conditionalFormatting>
  <conditionalFormatting sqref="K1162">
    <cfRule type="cellIs" dxfId="1" priority="2336" operator="equal">
      <formula>"$"</formula>
    </cfRule>
  </conditionalFormatting>
  <conditionalFormatting sqref="V1162">
    <cfRule type="cellIs" dxfId="1" priority="2337" operator="equal">
      <formula>"Nuevo"</formula>
    </cfRule>
  </conditionalFormatting>
  <conditionalFormatting sqref="W1162">
    <cfRule type="cellIs" dxfId="1" priority="2338" operator="equal">
      <formula>"Inactiva"</formula>
    </cfRule>
  </conditionalFormatting>
  <conditionalFormatting sqref="K1163">
    <cfRule type="cellIs" dxfId="1" priority="2339" operator="equal">
      <formula>"$"</formula>
    </cfRule>
  </conditionalFormatting>
  <conditionalFormatting sqref="V1163">
    <cfRule type="cellIs" dxfId="1" priority="2340" operator="equal">
      <formula>"Nuevo"</formula>
    </cfRule>
  </conditionalFormatting>
  <conditionalFormatting sqref="W1163">
    <cfRule type="cellIs" dxfId="1" priority="2341" operator="equal">
      <formula>"Inactiva"</formula>
    </cfRule>
  </conditionalFormatting>
  <conditionalFormatting sqref="K1167">
    <cfRule type="cellIs" dxfId="1" priority="2342" operator="equal">
      <formula>"$"</formula>
    </cfRule>
  </conditionalFormatting>
  <conditionalFormatting sqref="V1167">
    <cfRule type="cellIs" dxfId="1" priority="2343" operator="equal">
      <formula>"Nuevo"</formula>
    </cfRule>
  </conditionalFormatting>
  <conditionalFormatting sqref="W1167">
    <cfRule type="cellIs" dxfId="1" priority="2344" operator="equal">
      <formula>"Inactiva"</formula>
    </cfRule>
  </conditionalFormatting>
  <conditionalFormatting sqref="K1171">
    <cfRule type="cellIs" dxfId="1" priority="2345" operator="equal">
      <formula>"$"</formula>
    </cfRule>
  </conditionalFormatting>
  <conditionalFormatting sqref="V1171">
    <cfRule type="cellIs" dxfId="1" priority="2346" operator="equal">
      <formula>"Nuevo"</formula>
    </cfRule>
  </conditionalFormatting>
  <conditionalFormatting sqref="W1171">
    <cfRule type="cellIs" dxfId="1" priority="2347" operator="equal">
      <formula>"Inactiva"</formula>
    </cfRule>
  </conditionalFormatting>
  <conditionalFormatting sqref="K1172">
    <cfRule type="cellIs" dxfId="1" priority="2348" operator="equal">
      <formula>"$"</formula>
    </cfRule>
  </conditionalFormatting>
  <conditionalFormatting sqref="V1172">
    <cfRule type="cellIs" dxfId="1" priority="2349" operator="equal">
      <formula>"Nuevo"</formula>
    </cfRule>
  </conditionalFormatting>
  <conditionalFormatting sqref="W1172">
    <cfRule type="cellIs" dxfId="1" priority="2350" operator="equal">
      <formula>"Inactiva"</formula>
    </cfRule>
  </conditionalFormatting>
  <conditionalFormatting sqref="K1173">
    <cfRule type="cellIs" dxfId="1" priority="2351" operator="equal">
      <formula>"$"</formula>
    </cfRule>
  </conditionalFormatting>
  <conditionalFormatting sqref="V1173">
    <cfRule type="cellIs" dxfId="1" priority="2352" operator="equal">
      <formula>"Nuevo"</formula>
    </cfRule>
  </conditionalFormatting>
  <conditionalFormatting sqref="W1173">
    <cfRule type="cellIs" dxfId="1" priority="2353" operator="equal">
      <formula>"Inactiva"</formula>
    </cfRule>
  </conditionalFormatting>
  <conditionalFormatting sqref="K1174">
    <cfRule type="cellIs" dxfId="1" priority="2354" operator="equal">
      <formula>"$"</formula>
    </cfRule>
  </conditionalFormatting>
  <conditionalFormatting sqref="V1174">
    <cfRule type="cellIs" dxfId="1" priority="2355" operator="equal">
      <formula>"Nuevo"</formula>
    </cfRule>
  </conditionalFormatting>
  <conditionalFormatting sqref="W1174">
    <cfRule type="cellIs" dxfId="1" priority="2356" operator="equal">
      <formula>"Inactiva"</formula>
    </cfRule>
  </conditionalFormatting>
  <conditionalFormatting sqref="K1175">
    <cfRule type="cellIs" dxfId="1" priority="2357" operator="equal">
      <formula>"$"</formula>
    </cfRule>
  </conditionalFormatting>
  <conditionalFormatting sqref="V1175">
    <cfRule type="cellIs" dxfId="1" priority="2358" operator="equal">
      <formula>"Nuevo"</formula>
    </cfRule>
  </conditionalFormatting>
  <conditionalFormatting sqref="W1175">
    <cfRule type="cellIs" dxfId="1" priority="2359" operator="equal">
      <formula>"Inactiva"</formula>
    </cfRule>
  </conditionalFormatting>
  <conditionalFormatting sqref="K1176">
    <cfRule type="cellIs" dxfId="1" priority="2360" operator="equal">
      <formula>"$"</formula>
    </cfRule>
  </conditionalFormatting>
  <conditionalFormatting sqref="V1176">
    <cfRule type="cellIs" dxfId="1" priority="2361" operator="equal">
      <formula>"Nuevo"</formula>
    </cfRule>
  </conditionalFormatting>
  <conditionalFormatting sqref="W1176">
    <cfRule type="cellIs" dxfId="1" priority="2362" operator="equal">
      <formula>"Inactiva"</formula>
    </cfRule>
  </conditionalFormatting>
  <conditionalFormatting sqref="K1180">
    <cfRule type="cellIs" dxfId="1" priority="2363" operator="equal">
      <formula>"$"</formula>
    </cfRule>
  </conditionalFormatting>
  <conditionalFormatting sqref="V1180">
    <cfRule type="cellIs" dxfId="1" priority="2364" operator="equal">
      <formula>"Nuevo"</formula>
    </cfRule>
  </conditionalFormatting>
  <conditionalFormatting sqref="W1180">
    <cfRule type="cellIs" dxfId="1" priority="2365" operator="equal">
      <formula>"Inactiva"</formula>
    </cfRule>
  </conditionalFormatting>
  <conditionalFormatting sqref="K1181">
    <cfRule type="cellIs" dxfId="1" priority="2366" operator="equal">
      <formula>"$"</formula>
    </cfRule>
  </conditionalFormatting>
  <conditionalFormatting sqref="V1181">
    <cfRule type="cellIs" dxfId="1" priority="2367" operator="equal">
      <formula>"Nuevo"</formula>
    </cfRule>
  </conditionalFormatting>
  <conditionalFormatting sqref="W1181">
    <cfRule type="cellIs" dxfId="1" priority="2368" operator="equal">
      <formula>"Inactiva"</formula>
    </cfRule>
  </conditionalFormatting>
  <conditionalFormatting sqref="K1185">
    <cfRule type="cellIs" dxfId="1" priority="2369" operator="equal">
      <formula>"$"</formula>
    </cfRule>
  </conditionalFormatting>
  <conditionalFormatting sqref="V1185">
    <cfRule type="cellIs" dxfId="1" priority="2370" operator="equal">
      <formula>"Nuevo"</formula>
    </cfRule>
  </conditionalFormatting>
  <conditionalFormatting sqref="W1185">
    <cfRule type="cellIs" dxfId="1" priority="2371" operator="equal">
      <formula>"Inactiva"</formula>
    </cfRule>
  </conditionalFormatting>
  <conditionalFormatting sqref="K1188">
    <cfRule type="cellIs" dxfId="1" priority="2372" operator="equal">
      <formula>"$"</formula>
    </cfRule>
  </conditionalFormatting>
  <conditionalFormatting sqref="V1188">
    <cfRule type="cellIs" dxfId="1" priority="2373" operator="equal">
      <formula>"Nuevo"</formula>
    </cfRule>
  </conditionalFormatting>
  <conditionalFormatting sqref="W1188">
    <cfRule type="cellIs" dxfId="1" priority="2374" operator="equal">
      <formula>"Inactiva"</formula>
    </cfRule>
  </conditionalFormatting>
  <conditionalFormatting sqref="K1192">
    <cfRule type="cellIs" dxfId="1" priority="2375" operator="equal">
      <formula>"$"</formula>
    </cfRule>
  </conditionalFormatting>
  <conditionalFormatting sqref="V1192">
    <cfRule type="cellIs" dxfId="1" priority="2376" operator="equal">
      <formula>"Nuevo"</formula>
    </cfRule>
  </conditionalFormatting>
  <conditionalFormatting sqref="W1192">
    <cfRule type="cellIs" dxfId="1" priority="2377" operator="equal">
      <formula>"Inactiva"</formula>
    </cfRule>
  </conditionalFormatting>
  <conditionalFormatting sqref="K1196">
    <cfRule type="cellIs" dxfId="1" priority="2378" operator="equal">
      <formula>"$"</formula>
    </cfRule>
  </conditionalFormatting>
  <conditionalFormatting sqref="V1196">
    <cfRule type="cellIs" dxfId="1" priority="2379" operator="equal">
      <formula>"Nuevo"</formula>
    </cfRule>
  </conditionalFormatting>
  <conditionalFormatting sqref="W1196">
    <cfRule type="cellIs" dxfId="1" priority="2380" operator="equal">
      <formula>"Inactiva"</formula>
    </cfRule>
  </conditionalFormatting>
  <conditionalFormatting sqref="K1200">
    <cfRule type="cellIs" dxfId="1" priority="2381" operator="equal">
      <formula>"$"</formula>
    </cfRule>
  </conditionalFormatting>
  <conditionalFormatting sqref="V1200">
    <cfRule type="cellIs" dxfId="1" priority="2382" operator="equal">
      <formula>"Nuevo"</formula>
    </cfRule>
  </conditionalFormatting>
  <conditionalFormatting sqref="W1200">
    <cfRule type="cellIs" dxfId="1" priority="2383" operator="equal">
      <formula>"Inactiva"</formula>
    </cfRule>
  </conditionalFormatting>
  <conditionalFormatting sqref="K1201">
    <cfRule type="cellIs" dxfId="1" priority="2384" operator="equal">
      <formula>"$"</formula>
    </cfRule>
  </conditionalFormatting>
  <conditionalFormatting sqref="V1201">
    <cfRule type="cellIs" dxfId="1" priority="2385" operator="equal">
      <formula>"Nuevo"</formula>
    </cfRule>
  </conditionalFormatting>
  <conditionalFormatting sqref="W1201">
    <cfRule type="cellIs" dxfId="1" priority="2386" operator="equal">
      <formula>"Inactiva"</formula>
    </cfRule>
  </conditionalFormatting>
  <conditionalFormatting sqref="K1202">
    <cfRule type="cellIs" dxfId="1" priority="2387" operator="equal">
      <formula>"$"</formula>
    </cfRule>
  </conditionalFormatting>
  <conditionalFormatting sqref="V1202">
    <cfRule type="cellIs" dxfId="1" priority="2388" operator="equal">
      <formula>"Nuevo"</formula>
    </cfRule>
  </conditionalFormatting>
  <conditionalFormatting sqref="W1202">
    <cfRule type="cellIs" dxfId="1" priority="2389" operator="equal">
      <formula>"Inactiva"</formula>
    </cfRule>
  </conditionalFormatting>
  <conditionalFormatting sqref="K1203">
    <cfRule type="cellIs" dxfId="1" priority="2390" operator="equal">
      <formula>"$"</formula>
    </cfRule>
  </conditionalFormatting>
  <conditionalFormatting sqref="V1203">
    <cfRule type="cellIs" dxfId="1" priority="2391" operator="equal">
      <formula>"Nuevo"</formula>
    </cfRule>
  </conditionalFormatting>
  <conditionalFormatting sqref="W1203">
    <cfRule type="cellIs" dxfId="1" priority="2392" operator="equal">
      <formula>"Inactiva"</formula>
    </cfRule>
  </conditionalFormatting>
  <conditionalFormatting sqref="K1204">
    <cfRule type="cellIs" dxfId="1" priority="2393" operator="equal">
      <formula>"$"</formula>
    </cfRule>
  </conditionalFormatting>
  <conditionalFormatting sqref="V1204">
    <cfRule type="cellIs" dxfId="1" priority="2394" operator="equal">
      <formula>"Nuevo"</formula>
    </cfRule>
  </conditionalFormatting>
  <conditionalFormatting sqref="W1204">
    <cfRule type="cellIs" dxfId="1" priority="2395" operator="equal">
      <formula>"Inactiva"</formula>
    </cfRule>
  </conditionalFormatting>
  <conditionalFormatting sqref="K1205">
    <cfRule type="cellIs" dxfId="1" priority="2396" operator="equal">
      <formula>"$"</formula>
    </cfRule>
  </conditionalFormatting>
  <conditionalFormatting sqref="V1205">
    <cfRule type="cellIs" dxfId="1" priority="2397" operator="equal">
      <formula>"Nuevo"</formula>
    </cfRule>
  </conditionalFormatting>
  <conditionalFormatting sqref="W1205">
    <cfRule type="cellIs" dxfId="1" priority="2398" operator="equal">
      <formula>"Inactiva"</formula>
    </cfRule>
  </conditionalFormatting>
  <conditionalFormatting sqref="K1206">
    <cfRule type="cellIs" dxfId="1" priority="2399" operator="equal">
      <formula>"$"</formula>
    </cfRule>
  </conditionalFormatting>
  <conditionalFormatting sqref="V1206">
    <cfRule type="cellIs" dxfId="1" priority="2400" operator="equal">
      <formula>"Nuevo"</formula>
    </cfRule>
  </conditionalFormatting>
  <conditionalFormatting sqref="W1206">
    <cfRule type="cellIs" dxfId="1" priority="2401" operator="equal">
      <formula>"Inactiva"</formula>
    </cfRule>
  </conditionalFormatting>
  <conditionalFormatting sqref="K1207">
    <cfRule type="cellIs" dxfId="1" priority="2402" operator="equal">
      <formula>"$"</formula>
    </cfRule>
  </conditionalFormatting>
  <conditionalFormatting sqref="V1207">
    <cfRule type="cellIs" dxfId="1" priority="2403" operator="equal">
      <formula>"Nuevo"</formula>
    </cfRule>
  </conditionalFormatting>
  <conditionalFormatting sqref="W1207">
    <cfRule type="cellIs" dxfId="1" priority="2404" operator="equal">
      <formula>"Inactiva"</formula>
    </cfRule>
  </conditionalFormatting>
  <conditionalFormatting sqref="K1208">
    <cfRule type="cellIs" dxfId="1" priority="2405" operator="equal">
      <formula>"$"</formula>
    </cfRule>
  </conditionalFormatting>
  <conditionalFormatting sqref="V1208">
    <cfRule type="cellIs" dxfId="1" priority="2406" operator="equal">
      <formula>"Nuevo"</formula>
    </cfRule>
  </conditionalFormatting>
  <conditionalFormatting sqref="W1208">
    <cfRule type="cellIs" dxfId="1" priority="2407" operator="equal">
      <formula>"Inactiva"</formula>
    </cfRule>
  </conditionalFormatting>
  <conditionalFormatting sqref="K1209">
    <cfRule type="cellIs" dxfId="1" priority="2408" operator="equal">
      <formula>"$"</formula>
    </cfRule>
  </conditionalFormatting>
  <conditionalFormatting sqref="V1209">
    <cfRule type="cellIs" dxfId="1" priority="2409" operator="equal">
      <formula>"Nuevo"</formula>
    </cfRule>
  </conditionalFormatting>
  <conditionalFormatting sqref="W1209">
    <cfRule type="cellIs" dxfId="1" priority="2410" operator="equal">
      <formula>"Inactiva"</formula>
    </cfRule>
  </conditionalFormatting>
  <conditionalFormatting sqref="K1210">
    <cfRule type="cellIs" dxfId="1" priority="2411" operator="equal">
      <formula>"$"</formula>
    </cfRule>
  </conditionalFormatting>
  <conditionalFormatting sqref="V1210">
    <cfRule type="cellIs" dxfId="1" priority="2412" operator="equal">
      <formula>"Nuevo"</formula>
    </cfRule>
  </conditionalFormatting>
  <conditionalFormatting sqref="W1210">
    <cfRule type="cellIs" dxfId="1" priority="2413" operator="equal">
      <formula>"Inactiva"</formula>
    </cfRule>
  </conditionalFormatting>
  <conditionalFormatting sqref="K1211">
    <cfRule type="cellIs" dxfId="1" priority="2414" operator="equal">
      <formula>"$"</formula>
    </cfRule>
  </conditionalFormatting>
  <conditionalFormatting sqref="V1211">
    <cfRule type="cellIs" dxfId="1" priority="2415" operator="equal">
      <formula>"Nuevo"</formula>
    </cfRule>
  </conditionalFormatting>
  <conditionalFormatting sqref="W1211">
    <cfRule type="cellIs" dxfId="1" priority="2416" operator="equal">
      <formula>"Inactiva"</formula>
    </cfRule>
  </conditionalFormatting>
  <conditionalFormatting sqref="K1215">
    <cfRule type="cellIs" dxfId="1" priority="2417" operator="equal">
      <formula>"$"</formula>
    </cfRule>
  </conditionalFormatting>
  <conditionalFormatting sqref="V1215">
    <cfRule type="cellIs" dxfId="1" priority="2418" operator="equal">
      <formula>"Nuevo"</formula>
    </cfRule>
  </conditionalFormatting>
  <conditionalFormatting sqref="W1215">
    <cfRule type="cellIs" dxfId="1" priority="2419" operator="equal">
      <formula>"Inactiva"</formula>
    </cfRule>
  </conditionalFormatting>
  <conditionalFormatting sqref="K1216">
    <cfRule type="cellIs" dxfId="1" priority="2420" operator="equal">
      <formula>"$"</formula>
    </cfRule>
  </conditionalFormatting>
  <conditionalFormatting sqref="V1216">
    <cfRule type="cellIs" dxfId="1" priority="2421" operator="equal">
      <formula>"Nuevo"</formula>
    </cfRule>
  </conditionalFormatting>
  <conditionalFormatting sqref="W1216">
    <cfRule type="cellIs" dxfId="1" priority="2422" operator="equal">
      <formula>"Inactiva"</formula>
    </cfRule>
  </conditionalFormatting>
  <conditionalFormatting sqref="K1217">
    <cfRule type="cellIs" dxfId="1" priority="2423" operator="equal">
      <formula>"$"</formula>
    </cfRule>
  </conditionalFormatting>
  <conditionalFormatting sqref="V1217">
    <cfRule type="cellIs" dxfId="1" priority="2424" operator="equal">
      <formula>"Nuevo"</formula>
    </cfRule>
  </conditionalFormatting>
  <conditionalFormatting sqref="W1217">
    <cfRule type="cellIs" dxfId="1" priority="2425" operator="equal">
      <formula>"Inactiva"</formula>
    </cfRule>
  </conditionalFormatting>
  <conditionalFormatting sqref="K1218">
    <cfRule type="cellIs" dxfId="1" priority="2426" operator="equal">
      <formula>"$"</formula>
    </cfRule>
  </conditionalFormatting>
  <conditionalFormatting sqref="V1218">
    <cfRule type="cellIs" dxfId="1" priority="2427" operator="equal">
      <formula>"Nuevo"</formula>
    </cfRule>
  </conditionalFormatting>
  <conditionalFormatting sqref="W1218">
    <cfRule type="cellIs" dxfId="1" priority="2428" operator="equal">
      <formula>"Inactiva"</formula>
    </cfRule>
  </conditionalFormatting>
  <conditionalFormatting sqref="K1219">
    <cfRule type="cellIs" dxfId="1" priority="2429" operator="equal">
      <formula>"$"</formula>
    </cfRule>
  </conditionalFormatting>
  <conditionalFormatting sqref="W1219">
    <cfRule type="cellIs" dxfId="1" priority="2430" operator="equal">
      <formula>"Inactiva"</formula>
    </cfRule>
  </conditionalFormatting>
  <conditionalFormatting sqref="K1220">
    <cfRule type="cellIs" dxfId="1" priority="2431" operator="equal">
      <formula>"$"</formula>
    </cfRule>
  </conditionalFormatting>
  <conditionalFormatting sqref="W1220">
    <cfRule type="cellIs" dxfId="1" priority="2432" operator="equal">
      <formula>"Inactiva"</formula>
    </cfRule>
  </conditionalFormatting>
  <conditionalFormatting sqref="K1221">
    <cfRule type="cellIs" dxfId="1" priority="2433" operator="equal">
      <formula>"$"</formula>
    </cfRule>
  </conditionalFormatting>
  <conditionalFormatting sqref="W1221">
    <cfRule type="cellIs" dxfId="1" priority="2434" operator="equal">
      <formula>"Inactiva"</formula>
    </cfRule>
  </conditionalFormatting>
  <conditionalFormatting sqref="K1222">
    <cfRule type="cellIs" dxfId="1" priority="2435" operator="equal">
      <formula>"$"</formula>
    </cfRule>
  </conditionalFormatting>
  <conditionalFormatting sqref="W1222">
    <cfRule type="cellIs" dxfId="1" priority="2436" operator="equal">
      <formula>"Inactiva"</formula>
    </cfRule>
  </conditionalFormatting>
  <conditionalFormatting sqref="K1223">
    <cfRule type="cellIs" dxfId="1" priority="2437" operator="equal">
      <formula>"$"</formula>
    </cfRule>
  </conditionalFormatting>
  <conditionalFormatting sqref="V1223">
    <cfRule type="cellIs" dxfId="1" priority="2438" operator="equal">
      <formula>"Nuevo"</formula>
    </cfRule>
  </conditionalFormatting>
  <conditionalFormatting sqref="W1223">
    <cfRule type="cellIs" dxfId="1" priority="2439" operator="equal">
      <formula>"Inactiva"</formula>
    </cfRule>
  </conditionalFormatting>
  <conditionalFormatting sqref="K1224">
    <cfRule type="cellIs" dxfId="1" priority="2440" operator="equal">
      <formula>"$"</formula>
    </cfRule>
  </conditionalFormatting>
  <conditionalFormatting sqref="V1224">
    <cfRule type="cellIs" dxfId="1" priority="2441" operator="equal">
      <formula>"Nuevo"</formula>
    </cfRule>
  </conditionalFormatting>
  <conditionalFormatting sqref="W1224">
    <cfRule type="cellIs" dxfId="1" priority="2442" operator="equal">
      <formula>"Inactiva"</formula>
    </cfRule>
  </conditionalFormatting>
  <conditionalFormatting sqref="K1225">
    <cfRule type="cellIs" dxfId="1" priority="2443" operator="equal">
      <formula>"$"</formula>
    </cfRule>
  </conditionalFormatting>
  <conditionalFormatting sqref="V1225">
    <cfRule type="cellIs" dxfId="1" priority="2444" operator="equal">
      <formula>"Nuevo"</formula>
    </cfRule>
  </conditionalFormatting>
  <conditionalFormatting sqref="W1225">
    <cfRule type="cellIs" dxfId="1" priority="2445" operator="equal">
      <formula>"Inactiva"</formula>
    </cfRule>
  </conditionalFormatting>
  <conditionalFormatting sqref="K1226">
    <cfRule type="cellIs" dxfId="1" priority="2446" operator="equal">
      <formula>"$"</formula>
    </cfRule>
  </conditionalFormatting>
  <conditionalFormatting sqref="W1226">
    <cfRule type="cellIs" dxfId="1" priority="2447" operator="equal">
      <formula>"Inactiva"</formula>
    </cfRule>
  </conditionalFormatting>
  <conditionalFormatting sqref="K1227">
    <cfRule type="cellIs" dxfId="1" priority="2448" operator="equal">
      <formula>"$"</formula>
    </cfRule>
  </conditionalFormatting>
  <conditionalFormatting sqref="V1227">
    <cfRule type="cellIs" dxfId="1" priority="2449" operator="equal">
      <formula>"Nuevo"</formula>
    </cfRule>
  </conditionalFormatting>
  <conditionalFormatting sqref="W1227">
    <cfRule type="cellIs" dxfId="1" priority="2450" operator="equal">
      <formula>"Inactiva"</formula>
    </cfRule>
  </conditionalFormatting>
  <conditionalFormatting sqref="K1246">
    <cfRule type="cellIs" dxfId="1" priority="2451" operator="equal">
      <formula>"$"</formula>
    </cfRule>
  </conditionalFormatting>
  <conditionalFormatting sqref="V1246">
    <cfRule type="cellIs" dxfId="1" priority="2452" operator="equal">
      <formula>"Nuevo"</formula>
    </cfRule>
  </conditionalFormatting>
  <conditionalFormatting sqref="W1246">
    <cfRule type="cellIs" dxfId="1" priority="2453" operator="equal">
      <formula>"Inactiva"</formula>
    </cfRule>
  </conditionalFormatting>
  <conditionalFormatting sqref="K1259">
    <cfRule type="cellIs" dxfId="1" priority="2454" operator="equal">
      <formula>"$"</formula>
    </cfRule>
  </conditionalFormatting>
  <conditionalFormatting sqref="V1259">
    <cfRule type="cellIs" dxfId="1" priority="2455" operator="equal">
      <formula>"Nuevo"</formula>
    </cfRule>
  </conditionalFormatting>
  <conditionalFormatting sqref="W1259">
    <cfRule type="cellIs" dxfId="1" priority="2456" operator="equal">
      <formula>"Inactiva"</formula>
    </cfRule>
  </conditionalFormatting>
  <conditionalFormatting sqref="K1275">
    <cfRule type="cellIs" dxfId="1" priority="2457" operator="equal">
      <formula>"$"</formula>
    </cfRule>
  </conditionalFormatting>
  <conditionalFormatting sqref="V1275">
    <cfRule type="cellIs" dxfId="1" priority="2458" operator="equal">
      <formula>"Nuevo"</formula>
    </cfRule>
  </conditionalFormatting>
  <conditionalFormatting sqref="W1275">
    <cfRule type="cellIs" dxfId="1" priority="2459" operator="equal">
      <formula>"Inactiva"</formula>
    </cfRule>
  </conditionalFormatting>
  <conditionalFormatting sqref="K1276">
    <cfRule type="cellIs" dxfId="1" priority="2460" operator="equal">
      <formula>"$"</formula>
    </cfRule>
  </conditionalFormatting>
  <conditionalFormatting sqref="V1276">
    <cfRule type="cellIs" dxfId="1" priority="2461" operator="equal">
      <formula>"Nuevo"</formula>
    </cfRule>
  </conditionalFormatting>
  <conditionalFormatting sqref="W1276">
    <cfRule type="cellIs" dxfId="1" priority="2462" operator="equal">
      <formula>"Inactiva"</formula>
    </cfRule>
  </conditionalFormatting>
  <conditionalFormatting sqref="K1277">
    <cfRule type="cellIs" dxfId="1" priority="2463" operator="equal">
      <formula>"$"</formula>
    </cfRule>
  </conditionalFormatting>
  <conditionalFormatting sqref="V1277">
    <cfRule type="cellIs" dxfId="1" priority="2464" operator="equal">
      <formula>"Nuevo"</formula>
    </cfRule>
  </conditionalFormatting>
  <conditionalFormatting sqref="W1277">
    <cfRule type="cellIs" dxfId="1" priority="2465" operator="equal">
      <formula>"Inactiva"</formula>
    </cfRule>
  </conditionalFormatting>
  <conditionalFormatting sqref="K1278">
    <cfRule type="cellIs" dxfId="1" priority="2466" operator="equal">
      <formula>"$"</formula>
    </cfRule>
  </conditionalFormatting>
  <conditionalFormatting sqref="V1278">
    <cfRule type="cellIs" dxfId="1" priority="2467" operator="equal">
      <formula>"Nuevo"</formula>
    </cfRule>
  </conditionalFormatting>
  <conditionalFormatting sqref="W1278">
    <cfRule type="cellIs" dxfId="1" priority="2468" operator="equal">
      <formula>"Inactiva"</formula>
    </cfRule>
  </conditionalFormatting>
  <conditionalFormatting sqref="K1279">
    <cfRule type="cellIs" dxfId="1" priority="2469" operator="equal">
      <formula>"$"</formula>
    </cfRule>
  </conditionalFormatting>
  <conditionalFormatting sqref="V1279">
    <cfRule type="cellIs" dxfId="1" priority="2470" operator="equal">
      <formula>"Nuevo"</formula>
    </cfRule>
  </conditionalFormatting>
  <conditionalFormatting sqref="W1279">
    <cfRule type="cellIs" dxfId="1" priority="2471" operator="equal">
      <formula>"Inactiva"</formula>
    </cfRule>
  </conditionalFormatting>
  <conditionalFormatting sqref="K1280">
    <cfRule type="cellIs" dxfId="1" priority="2472" operator="equal">
      <formula>"$"</formula>
    </cfRule>
  </conditionalFormatting>
  <conditionalFormatting sqref="V1280">
    <cfRule type="cellIs" dxfId="1" priority="2473" operator="equal">
      <formula>"Nuevo"</formula>
    </cfRule>
  </conditionalFormatting>
  <conditionalFormatting sqref="W1280">
    <cfRule type="cellIs" dxfId="1" priority="2474" operator="equal">
      <formula>"Inactiva"</formula>
    </cfRule>
  </conditionalFormatting>
  <conditionalFormatting sqref="K1281">
    <cfRule type="cellIs" dxfId="1" priority="2475" operator="equal">
      <formula>"$"</formula>
    </cfRule>
  </conditionalFormatting>
  <conditionalFormatting sqref="V1281">
    <cfRule type="cellIs" dxfId="1" priority="2476" operator="equal">
      <formula>"Nuevo"</formula>
    </cfRule>
  </conditionalFormatting>
  <conditionalFormatting sqref="W1281">
    <cfRule type="cellIs" dxfId="1" priority="2477" operator="equal">
      <formula>"Inactiva"</formula>
    </cfRule>
  </conditionalFormatting>
  <conditionalFormatting sqref="K1282">
    <cfRule type="cellIs" dxfId="1" priority="2478" operator="equal">
      <formula>"$"</formula>
    </cfRule>
  </conditionalFormatting>
  <conditionalFormatting sqref="V1282">
    <cfRule type="cellIs" dxfId="1" priority="2479" operator="equal">
      <formula>"Nuevo"</formula>
    </cfRule>
  </conditionalFormatting>
  <conditionalFormatting sqref="W1282">
    <cfRule type="cellIs" dxfId="1" priority="2480" operator="equal">
      <formula>"Inactiva"</formula>
    </cfRule>
  </conditionalFormatting>
  <conditionalFormatting sqref="K1283">
    <cfRule type="cellIs" dxfId="1" priority="2481" operator="equal">
      <formula>"$"</formula>
    </cfRule>
  </conditionalFormatting>
  <conditionalFormatting sqref="V1283">
    <cfRule type="cellIs" dxfId="1" priority="2482" operator="equal">
      <formula>"Nuevo"</formula>
    </cfRule>
  </conditionalFormatting>
  <conditionalFormatting sqref="W1283">
    <cfRule type="cellIs" dxfId="1" priority="2483" operator="equal">
      <formula>"Inactiva"</formula>
    </cfRule>
  </conditionalFormatting>
  <conditionalFormatting sqref="K1284">
    <cfRule type="cellIs" dxfId="1" priority="2484" operator="equal">
      <formula>"$"</formula>
    </cfRule>
  </conditionalFormatting>
  <conditionalFormatting sqref="V1284">
    <cfRule type="cellIs" dxfId="1" priority="2485" operator="equal">
      <formula>"Nuevo"</formula>
    </cfRule>
  </conditionalFormatting>
  <conditionalFormatting sqref="W1284">
    <cfRule type="cellIs" dxfId="1" priority="2486" operator="equal">
      <formula>"Inactiva"</formula>
    </cfRule>
  </conditionalFormatting>
  <conditionalFormatting sqref="K1285">
    <cfRule type="cellIs" dxfId="1" priority="2487" operator="equal">
      <formula>"$"</formula>
    </cfRule>
  </conditionalFormatting>
  <conditionalFormatting sqref="V1285">
    <cfRule type="cellIs" dxfId="1" priority="2488" operator="equal">
      <formula>"Nuevo"</formula>
    </cfRule>
  </conditionalFormatting>
  <conditionalFormatting sqref="W1285">
    <cfRule type="cellIs" dxfId="1" priority="2489" operator="equal">
      <formula>"Inactiva"</formula>
    </cfRule>
  </conditionalFormatting>
  <conditionalFormatting sqref="K1286">
    <cfRule type="cellIs" dxfId="1" priority="2490" operator="equal">
      <formula>"$"</formula>
    </cfRule>
  </conditionalFormatting>
  <conditionalFormatting sqref="V1286">
    <cfRule type="cellIs" dxfId="1" priority="2491" operator="equal">
      <formula>"Nuevo"</formula>
    </cfRule>
  </conditionalFormatting>
  <conditionalFormatting sqref="W1286">
    <cfRule type="cellIs" dxfId="1" priority="2492" operator="equal">
      <formula>"Inactiva"</formula>
    </cfRule>
  </conditionalFormatting>
  <conditionalFormatting sqref="K1287">
    <cfRule type="cellIs" dxfId="1" priority="2493" operator="equal">
      <formula>"$"</formula>
    </cfRule>
  </conditionalFormatting>
  <conditionalFormatting sqref="V1287">
    <cfRule type="cellIs" dxfId="1" priority="2494" operator="equal">
      <formula>"Nuevo"</formula>
    </cfRule>
  </conditionalFormatting>
  <conditionalFormatting sqref="W1287">
    <cfRule type="cellIs" dxfId="1" priority="2495" operator="equal">
      <formula>"Inactiva"</formula>
    </cfRule>
  </conditionalFormatting>
  <conditionalFormatting sqref="K1288">
    <cfRule type="cellIs" dxfId="1" priority="2496" operator="equal">
      <formula>"$"</formula>
    </cfRule>
  </conditionalFormatting>
  <conditionalFormatting sqref="V1288">
    <cfRule type="cellIs" dxfId="1" priority="2497" operator="equal">
      <formula>"Nuevo"</formula>
    </cfRule>
  </conditionalFormatting>
  <conditionalFormatting sqref="W1288">
    <cfRule type="cellIs" dxfId="1" priority="2498" operator="equal">
      <formula>"Inactiva"</formula>
    </cfRule>
  </conditionalFormatting>
  <conditionalFormatting sqref="K1289">
    <cfRule type="cellIs" dxfId="1" priority="2499" operator="equal">
      <formula>"$"</formula>
    </cfRule>
  </conditionalFormatting>
  <conditionalFormatting sqref="V1289">
    <cfRule type="cellIs" dxfId="1" priority="2500" operator="equal">
      <formula>"Nuevo"</formula>
    </cfRule>
  </conditionalFormatting>
  <conditionalFormatting sqref="W1289">
    <cfRule type="cellIs" dxfId="1" priority="2501" operator="equal">
      <formula>"Inactiva"</formula>
    </cfRule>
  </conditionalFormatting>
  <conditionalFormatting sqref="K1290">
    <cfRule type="cellIs" dxfId="1" priority="2502" operator="equal">
      <formula>"$"</formula>
    </cfRule>
  </conditionalFormatting>
  <conditionalFormatting sqref="V1290">
    <cfRule type="cellIs" dxfId="1" priority="2503" operator="equal">
      <formula>"Nuevo"</formula>
    </cfRule>
  </conditionalFormatting>
  <conditionalFormatting sqref="W1290">
    <cfRule type="cellIs" dxfId="1" priority="2504" operator="equal">
      <formula>"Inactiva"</formula>
    </cfRule>
  </conditionalFormatting>
  <conditionalFormatting sqref="K1291">
    <cfRule type="cellIs" dxfId="1" priority="2505" operator="equal">
      <formula>"$"</formula>
    </cfRule>
  </conditionalFormatting>
  <conditionalFormatting sqref="V1291">
    <cfRule type="cellIs" dxfId="1" priority="2506" operator="equal">
      <formula>"Nuevo"</formula>
    </cfRule>
  </conditionalFormatting>
  <conditionalFormatting sqref="W1291">
    <cfRule type="cellIs" dxfId="1" priority="2507" operator="equal">
      <formula>"Inactiva"</formula>
    </cfRule>
  </conditionalFormatting>
  <conditionalFormatting sqref="K1292">
    <cfRule type="cellIs" dxfId="1" priority="2508" operator="equal">
      <formula>"$"</formula>
    </cfRule>
  </conditionalFormatting>
  <conditionalFormatting sqref="V1292">
    <cfRule type="cellIs" dxfId="1" priority="2509" operator="equal">
      <formula>"Nuevo"</formula>
    </cfRule>
  </conditionalFormatting>
  <conditionalFormatting sqref="W1292">
    <cfRule type="cellIs" dxfId="1" priority="2510" operator="equal">
      <formula>"Inactiva"</formula>
    </cfRule>
  </conditionalFormatting>
  <conditionalFormatting sqref="K1293">
    <cfRule type="cellIs" dxfId="1" priority="2511" operator="equal">
      <formula>"$"</formula>
    </cfRule>
  </conditionalFormatting>
  <conditionalFormatting sqref="V1293">
    <cfRule type="cellIs" dxfId="1" priority="2512" operator="equal">
      <formula>"Nuevo"</formula>
    </cfRule>
  </conditionalFormatting>
  <conditionalFormatting sqref="W1293">
    <cfRule type="cellIs" dxfId="1" priority="2513" operator="equal">
      <formula>"Inactiva"</formula>
    </cfRule>
  </conditionalFormatting>
  <conditionalFormatting sqref="K1294">
    <cfRule type="cellIs" dxfId="1" priority="2514" operator="equal">
      <formula>"$"</formula>
    </cfRule>
  </conditionalFormatting>
  <conditionalFormatting sqref="V1294">
    <cfRule type="cellIs" dxfId="1" priority="2515" operator="equal">
      <formula>"Nuevo"</formula>
    </cfRule>
  </conditionalFormatting>
  <conditionalFormatting sqref="W1294">
    <cfRule type="cellIs" dxfId="1" priority="2516" operator="equal">
      <formula>"Inactiva"</formula>
    </cfRule>
  </conditionalFormatting>
  <conditionalFormatting sqref="K1295">
    <cfRule type="cellIs" dxfId="1" priority="2517" operator="equal">
      <formula>"$"</formula>
    </cfRule>
  </conditionalFormatting>
  <conditionalFormatting sqref="V1295">
    <cfRule type="cellIs" dxfId="1" priority="2518" operator="equal">
      <formula>"Nuevo"</formula>
    </cfRule>
  </conditionalFormatting>
  <conditionalFormatting sqref="W1295">
    <cfRule type="cellIs" dxfId="1" priority="2519" operator="equal">
      <formula>"Inactiva"</formula>
    </cfRule>
  </conditionalFormatting>
  <conditionalFormatting sqref="K1296">
    <cfRule type="cellIs" dxfId="1" priority="2520" operator="equal">
      <formula>"$"</formula>
    </cfRule>
  </conditionalFormatting>
  <conditionalFormatting sqref="V1296">
    <cfRule type="cellIs" dxfId="1" priority="2521" operator="equal">
      <formula>"Nuevo"</formula>
    </cfRule>
  </conditionalFormatting>
  <conditionalFormatting sqref="W1296">
    <cfRule type="cellIs" dxfId="1" priority="2522" operator="equal">
      <formula>"Inactiva"</formula>
    </cfRule>
  </conditionalFormatting>
  <conditionalFormatting sqref="K1297">
    <cfRule type="cellIs" dxfId="1" priority="2523" operator="equal">
      <formula>"$"</formula>
    </cfRule>
  </conditionalFormatting>
  <conditionalFormatting sqref="V1297">
    <cfRule type="cellIs" dxfId="1" priority="2524" operator="equal">
      <formula>"Nuevo"</formula>
    </cfRule>
  </conditionalFormatting>
  <conditionalFormatting sqref="W1297">
    <cfRule type="cellIs" dxfId="1" priority="2525" operator="equal">
      <formula>"Inactiva"</formula>
    </cfRule>
  </conditionalFormatting>
  <conditionalFormatting sqref="K1298">
    <cfRule type="cellIs" dxfId="1" priority="2526" operator="equal">
      <formula>"$"</formula>
    </cfRule>
  </conditionalFormatting>
  <conditionalFormatting sqref="V1298">
    <cfRule type="cellIs" dxfId="1" priority="2527" operator="equal">
      <formula>"Nuevo"</formula>
    </cfRule>
  </conditionalFormatting>
  <conditionalFormatting sqref="W1298">
    <cfRule type="cellIs" dxfId="1" priority="2528" operator="equal">
      <formula>"Inactiva"</formula>
    </cfRule>
  </conditionalFormatting>
  <conditionalFormatting sqref="K1299">
    <cfRule type="cellIs" dxfId="1" priority="2529" operator="equal">
      <formula>"$"</formula>
    </cfRule>
  </conditionalFormatting>
  <conditionalFormatting sqref="V1299">
    <cfRule type="cellIs" dxfId="1" priority="2530" operator="equal">
      <formula>"Nuevo"</formula>
    </cfRule>
  </conditionalFormatting>
  <conditionalFormatting sqref="W1299">
    <cfRule type="cellIs" dxfId="1" priority="2531" operator="equal">
      <formula>"Inactiva"</formula>
    </cfRule>
  </conditionalFormatting>
  <conditionalFormatting sqref="K1300">
    <cfRule type="cellIs" dxfId="1" priority="2532" operator="equal">
      <formula>"$"</formula>
    </cfRule>
  </conditionalFormatting>
  <conditionalFormatting sqref="V1300">
    <cfRule type="cellIs" dxfId="1" priority="2533" operator="equal">
      <formula>"Nuevo"</formula>
    </cfRule>
  </conditionalFormatting>
  <conditionalFormatting sqref="W1300">
    <cfRule type="cellIs" dxfId="1" priority="2534" operator="equal">
      <formula>"Inactiva"</formula>
    </cfRule>
  </conditionalFormatting>
  <conditionalFormatting sqref="K1301">
    <cfRule type="cellIs" dxfId="1" priority="2535" operator="equal">
      <formula>"$"</formula>
    </cfRule>
  </conditionalFormatting>
  <conditionalFormatting sqref="V1301">
    <cfRule type="cellIs" dxfId="1" priority="2536" operator="equal">
      <formula>"Nuevo"</formula>
    </cfRule>
  </conditionalFormatting>
  <conditionalFormatting sqref="W1301">
    <cfRule type="cellIs" dxfId="1" priority="2537" operator="equal">
      <formula>"Inactiva"</formula>
    </cfRule>
  </conditionalFormatting>
  <conditionalFormatting sqref="K1302">
    <cfRule type="cellIs" dxfId="1" priority="2538" operator="equal">
      <formula>"$"</formula>
    </cfRule>
  </conditionalFormatting>
  <conditionalFormatting sqref="V1302">
    <cfRule type="cellIs" dxfId="1" priority="2539" operator="equal">
      <formula>"Nuevo"</formula>
    </cfRule>
  </conditionalFormatting>
  <conditionalFormatting sqref="W1302">
    <cfRule type="cellIs" dxfId="1" priority="2540" operator="equal">
      <formula>"Inactiva"</formula>
    </cfRule>
  </conditionalFormatting>
  <conditionalFormatting sqref="K1303">
    <cfRule type="cellIs" dxfId="1" priority="2541" operator="equal">
      <formula>"$"</formula>
    </cfRule>
  </conditionalFormatting>
  <conditionalFormatting sqref="V1303">
    <cfRule type="cellIs" dxfId="1" priority="2542" operator="equal">
      <formula>"Nuevo"</formula>
    </cfRule>
  </conditionalFormatting>
  <conditionalFormatting sqref="W1303">
    <cfRule type="cellIs" dxfId="1" priority="2543" operator="equal">
      <formula>"Inactiva"</formula>
    </cfRule>
  </conditionalFormatting>
  <conditionalFormatting sqref="K1304">
    <cfRule type="cellIs" dxfId="1" priority="2544" operator="equal">
      <formula>"$"</formula>
    </cfRule>
  </conditionalFormatting>
  <conditionalFormatting sqref="V1304">
    <cfRule type="cellIs" dxfId="1" priority="2545" operator="equal">
      <formula>"Nuevo"</formula>
    </cfRule>
  </conditionalFormatting>
  <conditionalFormatting sqref="W1304">
    <cfRule type="cellIs" dxfId="1" priority="2546" operator="equal">
      <formula>"Inactiva"</formula>
    </cfRule>
  </conditionalFormatting>
  <conditionalFormatting sqref="K1305">
    <cfRule type="cellIs" dxfId="1" priority="2547" operator="equal">
      <formula>"$"</formula>
    </cfRule>
  </conditionalFormatting>
  <conditionalFormatting sqref="V1305">
    <cfRule type="cellIs" dxfId="1" priority="2548" operator="equal">
      <formula>"Nuevo"</formula>
    </cfRule>
  </conditionalFormatting>
  <conditionalFormatting sqref="W1305">
    <cfRule type="cellIs" dxfId="1" priority="2549" operator="equal">
      <formula>"Inactiva"</formula>
    </cfRule>
  </conditionalFormatting>
  <conditionalFormatting sqref="K1306">
    <cfRule type="cellIs" dxfId="1" priority="2550" operator="equal">
      <formula>"$"</formula>
    </cfRule>
  </conditionalFormatting>
  <conditionalFormatting sqref="V1306">
    <cfRule type="cellIs" dxfId="1" priority="2551" operator="equal">
      <formula>"Nuevo"</formula>
    </cfRule>
  </conditionalFormatting>
  <conditionalFormatting sqref="W1306">
    <cfRule type="cellIs" dxfId="1" priority="2552" operator="equal">
      <formula>"Inactiva"</formula>
    </cfRule>
  </conditionalFormatting>
  <conditionalFormatting sqref="K1307">
    <cfRule type="cellIs" dxfId="1" priority="2553" operator="equal">
      <formula>"$"</formula>
    </cfRule>
  </conditionalFormatting>
  <conditionalFormatting sqref="V1307">
    <cfRule type="cellIs" dxfId="1" priority="2554" operator="equal">
      <formula>"Nuevo"</formula>
    </cfRule>
  </conditionalFormatting>
  <conditionalFormatting sqref="W1307">
    <cfRule type="cellIs" dxfId="1" priority="2555" operator="equal">
      <formula>"Inactiva"</formula>
    </cfRule>
  </conditionalFormatting>
  <conditionalFormatting sqref="K1308">
    <cfRule type="cellIs" dxfId="1" priority="2556" operator="equal">
      <formula>"$"</formula>
    </cfRule>
  </conditionalFormatting>
  <conditionalFormatting sqref="V1308">
    <cfRule type="cellIs" dxfId="1" priority="2557" operator="equal">
      <formula>"Nuevo"</formula>
    </cfRule>
  </conditionalFormatting>
  <conditionalFormatting sqref="W1308">
    <cfRule type="cellIs" dxfId="1" priority="2558" operator="equal">
      <formula>"Inactiva"</formula>
    </cfRule>
  </conditionalFormatting>
  <conditionalFormatting sqref="K1309">
    <cfRule type="cellIs" dxfId="1" priority="2559" operator="equal">
      <formula>"$"</formula>
    </cfRule>
  </conditionalFormatting>
  <conditionalFormatting sqref="V1309">
    <cfRule type="cellIs" dxfId="1" priority="2560" operator="equal">
      <formula>"Nuevo"</formula>
    </cfRule>
  </conditionalFormatting>
  <conditionalFormatting sqref="W1309">
    <cfRule type="cellIs" dxfId="1" priority="2561" operator="equal">
      <formula>"Inactiva"</formula>
    </cfRule>
  </conditionalFormatting>
  <conditionalFormatting sqref="K1310">
    <cfRule type="cellIs" dxfId="1" priority="2562" operator="equal">
      <formula>"$"</formula>
    </cfRule>
  </conditionalFormatting>
  <conditionalFormatting sqref="V1310">
    <cfRule type="cellIs" dxfId="1" priority="2563" operator="equal">
      <formula>"Nuevo"</formula>
    </cfRule>
  </conditionalFormatting>
  <conditionalFormatting sqref="W1310">
    <cfRule type="cellIs" dxfId="1" priority="2564" operator="equal">
      <formula>"Inactiva"</formula>
    </cfRule>
  </conditionalFormatting>
  <conditionalFormatting sqref="K1311">
    <cfRule type="cellIs" dxfId="1" priority="2565" operator="equal">
      <formula>"$"</formula>
    </cfRule>
  </conditionalFormatting>
  <conditionalFormatting sqref="V1311">
    <cfRule type="cellIs" dxfId="1" priority="2566" operator="equal">
      <formula>"Nuevo"</formula>
    </cfRule>
  </conditionalFormatting>
  <conditionalFormatting sqref="W1311">
    <cfRule type="cellIs" dxfId="1" priority="2567" operator="equal">
      <formula>"Inactiva"</formula>
    </cfRule>
  </conditionalFormatting>
  <conditionalFormatting sqref="K1312">
    <cfRule type="cellIs" dxfId="1" priority="2568" operator="equal">
      <formula>"$"</formula>
    </cfRule>
  </conditionalFormatting>
  <conditionalFormatting sqref="V1312">
    <cfRule type="cellIs" dxfId="1" priority="2569" operator="equal">
      <formula>"Nuevo"</formula>
    </cfRule>
  </conditionalFormatting>
  <conditionalFormatting sqref="W1312">
    <cfRule type="cellIs" dxfId="1" priority="2570" operator="equal">
      <formula>"Inactiva"</formula>
    </cfRule>
  </conditionalFormatting>
  <conditionalFormatting sqref="K1313">
    <cfRule type="cellIs" dxfId="1" priority="2571" operator="equal">
      <formula>"$"</formula>
    </cfRule>
  </conditionalFormatting>
  <conditionalFormatting sqref="W1313">
    <cfRule type="cellIs" dxfId="1" priority="2572" operator="equal">
      <formula>"Inactiva"</formula>
    </cfRule>
  </conditionalFormatting>
  <conditionalFormatting sqref="K1314">
    <cfRule type="cellIs" dxfId="1" priority="2573" operator="equal">
      <formula>"$"</formula>
    </cfRule>
  </conditionalFormatting>
  <conditionalFormatting sqref="W1314">
    <cfRule type="cellIs" dxfId="1" priority="2574" operator="equal">
      <formula>"Inactiva"</formula>
    </cfRule>
  </conditionalFormatting>
  <conditionalFormatting sqref="K1315">
    <cfRule type="cellIs" dxfId="1" priority="2575" operator="equal">
      <formula>"$"</formula>
    </cfRule>
  </conditionalFormatting>
  <conditionalFormatting sqref="W1315">
    <cfRule type="cellIs" dxfId="1" priority="2576" operator="equal">
      <formula>"Inactiva"</formula>
    </cfRule>
  </conditionalFormatting>
  <dataValidations>
    <dataValidation type="list" allowBlank="1" showErrorMessage="1" sqref="K6:K11 K20:K25 K28:K33 K38:K40 K56:K67 K71:K97 K100 K104:K138 K143 K148 K151:K162 K166:K167 K172:K175 K179:K184 K190 K194 K202 K207:K208 K212:K288 K291 K296:K322 K327:K335 K340 K346:K352 K358:K360 K365:K379 K383 K387:K396 K400:K442 K447:K492 K495 K500 K505 K510 K513 K518 K523 K528:K536 K541 K546 K550:K556 K573 K577 K582 K587:K588 K593 K601 K610 K614 K623:K639 K652 K659 K672:K675 K680 K685:K687 K700 K711:K717 K722:K723 K730:K739 K744:K759 K772 K777 K782 K787 K791:K795 K798 K802 K813:K934 K939:K940 K943:K990 K994:K1008 K1013:K1023 K1027:K1075 K1080:K1096 K1100:K1133 K1138 K1143:K1155 K1159:K1163 K1167 K1171:K1176 K1180:K1181 K1185 K1188 K1192 K1196 K1200:K1211 K1215:K1227 K1246 K1259 K1275:K1315">
      <formula1>"$,US$,UF"</formula1>
    </dataValidation>
    <dataValidation type="list" allowBlank="1" showErrorMessage="1" sqref="V7:V9 V11 V20 V22:V25 V28:V33 V39:V40 V56:V62 V64:V67 V71:V86 V88:V91 V93:V95 V104:V138 V143 V148 V151:V162 V166:V167 V172:V175 V179:V180 V183:V184 V190 V194 V202 V207:V208 V213 V215:V224 V248:V283 V285:V288 V291 V296 V298:V302 V304 V306 V309 V311:V312 V314 V316 V320:V321 V329:V333 V347:V351 V358:V359 V366:V367 V369 V371:V373 V376:V379 V383 V387:V396 V400:V433 V436 V451:V492 V495 V500 V505 V510 V513 V518 V523 V528:V534 V536 V541 V546 V556 V573 V577 V582 V588 V593 V601 V610 V614 V623 V626 V628:V639 V652 V659 V673:V675 V680 V685 V687 V700 V712:V713 V717 V722:V723 V730 V733:V734 V736:V739 V745 V747 V749:V759 V772 V777 V782 V787 V791:V795 V798 V802 V820:V923 V932:V934 V939:V940 V943:V990 V994:V999 V1001:V1004 V1006:V1008 V1013:V1015 V1017:V1018 V1023 V1031 V1035:V1045 V1047:V1073 V1075 V1080:V1091 V1104:V1133 V1138 V1143:V1148 V1151 V1155 V1159:V1163 V1167 V1171 V1173 V1175:V1176 V1181 V1185 V1188 V1192 V1196 V1202:V1203 V1207 V1211 V1217 V1223:V1225 V1227 V1246 V1259 V1275:V1277 V1280:V1283 V1285:V1287 V1289:V1312">
      <formula1>"Nuevo,Usado"</formula1>
    </dataValidation>
    <dataValidation type="list" allowBlank="1" showErrorMessage="1" sqref="V63 V303 V315 V317 V322 V327:V328 V334:V335 V340 V346 V352 V360 V365 V368 V370 V374:V375 V711 V731:V732 V744 V748 V1074 V1284">
      <formula1>"Nuevo"</formula1>
    </dataValidation>
    <dataValidation type="list" allowBlank="1" showErrorMessage="1" sqref="V305 V307:V308 V310 V313 V318:V319 V434:V435 V437">
      <formula1>"Usado,Nuevo"</formula1>
    </dataValidation>
    <dataValidation type="list" allowBlank="1" showErrorMessage="1" sqref="V87 V96:V97 V100 V212 V225:V247 V297 V438:V442 V447:V450 V535 V587 V625 V686 V714:V716 V735 V746 V813:V819 V1000 V1005 V1016 V1019:V1022 V1032:V1034 V1046 V1092:V1096 V1100:V1103 V1172 V1174 V1180 V1200:V1201 V1204:V1206 V1208:V1210 V1215:V1216 V1218 V1278:V1279 V1288">
      <formula1>"Nuevo,Usado,Reacondicionado"</formula1>
    </dataValidation>
    <dataValidation type="list" allowBlank="1" showErrorMessage="1" sqref="W6:W11 W20:W25 W28:W33 W38:W40 W56:W67 W71:W97 W100 W104:W138 W143 W148 W151:W162 W166:W167 W172:W175 W179:W184 W190 W194 W202 W207:W208 W212:W288 W291 W296:W322 W327:W335 W340 W346:W352 W358:W360 W365:W379 W383 W387:W396 W400:W442 W447:W492 W495 W500 W505 W510 W513 W518 W523 W528:W536 W541 W546 W550:W556 W573 W577 W582 W587:W588 W593 W601 W610 W614 W623:W639 W652 W659 W672:W675 W680 W685:W687 W700 W711:W717 W722:W723 W730:W739 W744:W759 W772 W777 W782 W787 W791:W795 W798 W802 W813:W934 W939:W940 W943:W990 W994:W1008 W1013:W1023 W1027:W1075 W1080:W1096 W1100:W1133 W1138 W1143:W1155 W1159:W1163 W1167 W1171:W1176 W1180:W1181 W1185 W1188 W1192 W1196 W1200:W1211 W1215:W1227 W1246 W1259 W1275:W1315">
      <formula1>"Activa,Inactiva"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15" t="s">
        <v>5893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